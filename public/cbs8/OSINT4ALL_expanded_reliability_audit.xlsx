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c65a97535faa44ba" /></Relationships>
</file>

<file path=xl/workbook.xml><?xml version="1.0" encoding="utf-8"?>
<x:workbook xmlns:x="http://schemas.openxmlformats.org/spreadsheetml/2006/main">
  <x:sheets>
    <x:sheet xmlns:r="http://schemas.openxmlformats.org/officeDocument/2006/relationships" name="Read me" sheetId="1" r:id="R52824fd982514bc7"/>
    <x:sheet xmlns:r="http://schemas.openxmlformats.org/officeDocument/2006/relationships" name="Claim check" sheetId="2" r:id="R13c8348491fb418d"/>
    <x:sheet xmlns:r="http://schemas.openxmlformats.org/officeDocument/2006/relationships" name="All resources" sheetId="3" r:id="R54dc5ab0f93f4a51"/>
    <x:sheet xmlns:r="http://schemas.openxmlformats.org/officeDocument/2006/relationships" name="Documented" sheetId="4" r:id="Rc9ff9609b0c24039"/>
    <x:sheet xmlns:r="http://schemas.openxmlformats.org/officeDocument/2006/relationships" name="Contacts and records" sheetId="5" r:id="R19ef6ca9814545b8"/>
    <x:sheet xmlns:r="http://schemas.openxmlformats.org/officeDocument/2006/relationships" name="Sources" sheetId="6" r:id="R4d654e48b25b4af2"/>
    <x:sheet xmlns:r="http://schemas.openxmlformats.org/officeDocument/2006/relationships" name="Categories" sheetId="7" r:id="Rfbcd92dbdb954b2e"/>
    <x:sheet xmlns:r="http://schemas.openxmlformats.org/officeDocument/2006/relationships" name="Priority fixes" sheetId="8" r:id="Ra87e3e8c7a7c4c7e"/>
  </x:sheets>
</x:workbook>
</file>

<file path=xl/sharedStrings.xml><?xml version="1.0" encoding="utf-8"?>
<x:sst xmlns:x="http://schemas.openxmlformats.org/spreadsheetml/2006/main"/>
</file>

<file path=xl/styles.xml><?xml version="1.0" encoding="utf-8"?>
<x:styleSheet xmlns:x="http://schemas.openxmlformats.org/spreadsheetml/2006/main">
  <x:fonts count="24">
    <x:font>
      <x:sz val="11"/>
      <x:name val="Carlito"/>
    </x:font>
    <x:font>
      <x:b/>
      <x:sz val="20"/>
      <x:color rgb="FFFFFFFF"/>
      <x:name val="Carlito"/>
    </x:font>
    <x:font>
      <x:b/>
      <x:sz val="18"/>
      <x:color rgb="FFFFFFFF"/>
      <x:name val="Carlito"/>
    </x:font>
    <x:font>
      <x:sz val="11"/>
      <x:color rgb="FF536978"/>
      <x:name val="Carlito"/>
    </x:font>
    <x:font>
      <x:sz val="10"/>
      <x:name val="Carlito"/>
    </x:font>
    <x:font>
      <x:b/>
      <x:sz val="10"/>
      <x:color rgb="FFFFFFFF"/>
      <x:name val="Carlito"/>
    </x:font>
    <x:font>
      <x:sz val="10"/>
      <x:color rgb="FF183342"/>
      <x:name val="Carlito"/>
    </x:font>
    <x:font>
      <x:sz val="10"/>
      <x:color rgb="FF006C70"/>
      <x:name val="Carlito"/>
    </x:font>
    <x:font>
      <x:b/>
      <x:sz val="11"/>
      <x:color rgb="FF576C70"/>
      <x:name val="Carlito"/>
    </x:font>
    <x:font>
      <x:b/>
      <x:sz val="11"/>
      <x:color rgb="FF58616D"/>
      <x:name val="Carlito"/>
    </x:font>
    <x:font>
      <x:b/>
      <x:sz val="11"/>
      <x:color rgb="FF244F7A"/>
      <x:name val="Carlito"/>
    </x:font>
    <x:font>
      <x:b/>
      <x:sz val="11"/>
      <x:color rgb="FF755500"/>
      <x:name val="Carlito"/>
    </x:font>
    <x:font>
      <x:b/>
      <x:sz val="11"/>
      <x:color rgb="FF9A2020"/>
      <x:name val="Carlito"/>
    </x:font>
    <x:font>
      <x:b/>
      <x:sz val="11"/>
      <x:color rgb="FF1A603E"/>
      <x:name val="Carlito"/>
    </x:font>
    <x:font>
      <x:b/>
      <x:sz val="11"/>
      <x:color rgb="FFFFFFFF"/>
      <x:name val="Carlito"/>
    </x:font>
    <x:font>
      <x:sz val="11"/>
      <x:color rgb="FF1B6E47"/>
      <x:name val="Carlito"/>
    </x:font>
    <x:font>
      <x:b/>
      <x:sz val="11"/>
      <x:color rgb="FF183342"/>
      <x:name val="Carlito"/>
    </x:font>
    <x:font>
      <x:sz val="11"/>
      <x:color rgb="FF183342"/>
      <x:name val="Carlito"/>
    </x:font>
    <x:font>
      <x:b/>
      <x:sz val="23"/>
      <x:color rgb="FFFFFFFF"/>
      <x:name val="Carlito"/>
    </x:font>
    <x:font>
      <x:sz val="11"/>
      <x:color rgb="FF183342"/>
      <x:name val="Carlito"/>
    </x:font>
    <x:font>
      <x:b/>
      <x:sz val="28"/>
      <x:color rgb="FF152F46"/>
      <x:name val="Carlito"/>
    </x:font>
    <x:font>
      <x:sz val="10"/>
      <x:color rgb="FF536978"/>
      <x:name val="Carlito"/>
    </x:font>
    <x:font>
      <x:b/>
      <x:sz val="21"/>
      <x:color rgb="FFFFFFFF"/>
      <x:name val="Carlito"/>
    </x:font>
    <x:font>
      <x:sz val="11"/>
      <x:color rgb="FF174CA3"/>
      <x:name val="Carlito"/>
    </x:font>
  </x:fonts>
  <x:fills count="12">
    <x:fill>
      <x:patternFill patternType="none"/>
    </x:fill>
    <x:fill>
      <x:patternFill patternType="gray125"/>
    </x:fill>
    <x:fill>
      <x:patternFill patternType="solid">
        <x:fgColor rgb="FF152F46"/>
      </x:patternFill>
    </x:fill>
    <x:fill>
      <x:patternFill patternType="solid">
        <x:fgColor rgb="FF176B72"/>
      </x:patternFill>
    </x:fill>
    <x:fill>
      <x:patternFill patternType="solid">
        <x:fgColor rgb="FFF0F4F5"/>
      </x:patternFill>
    </x:fill>
    <x:fill>
      <x:patternFill patternType="solid">
        <x:fgColor rgb="FFE9EBEF"/>
      </x:patternFill>
    </x:fill>
    <x:fill>
      <x:patternFill patternType="solid">
        <x:fgColor rgb="FFE5EFFA"/>
      </x:patternFill>
    </x:fill>
    <x:fill>
      <x:patternFill patternType="solid">
        <x:fgColor rgb="FFFFF0C2"/>
      </x:patternFill>
    </x:fill>
    <x:fill>
      <x:patternFill patternType="solid">
        <x:fgColor rgb="FFFFF5DB"/>
      </x:patternFill>
    </x:fill>
    <x:fill>
      <x:patternFill patternType="solid">
        <x:fgColor rgb="FFFBD7D7"/>
      </x:patternFill>
    </x:fill>
    <x:fill>
      <x:patternFill patternType="solid">
        <x:fgColor rgb="FFDDF1E7"/>
      </x:patternFill>
    </x:fill>
    <x:fill>
      <x:patternFill patternType="solid">
        <x:fgColor rgb="FFEAF2F6"/>
      </x:patternFill>
    </x:fill>
  </x:fills>
  <x:borders count="2">
    <x:border/>
    <x:border/>
  </x:borders>
  <x:cellStyleXfs count="1">
    <x:xf numFmtId="0" fontId="0" fillId="0" borderId="0"/>
  </x:cellStyleXfs>
  <x:cellXfs count="16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0" fillId="2" borderId="1" xfId="0" applyNumberFormat="1" applyFont="1" applyFill="1" applyBorder="1"/>
    <x:xf numFmtId="0" fontId="1" fillId="2" borderId="1" xfId="0" applyNumberFormat="1" applyFont="1" applyFill="1" applyBorder="1"/>
    <x:xf numFmtId="0" fontId="2" fillId="2" borderId="0" xfId="0" applyNumberFormat="1" applyFont="1" applyFill="1" applyBorder="1"/>
    <x:xf numFmtId="0" fontId="2" fillId="2" borderId="1" xfId="0" applyNumberFormat="1" applyFont="1" applyFill="1" applyBorder="1"/>
    <x:xf numFmtId="0" fontId="3" fillId="0" borderId="0" xfId="0" applyNumberFormat="1" applyFont="1" applyFill="1" applyBorder="1"/>
    <x:xf numFmtId="0" fontId="3" fillId="0" borderId="0" xfId="0" applyNumberFormat="1" applyFont="1" applyFill="1" applyBorder="1" applyAlignment="1">
      <x:alignment wrapText="1"/>
    </x:xf>
    <x:xf numFmtId="0" fontId="3" fillId="0" borderId="1" xfId="0" applyNumberFormat="1" applyFont="1" applyFill="1" applyBorder="1"/>
    <x:xf numFmtId="0" fontId="3" fillId="0" borderId="1" xfId="0" applyNumberFormat="1" applyFont="1" applyFill="1" applyBorder="1" applyAlignment="1">
      <x:alignment wrapText="1"/>
    </x:xf>
    <x:xf numFmtId="0" fontId="4" fillId="0" borderId="0" xfId="0" applyNumberFormat="1" applyFont="1" applyFill="1" applyBorder="1"/>
    <x:xf numFmtId="0" fontId="4" fillId="0" borderId="1" xfId="0" applyNumberFormat="1" applyFont="1" applyFill="1" applyBorder="1"/>
    <x:xf numFmtId="0" fontId="4" fillId="3" borderId="0" xfId="0" applyNumberFormat="1" applyFont="1" applyFill="1" applyBorder="1"/>
    <x:xf numFmtId="0" fontId="5" fillId="3" borderId="0" xfId="0" applyNumberFormat="1" applyFont="1" applyFill="1" applyBorder="1"/>
    <x:xf numFmtId="0" fontId="5" fillId="3" borderId="0" xfId="0" applyNumberFormat="1" applyFont="1" applyFill="1" applyBorder="1" applyAlignment="1">
      <x:alignment wrapText="1"/>
    </x:xf>
    <x:xf numFmtId="0" fontId="4" fillId="3" borderId="1" xfId="0" applyNumberFormat="1" applyFont="1" applyFill="1" applyBorder="1"/>
    <x:xf numFmtId="0" fontId="5" fillId="3" borderId="1" xfId="0" applyNumberFormat="1" applyFont="1" applyFill="1" applyBorder="1"/>
    <x:xf numFmtId="0" fontId="5" fillId="3" borderId="1" xfId="0" applyNumberFormat="1" applyFont="1" applyFill="1" applyBorder="1" applyAlignment="1">
      <x:alignment wrapText="1"/>
    </x:xf>
    <x:xf numFmtId="0" fontId="4" fillId="0" borderId="0" xfId="0" applyNumberFormat="1" applyFont="1" applyFill="1" applyBorder="1" applyAlignment="1">
      <x:alignment wrapText="1"/>
    </x:xf>
    <x:xf numFmtId="0" fontId="4" fillId="0" borderId="1" xfId="0" applyNumberFormat="1" applyFont="1" applyFill="1" applyBorder="1" applyAlignment="1">
      <x:alignment wrapText="1"/>
    </x:xf>
    <x:xf numFmtId="0" fontId="6" fillId="0" borderId="0" xfId="0" applyNumberFormat="1" applyFont="1" applyFill="1" applyBorder="1" applyAlignment="1">
      <x:alignment wrapText="1"/>
    </x:xf>
    <x:xf numFmtId="0" fontId="6" fillId="0" borderId="1" xfId="0" applyNumberFormat="1" applyFont="1" applyFill="1" applyBorder="1" applyAlignment="1">
      <x:alignment wrapText="1"/>
    </x:xf>
    <x:xf numFmtId="0" fontId="7" fillId="0" borderId="0" xfId="0" applyNumberFormat="1" applyFont="1" applyFill="1" applyBorder="1" applyAlignment="1">
      <x:alignment wrapText="1"/>
    </x:xf>
    <x:xf numFmtId="0" fontId="7" fillId="0" borderId="1" xfId="0" applyNumberFormat="1" applyFont="1" applyFill="1" applyBorder="1" applyAlignment="1">
      <x:alignment wrapText="1"/>
    </x:xf>
    <x:xf numFmtId="0" fontId="6" fillId="4" borderId="0" xfId="0" applyNumberFormat="1" applyFont="1" applyFill="1" applyBorder="1" applyAlignment="1">
      <x:alignment wrapText="1"/>
    </x:xf>
    <x:xf numFmtId="0" fontId="8" fillId="4" borderId="0" xfId="0" applyNumberFormat="1" applyFont="1" applyFill="1" applyBorder="1" applyAlignment="1">
      <x:alignment wrapText="1"/>
    </x:xf>
    <x:xf numFmtId="0" fontId="6" fillId="4" borderId="1" xfId="0" applyNumberFormat="1" applyFont="1" applyFill="1" applyBorder="1" applyAlignment="1">
      <x:alignment wrapText="1"/>
    </x:xf>
    <x:xf numFmtId="0" fontId="8" fillId="4" borderId="1" xfId="0" applyNumberFormat="1" applyFont="1" applyFill="1" applyBorder="1" applyAlignment="1">
      <x:alignment wrapText="1"/>
    </x:xf>
    <x:xf numFmtId="0" fontId="6" fillId="5" borderId="0" xfId="0" applyNumberFormat="1" applyFont="1" applyFill="1" applyBorder="1" applyAlignment="1">
      <x:alignment wrapText="1"/>
    </x:xf>
    <x:xf numFmtId="0" fontId="9" fillId="5" borderId="0" xfId="0" applyNumberFormat="1" applyFont="1" applyFill="1" applyBorder="1" applyAlignment="1">
      <x:alignment wrapText="1"/>
    </x:xf>
    <x:xf numFmtId="0" fontId="6" fillId="5" borderId="1" xfId="0" applyNumberFormat="1" applyFont="1" applyFill="1" applyBorder="1" applyAlignment="1">
      <x:alignment wrapText="1"/>
    </x:xf>
    <x:xf numFmtId="0" fontId="9" fillId="5" borderId="1" xfId="0" applyNumberFormat="1" applyFont="1" applyFill="1" applyBorder="1" applyAlignment="1">
      <x:alignment wrapText="1"/>
    </x:xf>
    <x:xf numFmtId="0" fontId="6" fillId="6" borderId="0" xfId="0" applyNumberFormat="1" applyFont="1" applyFill="1" applyBorder="1" applyAlignment="1">
      <x:alignment wrapText="1"/>
    </x:xf>
    <x:xf numFmtId="0" fontId="10" fillId="6" borderId="0" xfId="0" applyNumberFormat="1" applyFont="1" applyFill="1" applyBorder="1" applyAlignment="1">
      <x:alignment wrapText="1"/>
    </x:xf>
    <x:xf numFmtId="0" fontId="6" fillId="6" borderId="1" xfId="0" applyNumberFormat="1" applyFont="1" applyFill="1" applyBorder="1" applyAlignment="1">
      <x:alignment wrapText="1"/>
    </x:xf>
    <x:xf numFmtId="0" fontId="10" fillId="6" borderId="1" xfId="0" applyNumberFormat="1" applyFont="1" applyFill="1" applyBorder="1" applyAlignment="1">
      <x:alignment wrapText="1"/>
    </x:xf>
    <x:xf numFmtId="0" fontId="6" fillId="7" borderId="0" xfId="0" applyNumberFormat="1" applyFont="1" applyFill="1" applyBorder="1" applyAlignment="1">
      <x:alignment wrapText="1"/>
    </x:xf>
    <x:xf numFmtId="0" fontId="11" fillId="7" borderId="0" xfId="0" applyNumberFormat="1" applyFont="1" applyFill="1" applyBorder="1" applyAlignment="1">
      <x:alignment wrapText="1"/>
    </x:xf>
    <x:xf numFmtId="0" fontId="6" fillId="7" borderId="1" xfId="0" applyNumberFormat="1" applyFont="1" applyFill="1" applyBorder="1" applyAlignment="1">
      <x:alignment wrapText="1"/>
    </x:xf>
    <x:xf numFmtId="0" fontId="11" fillId="7" borderId="1" xfId="0" applyNumberFormat="1" applyFont="1" applyFill="1" applyBorder="1" applyAlignment="1">
      <x:alignment wrapText="1"/>
    </x:xf>
    <x:xf numFmtId="0" fontId="6" fillId="8" borderId="0" xfId="0" applyNumberFormat="1" applyFont="1" applyFill="1" applyBorder="1" applyAlignment="1">
      <x:alignment wrapText="1"/>
    </x:xf>
    <x:xf numFmtId="0" fontId="11" fillId="8" borderId="0" xfId="0" applyNumberFormat="1" applyFont="1" applyFill="1" applyBorder="1" applyAlignment="1">
      <x:alignment wrapText="1"/>
    </x:xf>
    <x:xf numFmtId="0" fontId="6" fillId="8" borderId="1" xfId="0" applyNumberFormat="1" applyFont="1" applyFill="1" applyBorder="1" applyAlignment="1">
      <x:alignment wrapText="1"/>
    </x:xf>
    <x:xf numFmtId="0" fontId="11" fillId="8" borderId="1" xfId="0" applyNumberFormat="1" applyFont="1" applyFill="1" applyBorder="1" applyAlignment="1">
      <x:alignment wrapText="1"/>
    </x:xf>
    <x:xf numFmtId="0" fontId="6" fillId="9" borderId="0" xfId="0" applyNumberFormat="1" applyFont="1" applyFill="1" applyBorder="1" applyAlignment="1">
      <x:alignment wrapText="1"/>
    </x:xf>
    <x:xf numFmtId="0" fontId="12" fillId="9" borderId="0" xfId="0" applyNumberFormat="1" applyFont="1" applyFill="1" applyBorder="1" applyAlignment="1">
      <x:alignment wrapText="1"/>
    </x:xf>
    <x:xf numFmtId="0" fontId="6" fillId="9" borderId="1" xfId="0" applyNumberFormat="1" applyFont="1" applyFill="1" applyBorder="1" applyAlignment="1">
      <x:alignment wrapText="1"/>
    </x:xf>
    <x:xf numFmtId="0" fontId="12" fillId="9" borderId="1" xfId="0" applyNumberFormat="1" applyFont="1" applyFill="1" applyBorder="1" applyAlignment="1">
      <x:alignment wrapText="1"/>
    </x:xf>
    <x:xf numFmtId="0" fontId="6" fillId="10" borderId="0" xfId="0" applyNumberFormat="1" applyFont="1" applyFill="1" applyBorder="1" applyAlignment="1">
      <x:alignment wrapText="1"/>
    </x:xf>
    <x:xf numFmtId="0" fontId="13" fillId="10" borderId="0" xfId="0" applyNumberFormat="1" applyFont="1" applyFill="1" applyBorder="1" applyAlignment="1">
      <x:alignment wrapText="1"/>
    </x:xf>
    <x:xf numFmtId="0" fontId="6" fillId="10" borderId="1" xfId="0" applyNumberFormat="1" applyFont="1" applyFill="1" applyBorder="1" applyAlignment="1">
      <x:alignment wrapText="1"/>
    </x:xf>
    <x:xf numFmtId="0" fontId="13" fillId="10" borderId="1" xfId="0" applyNumberFormat="1" applyFont="1" applyFill="1" applyBorder="1" applyAlignment="1">
      <x:alignment wrapText="1"/>
    </x:xf>
    <x:xf numFmtId="0" fontId="6" fillId="0" borderId="0" xfId="0" applyNumberFormat="1" applyFont="1" applyFill="1" applyBorder="1"/>
    <x:xf numFmtId="0" fontId="6" fillId="0" borderId="1" xfId="0" applyNumberFormat="1" applyFont="1" applyFill="1" applyBorder="1"/>
    <x:xf numFmtId="0" fontId="6" fillId="2" borderId="0" xfId="0" applyNumberFormat="1" applyFont="1" applyFill="1" applyBorder="1"/>
    <x:xf numFmtId="0" fontId="6" fillId="2" borderId="1" xfId="0" applyNumberFormat="1" applyFont="1" applyFill="1" applyBorder="1"/>
    <x:xf numFmtId="0" fontId="3" fillId="0" borderId="0" xfId="0" applyNumberFormat="1" applyFont="1" applyFill="1" applyBorder="1" applyAlignment="1">
      <x:alignment vertical="center" wrapText="1"/>
    </x:xf>
    <x:xf numFmtId="0" fontId="3" fillId="0" borderId="1" xfId="0" applyNumberFormat="1" applyFont="1" applyFill="1" applyBorder="1" applyAlignment="1">
      <x:alignment vertical="center"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wrapText="1"/>
    </x:xf>
    <x:xf numFmtId="0" fontId="0" fillId="0" borderId="1" xfId="0" applyNumberFormat="1" applyFont="1" applyFill="1" applyBorder="1" applyAlignment="1">
      <x:alignment vertical="top" wrapText="1"/>
    </x:xf>
    <x:xf numFmtId="0" fontId="0" fillId="3" borderId="0" xfId="0" applyNumberFormat="1" applyFont="1" applyFill="1" applyBorder="1"/>
    <x:xf numFmtId="0" fontId="14" fillId="3" borderId="0" xfId="0" applyNumberFormat="1" applyFont="1" applyFill="1" applyBorder="1"/>
    <x:xf numFmtId="0" fontId="14" fillId="3" borderId="0" xfId="0" applyNumberFormat="1" applyFont="1" applyFill="1" applyBorder="1" applyAlignment="1">
      <x:alignment wrapText="1"/>
    </x:xf>
    <x:xf numFmtId="0" fontId="0" fillId="3" borderId="1" xfId="0" applyNumberFormat="1" applyFont="1" applyFill="1" applyBorder="1"/>
    <x:xf numFmtId="0" fontId="14" fillId="3" borderId="1" xfId="0" applyNumberFormat="1" applyFont="1" applyFill="1" applyBorder="1"/>
    <x:xf numFmtId="0" fontId="14" fillId="3" borderId="1" xfId="0" applyNumberFormat="1" applyFont="1" applyFill="1" applyBorder="1" applyAlignment="1">
      <x:alignment wrapText="1"/>
    </x:xf>
    <x:xf numFmtId="0" fontId="15" fillId="0" borderId="0" xfId="0" applyNumberFormat="1" applyFont="1" applyFill="1" applyBorder="1" applyAlignment="1">
      <x:alignment vertical="top" wrapText="1"/>
    </x:xf>
    <x:xf numFmtId="0" fontId="15" fillId="0" borderId="1" xfId="0" applyNumberFormat="1" applyFont="1" applyFill="1" applyBorder="1" applyAlignment="1">
      <x:alignment vertical="top" wrapText="1"/>
    </x:xf>
    <x:xf numFmtId="0" fontId="14" fillId="2" borderId="0" xfId="0" applyNumberFormat="1" applyFont="1" applyFill="1" applyBorder="1"/>
    <x:xf numFmtId="0" fontId="0" fillId="0" borderId="0" xfId="0" applyNumberFormat="1" applyFont="1" applyFill="1" applyBorder="1"/>
    <x:xf numFmtId="0" fontId="14" fillId="2" borderId="1" xfId="0" applyNumberFormat="1" applyFont="1" applyFill="1" applyBorder="1"/>
    <x:xf numFmtId="0" fontId="16" fillId="2" borderId="0" xfId="0" applyNumberFormat="1" applyFont="1" applyFill="1" applyBorder="1"/>
    <x:xf numFmtId="0" fontId="17" fillId="0" borderId="0" xfId="0" applyNumberFormat="1" applyFont="1" applyFill="1" applyBorder="1"/>
    <x:xf numFmtId="0" fontId="16" fillId="2" borderId="1" xfId="0" applyNumberFormat="1" applyFont="1" applyFill="1" applyBorder="1"/>
    <x:xf numFmtId="0" fontId="17" fillId="0" borderId="1" xfId="0" applyNumberFormat="1" applyFont="1" applyFill="1" applyBorder="1"/>
    <x:xf numFmtId="0" fontId="17" fillId="2" borderId="0" xfId="0" applyNumberFormat="1" applyFont="1" applyFill="1" applyBorder="1"/>
    <x:xf numFmtId="0" fontId="18" fillId="2" borderId="0" xfId="0" applyNumberFormat="1" applyFont="1" applyFill="1" applyBorder="1"/>
    <x:xf numFmtId="0" fontId="18" fillId="2" borderId="0" xfId="0" applyNumberFormat="1" applyFont="1" applyFill="1" applyBorder="1" applyAlignment="1">
      <x:alignment wrapText="1"/>
    </x:xf>
    <x:xf numFmtId="0" fontId="18" fillId="2" borderId="0" xfId="0" applyNumberFormat="1" applyFont="1" applyFill="1" applyBorder="1" applyAlignment="1">
      <x:alignment vertical="center" wrapText="1"/>
    </x:xf>
    <x:xf numFmtId="0" fontId="17" fillId="2" borderId="1" xfId="0" applyNumberFormat="1" applyFont="1" applyFill="1" applyBorder="1"/>
    <x:xf numFmtId="0" fontId="18" fillId="2" borderId="1" xfId="0" applyNumberFormat="1" applyFont="1" applyFill="1" applyBorder="1"/>
    <x:xf numFmtId="0" fontId="18" fillId="2" borderId="1" xfId="0" applyNumberFormat="1" applyFont="1" applyFill="1" applyBorder="1" applyAlignment="1">
      <x:alignment wrapText="1"/>
    </x:xf>
    <x:xf numFmtId="0" fontId="18" fillId="2" borderId="1" xfId="0" applyNumberFormat="1" applyFont="1" applyFill="1" applyBorder="1" applyAlignment="1">
      <x:alignment vertical="center" wrapText="1"/>
    </x:xf>
    <x:xf numFmtId="0" fontId="0" fillId="11" borderId="0" xfId="0" applyNumberFormat="1" applyFont="1" applyFill="1" applyBorder="1"/>
    <x:xf numFmtId="0" fontId="19" fillId="11" borderId="0" xfId="0" applyNumberFormat="1" applyFont="1" applyFill="1" applyBorder="1"/>
    <x:xf numFmtId="0" fontId="19" fillId="11" borderId="0" xfId="0" applyNumberFormat="1" applyFont="1" applyFill="1" applyBorder="1" applyAlignment="1">
      <x:alignment wrapText="1"/>
    </x:xf>
    <x:xf numFmtId="0" fontId="19" fillId="11" borderId="0" xfId="0" applyNumberFormat="1" applyFont="1" applyFill="1" applyBorder="1" applyAlignment="1">
      <x:alignment vertical="center" wrapText="1"/>
    </x:xf>
    <x:xf numFmtId="0" fontId="0" fillId="11" borderId="1" xfId="0" applyNumberFormat="1" applyFont="1" applyFill="1" applyBorder="1"/>
    <x:xf numFmtId="0" fontId="19" fillId="11" borderId="1" xfId="0" applyNumberFormat="1" applyFont="1" applyFill="1" applyBorder="1"/>
    <x:xf numFmtId="0" fontId="19" fillId="11" borderId="1" xfId="0" applyNumberFormat="1" applyFont="1" applyFill="1" applyBorder="1" applyAlignment="1">
      <x:alignment wrapText="1"/>
    </x:xf>
    <x:xf numFmtId="0" fontId="19" fillId="11" borderId="1" xfId="0" applyNumberFormat="1" applyFont="1" applyFill="1" applyBorder="1" applyAlignment="1">
      <x:alignment vertical="center" wrapText="1"/>
    </x:xf>
    <x:xf numFmtId="0" fontId="5" fillId="3" borderId="0" xfId="0" applyNumberFormat="1" applyFont="1" applyFill="1" applyBorder="1" applyAlignment="1">
      <x:alignment vertical="center" wrapText="1"/>
    </x:xf>
    <x:xf numFmtId="0" fontId="5" fillId="3" borderId="1" xfId="0" applyNumberFormat="1" applyFont="1" applyFill="1" applyBorder="1" applyAlignment="1">
      <x:alignment vertical="center" wrapText="1"/>
    </x:xf>
    <x:xf numFmtId="0" fontId="20" fillId="11" borderId="0" xfId="0" applyNumberFormat="1" applyFont="1" applyFill="1" applyBorder="1"/>
    <x:xf numFmtId="0" fontId="20" fillId="11" borderId="0" xfId="0" applyNumberFormat="1" applyFont="1" applyFill="1" applyBorder="1" applyAlignment="1">
      <x:alignment vertical="center"/>
    </x:xf>
    <x:xf numFmtId="0" fontId="20" fillId="11" borderId="1" xfId="0" applyNumberFormat="1" applyFont="1" applyFill="1" applyBorder="1"/>
    <x:xf numFmtId="0" fontId="20" fillId="11" borderId="1" xfId="0" applyNumberFormat="1" applyFont="1" applyFill="1" applyBorder="1" applyAlignment="1">
      <x:alignment vertical="center"/>
    </x:xf>
    <x:xf numFmtId="0" fontId="14" fillId="3" borderId="0" xfId="0" applyNumberFormat="1" applyFont="1" applyFill="1" applyBorder="1" applyAlignment="1">
      <x:alignment vertical="center" wrapText="1"/>
    </x:xf>
    <x:xf numFmtId="0" fontId="14" fillId="3" borderId="1" xfId="0" applyNumberFormat="1" applyFont="1" applyFill="1" applyBorder="1" applyAlignment="1">
      <x:alignment vertical="center" wrapText="1"/>
    </x:xf>
    <x:xf numFmtId="0" fontId="0" fillId="10" borderId="0" xfId="0" applyNumberFormat="1" applyFont="1" applyFill="1" applyBorder="1"/>
    <x:xf numFmtId="0" fontId="13" fillId="10" borderId="0" xfId="0" applyNumberFormat="1" applyFont="1" applyFill="1" applyBorder="1"/>
    <x:xf numFmtId="0" fontId="0" fillId="10" borderId="1" xfId="0" applyNumberFormat="1" applyFont="1" applyFill="1" applyBorder="1"/>
    <x:xf numFmtId="0" fontId="13" fillId="10" borderId="1" xfId="0" applyNumberFormat="1" applyFont="1" applyFill="1" applyBorder="1"/>
    <x:xf numFmtId="0" fontId="19" fillId="0" borderId="0" xfId="0" applyNumberFormat="1" applyFont="1" applyFill="1" applyBorder="1"/>
    <x:xf numFmtId="0" fontId="19" fillId="0" borderId="0" xfId="0" applyNumberFormat="1" applyFont="1" applyFill="1" applyBorder="1" applyAlignment="1">
      <x:alignment wrapText="1"/>
    </x:xf>
    <x:xf numFmtId="0" fontId="19" fillId="0" borderId="0" xfId="0" applyNumberFormat="1" applyFont="1" applyFill="1" applyBorder="1" applyAlignment="1">
      <x:alignment vertical="center" wrapText="1"/>
    </x:xf>
    <x:xf numFmtId="0" fontId="19" fillId="0" borderId="1" xfId="0" applyNumberFormat="1" applyFont="1" applyFill="1" applyBorder="1"/>
    <x:xf numFmtId="0" fontId="19" fillId="0" borderId="1" xfId="0" applyNumberFormat="1" applyFont="1" applyFill="1" applyBorder="1" applyAlignment="1">
      <x:alignment wrapText="1"/>
    </x:xf>
    <x:xf numFmtId="0" fontId="19" fillId="0" borderId="1" xfId="0" applyNumberFormat="1" applyFont="1" applyFill="1" applyBorder="1" applyAlignment="1">
      <x:alignment vertical="center" wrapText="1"/>
    </x:xf>
    <x:xf numFmtId="0" fontId="0" fillId="6" borderId="0" xfId="0" applyNumberFormat="1" applyFont="1" applyFill="1" applyBorder="1"/>
    <x:xf numFmtId="0" fontId="10" fillId="6" borderId="0" xfId="0" applyNumberFormat="1" applyFont="1" applyFill="1" applyBorder="1"/>
    <x:xf numFmtId="0" fontId="0" fillId="6" borderId="1" xfId="0" applyNumberFormat="1" applyFont="1" applyFill="1" applyBorder="1"/>
    <x:xf numFmtId="0" fontId="10" fillId="6" borderId="1" xfId="0" applyNumberFormat="1" applyFont="1" applyFill="1" applyBorder="1"/>
    <x:xf numFmtId="0" fontId="0" fillId="7" borderId="0" xfId="0" applyNumberFormat="1" applyFont="1" applyFill="1" applyBorder="1"/>
    <x:xf numFmtId="0" fontId="11" fillId="7" borderId="0" xfId="0" applyNumberFormat="1" applyFont="1" applyFill="1" applyBorder="1"/>
    <x:xf numFmtId="0" fontId="0" fillId="7" borderId="1" xfId="0" applyNumberFormat="1" applyFont="1" applyFill="1" applyBorder="1"/>
    <x:xf numFmtId="0" fontId="11" fillId="7" borderId="1" xfId="0" applyNumberFormat="1" applyFont="1" applyFill="1" applyBorder="1"/>
    <x:xf numFmtId="0" fontId="0" fillId="9" borderId="0" xfId="0" applyNumberFormat="1" applyFont="1" applyFill="1" applyBorder="1"/>
    <x:xf numFmtId="0" fontId="12" fillId="9" borderId="0" xfId="0" applyNumberFormat="1" applyFont="1" applyFill="1" applyBorder="1"/>
    <x:xf numFmtId="0" fontId="0" fillId="9" borderId="1" xfId="0" applyNumberFormat="1" applyFont="1" applyFill="1" applyBorder="1"/>
    <x:xf numFmtId="0" fontId="12" fillId="9" borderId="1" xfId="0" applyNumberFormat="1" applyFont="1" applyFill="1" applyBorder="1"/>
    <x:xf numFmtId="0" fontId="0" fillId="8" borderId="0" xfId="0" applyNumberFormat="1" applyFont="1" applyFill="1" applyBorder="1"/>
    <x:xf numFmtId="0" fontId="11" fillId="8" borderId="0" xfId="0" applyNumberFormat="1" applyFont="1" applyFill="1" applyBorder="1"/>
    <x:xf numFmtId="0" fontId="0" fillId="8" borderId="1" xfId="0" applyNumberFormat="1" applyFont="1" applyFill="1" applyBorder="1"/>
    <x:xf numFmtId="0" fontId="11" fillId="8" borderId="1" xfId="0" applyNumberFormat="1" applyFont="1" applyFill="1" applyBorder="1"/>
    <x:xf numFmtId="0" fontId="0" fillId="5" borderId="0" xfId="0" applyNumberFormat="1" applyFont="1" applyFill="1" applyBorder="1"/>
    <x:xf numFmtId="0" fontId="9" fillId="5" borderId="0" xfId="0" applyNumberFormat="1" applyFont="1" applyFill="1" applyBorder="1"/>
    <x:xf numFmtId="0" fontId="0" fillId="5" borderId="1" xfId="0" applyNumberFormat="1" applyFont="1" applyFill="1" applyBorder="1"/>
    <x:xf numFmtId="0" fontId="9" fillId="5" borderId="1" xfId="0" applyNumberFormat="1" applyFont="1" applyFill="1" applyBorder="1"/>
    <x:xf numFmtId="0" fontId="0" fillId="4" borderId="0" xfId="0" applyNumberFormat="1" applyFont="1" applyFill="1" applyBorder="1"/>
    <x:xf numFmtId="0" fontId="8" fillId="4" borderId="0" xfId="0" applyNumberFormat="1" applyFont="1" applyFill="1" applyBorder="1"/>
    <x:xf numFmtId="0" fontId="0" fillId="4" borderId="1" xfId="0" applyNumberFormat="1" applyFont="1" applyFill="1" applyBorder="1"/>
    <x:xf numFmtId="0" fontId="8" fillId="4" borderId="1" xfId="0" applyNumberFormat="1" applyFont="1" applyFill="1" applyBorder="1"/>
    <x:xf numFmtId="0" fontId="21" fillId="0" borderId="0" xfId="0" applyNumberFormat="1" applyFont="1" applyFill="1" applyBorder="1"/>
    <x:xf numFmtId="0" fontId="21" fillId="0" borderId="0" xfId="0" applyNumberFormat="1" applyFont="1" applyFill="1" applyBorder="1" applyAlignment="1">
      <x:alignment wrapText="1"/>
    </x:xf>
    <x:xf numFmtId="0" fontId="21" fillId="0" borderId="0" xfId="0" applyNumberFormat="1" applyFont="1" applyFill="1" applyBorder="1" applyAlignment="1">
      <x:alignment vertical="center" wrapText="1"/>
    </x:xf>
    <x:xf numFmtId="0" fontId="21" fillId="0" borderId="1" xfId="0" applyNumberFormat="1" applyFont="1" applyFill="1" applyBorder="1"/>
    <x:xf numFmtId="0" fontId="21" fillId="0" borderId="1" xfId="0" applyNumberFormat="1" applyFont="1" applyFill="1" applyBorder="1" applyAlignment="1">
      <x:alignment wrapText="1"/>
    </x:xf>
    <x:xf numFmtId="0" fontId="21" fillId="0" borderId="1" xfId="0" applyNumberFormat="1" applyFont="1" applyFill="1" applyBorder="1" applyAlignment="1">
      <x:alignment vertical="center" wrapText="1"/>
    </x:xf>
    <x:xf numFmtId="0" fontId="22" fillId="2" borderId="0" xfId="0" applyNumberFormat="1" applyFont="1" applyFill="1" applyBorder="1"/>
    <x:xf numFmtId="0" fontId="22" fillId="2" borderId="1" xfId="0" applyNumberFormat="1" applyFont="1" applyFill="1" applyBorder="1"/>
    <x:xf numFmtId="0" fontId="0" fillId="11" borderId="0" xfId="0" applyNumberFormat="1" applyFont="1" applyFill="1" applyBorder="1" applyAlignment="1">
      <x:alignment wrapText="1"/>
    </x:xf>
    <x:xf numFmtId="0" fontId="0" fillId="11" borderId="0" xfId="0" applyNumberFormat="1" applyFont="1" applyFill="1" applyBorder="1" applyAlignment="1">
      <x:alignment vertical="center" wrapText="1"/>
    </x:xf>
    <x:xf numFmtId="0" fontId="0" fillId="11" borderId="1" xfId="0" applyNumberFormat="1" applyFont="1" applyFill="1" applyBorder="1" applyAlignment="1">
      <x:alignment wrapText="1"/>
    </x:xf>
    <x:xf numFmtId="0" fontId="0" fillId="11" borderId="1" xfId="0" applyNumberFormat="1" applyFont="1" applyFill="1" applyBorder="1" applyAlignment="1">
      <x:alignment vertical="center" wrapText="1"/>
    </x:xf>
    <x:xf numFmtId="0" fontId="23" fillId="0" borderId="0" xfId="0" applyNumberFormat="1" applyFont="1" applyFill="1" applyBorder="1"/>
    <x:xf numFmtId="0" fontId="23" fillId="0" borderId="0" xfId="0" applyNumberFormat="1" applyFont="1" applyFill="1" applyBorder="1" applyAlignment="1">
      <x:alignment wrapText="1"/>
    </x:xf>
    <x:xf numFmtId="0" fontId="23" fillId="0" borderId="0" xfId="0" applyNumberFormat="1" applyFont="1" applyFill="1" applyBorder="1" applyAlignment="1">
      <x:alignment vertical="top" wrapText="1"/>
    </x:xf>
    <x:xf numFmtId="0" fontId="23" fillId="0" borderId="1" xfId="0" applyNumberFormat="1" applyFont="1" applyFill="1" applyBorder="1"/>
    <x:xf numFmtId="0" fontId="23" fillId="0" borderId="1" xfId="0" applyNumberFormat="1" applyFont="1" applyFill="1" applyBorder="1" applyAlignment="1">
      <x:alignment wrapText="1"/>
    </x:xf>
    <x:xf numFmtId="0" fontId="23" fillId="0" borderId="1" xfId="0" applyNumberFormat="1" applyFont="1" applyFill="1" applyBorder="1" applyAlignment="1">
      <x:alignment vertical="top" wrapText="1"/>
    </x:xf>
    <x:xf numFmtId="0" fontId="13" fillId="10" borderId="0" xfId="0" applyNumberFormat="1" applyFont="1" applyFill="1" applyBorder="1" applyAlignment="1">
      <x:alignment vertical="center"/>
    </x:xf>
    <x:xf numFmtId="0" fontId="10" fillId="6" borderId="0" xfId="0" applyNumberFormat="1" applyFont="1" applyFill="1" applyBorder="1" applyAlignment="1">
      <x:alignment vertical="center"/>
    </x:xf>
    <x:xf numFmtId="0" fontId="11" fillId="7" borderId="0" xfId="0" applyNumberFormat="1" applyFont="1" applyFill="1" applyBorder="1" applyAlignment="1">
      <x:alignment vertical="center"/>
    </x:xf>
    <x:xf numFmtId="0" fontId="12" fillId="9" borderId="0" xfId="0" applyNumberFormat="1" applyFont="1" applyFill="1" applyBorder="1" applyAlignment="1">
      <x:alignment vertical="center"/>
    </x:xf>
    <x:xf numFmtId="0" fontId="11" fillId="8" borderId="0" xfId="0" applyNumberFormat="1" applyFont="1" applyFill="1" applyBorder="1" applyAlignment="1">
      <x:alignment vertical="center"/>
    </x:xf>
    <x:xf numFmtId="0" fontId="9" fillId="5" borderId="0" xfId="0" applyNumberFormat="1" applyFont="1" applyFill="1" applyBorder="1" applyAlignment="1">
      <x:alignment vertical="center"/>
    </x:xf>
    <x:xf numFmtId="0" fontId="8" fillId="4" borderId="0" xfId="0" applyNumberFormat="1" applyFont="1" applyFill="1" applyBorder="1" applyAlignment="1">
      <x:alignment vertical="center"/>
    </x:xf>
  </x:cellXfs>
  <x:cellStyles count="1">
    <x:cellStyle name="Normal" xfId="0"/>
  </x:cellStyles>
  <x:dxfs count="14">
    <x:dxf>
      <x:font>
        <x:b/>
        <x:color rgb="FF1A603E"/>
      </x:font>
      <x:fill>
        <x:patternFill patternType="solid">
          <x:bgColor rgb="FFDDF1E7"/>
        </x:patternFill>
      </x:fill>
    </x:dxf>
    <x:dxf>
      <x:font>
        <x:b/>
        <x:color rgb="FF244F7A"/>
      </x:font>
      <x:fill>
        <x:patternFill patternType="solid">
          <x:bgColor rgb="FFE5EFFA"/>
        </x:patternFill>
      </x:fill>
    </x:dxf>
    <x:dxf>
      <x:font>
        <x:b/>
        <x:color rgb="FF755500"/>
      </x:font>
      <x:fill>
        <x:patternFill patternType="solid">
          <x:bgColor rgb="FFFFF0C2"/>
        </x:patternFill>
      </x:fill>
    </x:dxf>
    <x:dxf>
      <x:font>
        <x:b/>
        <x:color rgb="FF9A2020"/>
      </x:font>
      <x:fill>
        <x:patternFill patternType="solid">
          <x:bgColor rgb="FFFBD7D7"/>
        </x:patternFill>
      </x:fill>
    </x:dxf>
    <x:dxf>
      <x:font>
        <x:b/>
        <x:color rgb="FF755500"/>
      </x:font>
      <x:fill>
        <x:patternFill patternType="solid">
          <x:bgColor rgb="FFFFF5DB"/>
        </x:patternFill>
      </x:fill>
    </x:dxf>
    <x:dxf>
      <x:font>
        <x:b/>
        <x:color rgb="FF58616D"/>
      </x:font>
      <x:fill>
        <x:patternFill patternType="solid">
          <x:bgColor rgb="FFE9EBEF"/>
        </x:patternFill>
      </x:fill>
    </x:dxf>
    <x:dxf>
      <x:font>
        <x:b/>
        <x:color rgb="FF576C70"/>
      </x:font>
      <x:fill>
        <x:patternFill patternType="solid">
          <x:bgColor rgb="FFF0F4F5"/>
        </x:patternFill>
      </x:fill>
    </x:dxf>
    <x:dxf>
      <x:font>
        <x:b/>
        <x:color rgb="FF1A603E"/>
      </x:font>
      <x:fill>
        <x:patternFill patternType="solid">
          <x:bgColor rgb="FFDDF1E7"/>
        </x:patternFill>
      </x:fill>
    </x:dxf>
    <x:dxf>
      <x:font>
        <x:b/>
        <x:color rgb="FF244F7A"/>
      </x:font>
      <x:fill>
        <x:patternFill patternType="solid">
          <x:bgColor rgb="FFE5EFFA"/>
        </x:patternFill>
      </x:fill>
    </x:dxf>
    <x:dxf>
      <x:font>
        <x:b/>
        <x:color rgb="FF755500"/>
      </x:font>
      <x:fill>
        <x:patternFill patternType="solid">
          <x:bgColor rgb="FFFFF0C2"/>
        </x:patternFill>
      </x:fill>
    </x:dxf>
    <x:dxf>
      <x:font>
        <x:b/>
        <x:color rgb="FF9A2020"/>
      </x:font>
      <x:fill>
        <x:patternFill patternType="solid">
          <x:bgColor rgb="FFFBD7D7"/>
        </x:patternFill>
      </x:fill>
    </x:dxf>
    <x:dxf>
      <x:font>
        <x:b/>
        <x:color rgb="FF755500"/>
      </x:font>
      <x:fill>
        <x:patternFill patternType="solid">
          <x:bgColor rgb="FFFFF5DB"/>
        </x:patternFill>
      </x:fill>
    </x:dxf>
    <x:dxf>
      <x:font>
        <x:b/>
        <x:color rgb="FF58616D"/>
      </x:font>
      <x:fill>
        <x:patternFill patternType="solid">
          <x:bgColor rgb="FFE9EBEF"/>
        </x:patternFill>
      </x:fill>
    </x:dxf>
    <x:dxf>
      <x:font>
        <x:b/>
        <x:color rgb="FF576C70"/>
      </x:font>
      <x:fill>
        <x:patternFill patternType="solid">
          <x:bgColor rgb="FFF0F4F5"/>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f5c7d9d597fb4417" /><Relationship Type="http://schemas.openxmlformats.org/officeDocument/2006/relationships/theme" Target="/xl/theme/theme1.xml" Id="Ra39c5c180ad347b4" /><Relationship Type="http://schemas.openxmlformats.org/officeDocument/2006/relationships/sharedStrings" Target="/xl/sharedStrings.xml" Id="Reb46fe56b1a04b6c" /><Relationship Type="http://schemas.openxmlformats.org/officeDocument/2006/relationships/worksheet" Target="/xl/worksheets/sheet1.xml" Id="R52824fd982514bc7" /><Relationship Type="http://schemas.openxmlformats.org/officeDocument/2006/relationships/worksheet" Target="/xl/worksheets/sheet2.xml" Id="R13c8348491fb418d" /><Relationship Type="http://schemas.openxmlformats.org/officeDocument/2006/relationships/worksheet" Target="/xl/worksheets/sheet3.xml" Id="R54dc5ab0f93f4a51" /><Relationship Type="http://schemas.openxmlformats.org/officeDocument/2006/relationships/worksheet" Target="/xl/worksheets/sheet4.xml" Id="Rc9ff9609b0c24039" /><Relationship Type="http://schemas.openxmlformats.org/officeDocument/2006/relationships/worksheet" Target="/xl/worksheets/sheet5.xml" Id="R19ef6ca9814545b8" /><Relationship Type="http://schemas.openxmlformats.org/officeDocument/2006/relationships/worksheet" Target="/xl/worksheets/sheet6.xml" Id="R4d654e48b25b4af2" /><Relationship Type="http://schemas.openxmlformats.org/officeDocument/2006/relationships/worksheet" Target="/xl/worksheets/sheet7.xml" Id="Rfbcd92dbdb954b2e" /><Relationship Type="http://schemas.openxmlformats.org/officeDocument/2006/relationships/worksheet" Target="/xl/worksheets/sheet8.xml" Id="Ra87e3e8c7a7c4c7e" /></Relationships>
</file>

<file path=xl/tables/table1.xml><?xml version="1.0" encoding="utf-8"?>
<x:table xmlns:x="http://schemas.openxmlformats.org/spreadsheetml/2006/main" id="7" name="ClaimVerificationLog" displayName="ClaimVerificationLog" ref="A8:H23" headerRowCount="1" totalsRowCount="0" totalsRowShown="0">
  <x:tableColumns count="8">
    <x:tableColumn id="1" name="Claim / relationship"/>
    <x:tableColumn id="2" name="Discovery bookmark ID"/>
    <x:tableColumn id="3" name="Original record URL / ID"/>
    <x:tableColumn id="4" name="Relevant record date"/>
    <x:tableColumn id="5" name="Identity match basis"/>
    <x:tableColumn id="6" name="Role / exact support"/>
    <x:tableColumn id="7" name="Contradictions or gaps"/>
    <x:tableColumn id="8" name="Conclusion"/>
  </x:tableColumns>
  <x:tableStyleInfo name="TableStyleMedium2" showFirstColumn="0" showLastColumn="0" showRowStripes="1" showColumnStripes="0"/>
</x:table>
</file>

<file path=xl/tables/table2.xml><?xml version="1.0" encoding="utf-8"?>
<x:table xmlns:x="http://schemas.openxmlformats.org/spreadsheetml/2006/main" id="1" name="AllResources" displayName="AllResources" ref="A5:T1177" headerRowCount="1" totalsRowCount="0" totalsRowShown="0">
  <x:tableColumns count="20">
    <x:tableColumn id="1" name="ID"/>
    <x:tableColumn id="2" name="Resource (original label)"/>
    <x:tableColumn id="3" name="Grade"/>
    <x:tableColumn id="4" name="Review basis"/>
    <x:tableColumn id="5" name="Original section"/>
    <x:tableColumn id="6" name="Scope of rating"/>
    <x:tableColumn id="7" name="Main limitation"/>
    <x:tableColumn id="8" name="Recommended use"/>
    <x:tableColumn id="9" name="Availability / maintenance"/>
    <x:tableColumn id="10" name="Review method"/>
    <x:tableColumn id="11" name="Source IDs"/>
    <x:tableColumn id="12" name="Evidence URLs"/>
    <x:tableColumn id="13" name="Original bookmark URL"/>
    <x:tableColumn id="14" name="Bookmark ID"/>
    <x:tableColumn id="15" name="HTML line"/>
    <x:tableColumn id="16" name="Order in section"/>
    <x:tableColumn id="17" name="Checked on"/>
    <x:tableColumn id="18" name="Exact URL occurrences"/>
    <x:tableColumn id="19" name="Priority"/>
    <x:tableColumn id="20" name="Assessment confidence"/>
  </x:tableColumns>
  <x:tableStyleInfo name="TableStyleMedium2" showFirstColumn="0" showLastColumn="0" showRowStripes="1" showColumnStripes="0"/>
</x:table>
</file>

<file path=xl/tables/table3.xml><?xml version="1.0" encoding="utf-8"?>
<x:table xmlns:x="http://schemas.openxmlformats.org/spreadsheetml/2006/main" id="2" name="DocumentedAudit" displayName="DocumentedAudit" ref="A5:T107" headerRowCount="1" totalsRowCount="0" totalsRowShown="0">
  <x:tableColumns count="20">
    <x:tableColumn id="1" name="ID"/>
    <x:tableColumn id="2" name="Resource (original label)"/>
    <x:tableColumn id="3" name="Grade"/>
    <x:tableColumn id="4" name="Review basis"/>
    <x:tableColumn id="5" name="Original section"/>
    <x:tableColumn id="6" name="Scope of rating"/>
    <x:tableColumn id="7" name="Main limitation"/>
    <x:tableColumn id="8" name="Recommended use"/>
    <x:tableColumn id="9" name="Availability / maintenance"/>
    <x:tableColumn id="10" name="Review method"/>
    <x:tableColumn id="11" name="Source IDs"/>
    <x:tableColumn id="12" name="Evidence URLs"/>
    <x:tableColumn id="13" name="Original bookmark URL"/>
    <x:tableColumn id="14" name="Bookmark ID"/>
    <x:tableColumn id="15" name="HTML line"/>
    <x:tableColumn id="16" name="Order in section"/>
    <x:tableColumn id="17" name="Checked on"/>
    <x:tableColumn id="18" name="Exact URL occurrences"/>
    <x:tableColumn id="19" name="Priority"/>
    <x:tableColumn id="20" name="Assessment confidence"/>
  </x:tableColumns>
  <x:tableStyleInfo name="TableStyleMedium2" showFirstColumn="0" showLastColumn="0" showRowStripes="1" showColumnStripes="0"/>
</x:table>
</file>

<file path=xl/tables/table4.xml><?xml version="1.0" encoding="utf-8"?>
<x:table xmlns:x="http://schemas.openxmlformats.org/spreadsheetml/2006/main" id="3" name="ContactsRecords" displayName="ContactsRecords" ref="A5:T225" headerRowCount="1" totalsRowCount="0" totalsRowShown="0">
  <x:tableColumns count="20">
    <x:tableColumn id="1" name="ID"/>
    <x:tableColumn id="2" name="Resource (original label)"/>
    <x:tableColumn id="3" name="Grade"/>
    <x:tableColumn id="4" name="Review basis"/>
    <x:tableColumn id="5" name="Original section"/>
    <x:tableColumn id="6" name="Scope of rating"/>
    <x:tableColumn id="7" name="Main limitation"/>
    <x:tableColumn id="8" name="Recommended use"/>
    <x:tableColumn id="9" name="Availability / maintenance"/>
    <x:tableColumn id="10" name="Review method"/>
    <x:tableColumn id="11" name="Source IDs"/>
    <x:tableColumn id="12" name="Evidence URLs"/>
    <x:tableColumn id="13" name="Original bookmark URL"/>
    <x:tableColumn id="14" name="Bookmark ID"/>
    <x:tableColumn id="15" name="HTML line"/>
    <x:tableColumn id="16" name="Order in section"/>
    <x:tableColumn id="17" name="Checked on"/>
    <x:tableColumn id="18" name="Exact URL occurrences"/>
    <x:tableColumn id="19" name="Priority"/>
    <x:tableColumn id="20" name="Assessment confidence"/>
  </x:tableColumns>
  <x:tableStyleInfo name="TableStyleMedium2" showFirstColumn="0" showLastColumn="0" showRowStripes="1" showColumnStripes="0"/>
</x:table>
</file>

<file path=xl/tables/table5.xml><?xml version="1.0" encoding="utf-8"?>
<x:table xmlns:x="http://schemas.openxmlformats.org/spreadsheetml/2006/main" id="4" name="EvidenceSources" displayName="EvidenceSources" ref="A5:F99" headerRowCount="1" totalsRowCount="0" totalsRowShown="0">
  <x:tableColumns count="6">
    <x:tableColumn id="1" name="Source ID"/>
    <x:tableColumn id="2" name="Evidence URL"/>
    <x:tableColumn id="3" name="Review method"/>
    <x:tableColumn id="4" name="Supported assessment / limitation"/>
    <x:tableColumn id="5" name="Checked on"/>
    <x:tableColumn id="6" name="Bookmark IDs"/>
  </x:tableColumns>
  <x:tableStyleInfo name="TableStyleMedium2" showFirstColumn="0" showLastColumn="0" showRowStripes="1" showColumnStripes="0"/>
</x:table>
</file>

<file path=xl/tables/table6.xml><?xml version="1.0" encoding="utf-8"?>
<x:table xmlns:x="http://schemas.openxmlformats.org/spreadsheetml/2006/main" id="5" name="CategoryCoverage" displayName="CategoryCoverage" ref="A5:J60" headerRowCount="1" totalsRowCount="0" totalsRowShown="0">
  <x:tableColumns count="10">
    <x:tableColumn id="1" name="Original section"/>
    <x:tableColumn id="2" name="Bookmarks"/>
    <x:tableColumn id="3" name="Documented"/>
    <x:tableColumn id="4" name="Provisional"/>
    <x:tableColumn id="5" name="Unverified (U)"/>
    <x:tableColumn id="6" name="Not evidence (N/A)"/>
    <x:tableColumn id="7" name="A"/>
    <x:tableColumn id="8" name="B"/>
    <x:tableColumn id="9" name="C"/>
    <x:tableColumn id="10" name="D"/>
  </x:tableColumns>
  <x:tableStyleInfo name="TableStyleMedium2" showFirstColumn="0" showLastColumn="0" showRowStripes="1" showColumnStripes="0"/>
</x:table>
</file>

<file path=xl/tables/table7.xml><?xml version="1.0" encoding="utf-8"?>
<x:table xmlns:x="http://schemas.openxmlformats.org/spreadsheetml/2006/main" id="6" name="PriorityFindings" displayName="PriorityFindings" ref="A5:F15" headerRowCount="1" totalsRowCount="0" totalsRowShown="0">
  <x:tableColumns count="6">
    <x:tableColumn id="1" name="Bookmark ID"/>
    <x:tableColumn id="2" name="Original resource label"/>
    <x:tableColumn id="3" name="Issue"/>
    <x:tableColumn id="4" name="Documented observation"/>
    <x:tableColumn id="5" name="Recommended action"/>
    <x:tableColumn id="6" name="Evidence URL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c40929338c1a43a9" /></Relationships>
</file>

<file path=xl/worksheets/_rels/sheet3.xml.rels>&#65279;<?xml version="1.0" encoding="utf-8"?><Relationships xmlns="http://schemas.openxmlformats.org/package/2006/relationships"><Relationship Type="http://schemas.openxmlformats.org/officeDocument/2006/relationships/table" Target="/xl/tables/table2.xml" Id="R43f7cd9b1b594a35" /></Relationships>
</file>

<file path=xl/worksheets/_rels/sheet4.xml.rels>&#65279;<?xml version="1.0" encoding="utf-8"?><Relationships xmlns="http://schemas.openxmlformats.org/package/2006/relationships"><Relationship Type="http://schemas.openxmlformats.org/officeDocument/2006/relationships/table" Target="/xl/tables/table3.xml" Id="R34e7131e3ce149a0" /></Relationships>
</file>

<file path=xl/worksheets/_rels/sheet5.xml.rels>&#65279;<?xml version="1.0" encoding="utf-8"?><Relationships xmlns="http://schemas.openxmlformats.org/package/2006/relationships"><Relationship Type="http://schemas.openxmlformats.org/officeDocument/2006/relationships/table" Target="/xl/tables/table4.xml" Id="R89fc5f31b88049f0" /></Relationships>
</file>

<file path=xl/worksheets/_rels/sheet6.xml.rels>&#65279;<?xml version="1.0" encoding="utf-8"?><Relationships xmlns="http://schemas.openxmlformats.org/package/2006/relationships"><Relationship Type="http://schemas.openxmlformats.org/officeDocument/2006/relationships/table" Target="/xl/tables/table5.xml" Id="Rb1ff0bd35774496d" /></Relationships>
</file>

<file path=xl/worksheets/_rels/sheet7.xml.rels>&#65279;<?xml version="1.0" encoding="utf-8"?><Relationships xmlns="http://schemas.openxmlformats.org/package/2006/relationships"><Relationship Type="http://schemas.openxmlformats.org/officeDocument/2006/relationships/table" Target="/xl/tables/table6.xml" Id="R25d11353a0df45c2" /></Relationships>
</file>

<file path=xl/worksheets/_rels/sheet8.xml.rels>&#65279;<?xml version="1.0" encoding="utf-8"?><Relationships xmlns="http://schemas.openxmlformats.org/package/2006/relationships"><Relationship Type="http://schemas.openxmlformats.org/officeDocument/2006/relationships/table" Target="/xl/tables/table7.xml" Id="Rb6feb7ddb8c1471b" /></Relationships>
</file>

<file path=xl/worksheets/sheet1.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ht="27" customHeight="1">
      <x:c r="A1" s="82" t="str">
        <x:v>OSINT4ALL  /  RELIABILITY AUDIT</x:v>
      </x:c>
      <x:c r="B1" s="82"/>
      <x:c r="C1" s="82"/>
      <x:c r="D1" s="82"/>
      <x:c r="E1" s="82"/>
      <x:c r="F1" s="82"/>
      <x:c r="G1" s="82"/>
      <x:c r="H1" s="82"/>
    </x:row>
    <x:row r="2" ht="27" customHeight="1">
      <x:c r="A2" s="82"/>
      <x:c r="B2" s="82"/>
      <x:c r="C2" s="82"/>
      <x:c r="D2" s="82"/>
      <x:c r="E2" s="82"/>
      <x:c r="F2" s="82"/>
      <x:c r="G2" s="82"/>
      <x:c r="H2" s="82"/>
    </x:row>
    <x:row r="3" ht="23" customHeight="1">
      <x:c r="A3" s="90" t="str">
        <x:v>Snapshot: 15 September 2026  •  Complete bookmark inventory; partial external desk review. This is not an accuracy benchmark, security audit, or live lookup test.</x:v>
      </x:c>
      <x:c r="B3" s="90"/>
      <x:c r="C3" s="90"/>
      <x:c r="D3" s="90"/>
      <x:c r="E3" s="90"/>
      <x:c r="F3" s="90"/>
      <x:c r="G3" s="90"/>
      <x:c r="H3" s="90"/>
    </x:row>
    <x:row r="4" ht="23" customHeight="1">
      <x:c r="A4" s="90"/>
      <x:c r="B4" s="90"/>
      <x:c r="C4" s="90"/>
      <x:c r="D4" s="90"/>
      <x:c r="E4" s="90"/>
      <x:c r="F4" s="90"/>
      <x:c r="G4" s="90"/>
      <x:c r="H4" s="90"/>
    </x:row>
    <x:row r="5" ht="23" customHeight="1"/>
    <x:row r="6" ht="23" customHeight="1">
      <x:c r="A6" s="95" t="str">
        <x:v>BOOKMARKS</x:v>
      </x:c>
      <x:c r="B6" s="95"/>
      <x:c r="C6" s="95" t="str">
        <x:v>ORIGINAL SECTIONS</x:v>
      </x:c>
      <x:c r="D6" s="95"/>
      <x:c r="E6" s="95" t="str">
        <x:v>DOCUMENTED ROWS</x:v>
      </x:c>
      <x:c r="F6" s="95"/>
      <x:c r="G6" s="95" t="str">
        <x:v>CONTACT / RECORD ROWS</x:v>
      </x:c>
      <x:c r="H6" s="95"/>
    </x:row>
    <x:row r="7" ht="23" customHeight="1">
      <x:c r="A7" s="98" t="n">
        <x:f>COUNTA('All resources'!A6:A1177)</x:f>
        <x:v>1172</x:v>
      </x:c>
      <x:c r="B7" s="98"/>
      <x:c r="C7" s="98" t="n">
        <x:f>COUNTA(Categories!A6:A60)</x:f>
        <x:v>55</x:v>
      </x:c>
      <x:c r="D7" s="98"/>
      <x:c r="E7" s="98" t="n">
        <x:f>COUNTIF('All resources'!D6:D1177,"Documented")</x:f>
        <x:v>102</x:v>
      </x:c>
      <x:c r="F7" s="98"/>
      <x:c r="G7" s="98" t="n">
        <x:f>COUNTIF('All resources'!S6:S1177,"Contacts / records")</x:f>
        <x:v>220</x:v>
      </x:c>
      <x:c r="H7" s="98"/>
    </x:row>
    <x:row r="8" ht="23" customHeight="1">
      <x:c r="A8" s="98"/>
      <x:c r="B8" s="98"/>
      <x:c r="C8" s="98"/>
      <x:c r="D8" s="98"/>
      <x:c r="E8" s="98"/>
      <x:c r="F8" s="98"/>
      <x:c r="G8" s="98"/>
      <x:c r="H8" s="98"/>
    </x:row>
    <x:row r="9" ht="23" customHeight="1"/>
    <x:row r="10" ht="23" customHeight="1">
      <x:c r="A10" s="101" t="str">
        <x:v>READ GRADE AND REVIEW BASIS TOGETHER</x:v>
      </x:c>
      <x:c r="B10" s="101"/>
      <x:c r="C10" s="101"/>
      <x:c r="D10" s="101"/>
      <x:c r="E10" s="101"/>
      <x:c r="F10" s="101"/>
      <x:c r="G10" s="101"/>
      <x:c r="H10" s="101"/>
    </x:row>
    <x:row r="11" ht="36" customHeight="1">
      <x:c r="A11" s="155" t="str">
        <x:v>A</x:v>
      </x:c>
      <x:c r="B11" s="109" t="str">
        <x:v>Official record provenance; strongest for the exact record and dated field—not every allegation or identity match.</x:v>
      </x:c>
      <x:c r="C11" s="109"/>
      <x:c r="D11" s="109"/>
      <x:c r="E11" s="109"/>
      <x:c r="F11" s="109"/>
      <x:c r="G11" s="109"/>
      <x:c r="H11" s="109"/>
    </x:row>
    <x:row r="12" ht="36" customHeight="1">
      <x:c r="A12" s="156" t="str">
        <x:v>B</x:v>
      </x:c>
      <x:c r="B12" s="109" t="str">
        <x:v>Useful, bounded evidence: source-linked records or documented technical checks. Verify date and scope.</x:v>
      </x:c>
      <x:c r="C12" s="109"/>
      <x:c r="D12" s="109"/>
      <x:c r="E12" s="109"/>
      <x:c r="F12" s="109"/>
      <x:c r="G12" s="109"/>
      <x:c r="H12" s="109"/>
    </x:row>
    <x:row r="13" ht="36" customHeight="1">
      <x:c r="A13" s="157" t="str">
        <x:v>C</x:v>
      </x:c>
      <x:c r="B13" s="109" t="str">
        <x:v>A documented lead source. Do not treat an inferred match as an established identity or relationship.</x:v>
      </x:c>
      <x:c r="C13" s="109"/>
      <x:c r="D13" s="109"/>
      <x:c r="E13" s="109"/>
      <x:c r="F13" s="109"/>
      <x:c r="G13" s="109"/>
      <x:c r="H13" s="109"/>
    </x:row>
    <x:row r="14" ht="36" customHeight="1">
      <x:c r="A14" s="158" t="str">
        <x:v>D</x:v>
      </x:c>
      <x:c r="B14" s="109" t="str">
        <x:v>Documented reason for heightened caution. The cited history is not a universal claim about every current result.</x:v>
      </x:c>
      <x:c r="C14" s="109"/>
      <x:c r="D14" s="109"/>
      <x:c r="E14" s="109"/>
      <x:c r="F14" s="109"/>
      <x:c r="G14" s="109"/>
      <x:c r="H14" s="109"/>
    </x:row>
    <x:row r="15" ht="36" customHeight="1">
      <x:c r="A15" s="159" t="str">
        <x:v>C-P</x:v>
      </x:c>
      <x:c r="B15" s="109" t="str">
        <x:v>Provisional lead-only ceiling from saved metadata. Provider and current function not independently verified.</x:v>
      </x:c>
      <x:c r="C15" s="109"/>
      <x:c r="D15" s="109"/>
      <x:c r="E15" s="109"/>
      <x:c r="F15" s="109"/>
      <x:c r="G15" s="109"/>
      <x:c r="H15" s="109"/>
    </x:row>
    <x:row r="16" ht="36" customHeight="1">
      <x:c r="A16" s="160" t="str">
        <x:v>U</x:v>
      </x:c>
      <x:c r="B16" s="109" t="str">
        <x:v>Unverified. Includes 34 unresolved access attempts and 429 unassessed entries; not an adverse finding.</x:v>
      </x:c>
      <x:c r="C16" s="109"/>
      <x:c r="D16" s="109"/>
      <x:c r="E16" s="109"/>
      <x:c r="F16" s="109"/>
      <x:c r="G16" s="109"/>
      <x:c r="H16" s="109"/>
    </x:row>
    <x:row r="17" ht="36" customHeight="1">
      <x:c r="A17" s="161" t="str">
        <x:v>N/A</x:v>
      </x:c>
      <x:c r="B17" s="109" t="str">
        <x:v>Not a source of connection evidence. This is not a performance, safety, or privacy endorsement.</x:v>
      </x:c>
      <x:c r="C17" s="109"/>
      <x:c r="D17" s="109"/>
      <x:c r="E17" s="109"/>
      <x:c r="F17" s="109"/>
      <x:c r="G17" s="109"/>
      <x:c r="H17" s="109"/>
    </x:row>
    <x:row r="18" ht="23" customHeight="1"/>
    <x:row r="19" ht="23" customHeight="1">
      <x:c r="A19" s="101" t="str">
        <x:v>COVERAGE • GRADES ARE NOT ACCURACY PERCENTAGES</x:v>
      </x:c>
      <x:c r="B19" s="101"/>
      <x:c r="C19" s="101"/>
      <x:c r="D19" s="101"/>
      <x:c r="E19" s="101"/>
      <x:c r="F19" s="101"/>
      <x:c r="G19" s="101"/>
      <x:c r="H19" s="101"/>
    </x:row>
    <x:row r="20" ht="23" customHeight="1">
      <x:c r="A20" t="str">
        <x:v>Review basis</x:v>
      </x:c>
      <x:c r="B20" t="str">
        <x:v>Count</x:v>
      </x:c>
      <x:c r="C20"/>
      <x:c r="D20"/>
      <x:c r="E20" s="90" t="str">
        <x:v>102 documented rows = 97 A–D ratings + 5 N/A utility assessments. All 1,172 occurrences are preserved, including 7 repeated exact-URL occurrences. Distinct exact URLs: 1,165.</x:v>
      </x:c>
      <x:c r="F20" s="90"/>
      <x:c r="G20" s="90"/>
      <x:c r="H20" s="90"/>
    </x:row>
    <x:row r="21" ht="23" customHeight="1">
      <x:c r="A21" t="str">
        <x:v>Documented</x:v>
      </x:c>
      <x:c r="B21" t="n">
        <x:f>COUNTIF('All resources'!D6:D1177,"Documented")</x:f>
        <x:v>102</x:v>
      </x:c>
      <x:c r="C21"/>
      <x:c r="D21"/>
      <x:c r="E21" s="90"/>
      <x:c r="F21" s="90"/>
      <x:c r="G21" s="90"/>
      <x:c r="H21" s="90"/>
    </x:row>
    <x:row r="22" ht="23" customHeight="1">
      <x:c r="A22" t="str">
        <x:v>Provisional</x:v>
      </x:c>
      <x:c r="B22" t="n">
        <x:f>COUNTIF('All resources'!C6:C1177,"C-P")</x:f>
        <x:v>326</x:v>
      </x:c>
      <x:c r="C22"/>
      <x:c r="D22"/>
      <x:c r="E22" s="90"/>
      <x:c r="F22" s="90"/>
      <x:c r="G22" s="90"/>
      <x:c r="H22" s="90"/>
    </x:row>
    <x:row r="23" ht="23" customHeight="1">
      <x:c r="A23" t="str">
        <x:v>Unverified (U)</x:v>
      </x:c>
      <x:c r="B23" t="n">
        <x:f>COUNTIF('All resources'!C6:C1177,"U")</x:f>
        <x:v>463</x:v>
      </x:c>
      <x:c r="C23"/>
      <x:c r="D23"/>
      <x:c r="E23" s="90"/>
      <x:c r="F23" s="90"/>
      <x:c r="G23" s="90"/>
      <x:c r="H23" s="90"/>
    </x:row>
    <x:row r="24" ht="23" customHeight="1"/>
    <x:row r="25" ht="23" customHeight="1">
      <x:c r="A25" s="101" t="str">
        <x:v>USE THE WORKBOOK</x:v>
      </x:c>
      <x:c r="B25" s="101"/>
      <x:c r="C25" s="101"/>
      <x:c r="D25" s="101"/>
      <x:c r="E25" s="101"/>
      <x:c r="F25" s="101"/>
      <x:c r="G25" s="101"/>
      <x:c r="H25" s="101"/>
    </x:row>
    <x:row r="26" ht="23" customHeight="1">
      <x:c r="A26" s="109" t="str">
        <x:v>1. Start with Documented for provider-specific assessments. Use Contacts and records for the 220 most relevant bookmarks. These are snapshot views of All resources.</x:v>
      </x:c>
      <x:c r="B26" s="109"/>
      <x:c r="C26" s="109"/>
      <x:c r="D26" s="109"/>
      <x:c r="E26" s="109"/>
      <x:c r="F26" s="109"/>
      <x:c r="G26" s="109"/>
      <x:c r="H26" s="109"/>
    </x:row>
    <x:row r="27" ht="23" customHeight="1">
      <x:c r="A27" s="109"/>
      <x:c r="B27" s="109"/>
      <x:c r="C27" s="109"/>
      <x:c r="D27" s="109"/>
      <x:c r="E27" s="109"/>
      <x:c r="F27" s="109"/>
      <x:c r="G27" s="109"/>
      <x:c r="H27" s="109"/>
    </x:row>
    <x:row r="28" ht="23" customHeight="1">
      <x:c r="A28" s="109" t="str">
        <x:v>2. Filter All resources by Review basis and Original section. Read the scope, limitation and evidence URL before using a grade. Original labels and URLs remain unchanged.</x:v>
      </x:c>
      <x:c r="B28" s="109"/>
      <x:c r="C28" s="109"/>
      <x:c r="D28" s="109"/>
      <x:c r="E28" s="109"/>
      <x:c r="F28" s="109"/>
      <x:c r="G28" s="109"/>
      <x:c r="H28" s="109"/>
    </x:row>
    <x:row r="29" ht="23" customHeight="1">
      <x:c r="A29" s="109"/>
      <x:c r="B29" s="109"/>
      <x:c r="C29" s="109"/>
      <x:c r="D29" s="109"/>
      <x:c r="E29" s="109"/>
      <x:c r="F29" s="109"/>
      <x:c r="G29" s="109"/>
      <x:c r="H29" s="109"/>
    </x:row>
    <x:row r="30" ht="23" customHeight="1">
      <x:c r="A30" s="109" t="str">
        <x:v>3. Use Priority fixes for duplicate, historical and misinterpreted links. Use Claim check to record the original dated source supporting an exact connection.</x:v>
      </x:c>
      <x:c r="B30" s="109"/>
      <x:c r="C30" s="109"/>
      <x:c r="D30" s="109"/>
      <x:c r="E30" s="109"/>
      <x:c r="F30" s="109"/>
      <x:c r="G30" s="109"/>
      <x:c r="H30" s="109"/>
    </x:row>
    <x:row r="31" ht="23" customHeight="1">
      <x:c r="A31" s="109"/>
      <x:c r="B31" s="109"/>
      <x:c r="C31" s="109"/>
      <x:c r="D31" s="109"/>
      <x:c r="E31" s="109"/>
      <x:c r="F31" s="109"/>
      <x:c r="G31" s="109"/>
      <x:c r="H31" s="109"/>
    </x:row>
    <x:row r="32" ht="23" customHeight="1"/>
    <x:row r="33" ht="23" customHeight="1">
      <x:c r="A33" s="101" t="str">
        <x:v>METHOD &amp; SCOPE</x:v>
      </x:c>
      <x:c r="B33" s="101"/>
      <x:c r="C33" s="101"/>
      <x:c r="D33" s="101"/>
      <x:c r="E33" s="101"/>
      <x:c r="F33" s="101"/>
      <x:c r="G33" s="101"/>
      <x:c r="H33" s="101"/>
    </x:row>
    <x:row r="34" ht="23" customHeight="1">
      <x:c r="A34" s="109" t="str">
        <x:v>Inventory: bookmark anchors in the uploaded rendered HTML, not the 2022 GitHub mirror. No purchased reports, searches about real people, software execution, face uploads or breach-data downloads. Availability describes only observed retrieval or documented maintenance—not an end-to-end test.</x:v>
      </x:c>
      <x:c r="B34" s="109"/>
      <x:c r="C34" s="109"/>
      <x:c r="D34" s="109"/>
      <x:c r="E34" s="109"/>
      <x:c r="F34" s="109"/>
      <x:c r="G34" s="109"/>
      <x:c r="H34" s="109"/>
    </x:row>
    <x:row r="35" ht="23" customHeight="1">
      <x:c r="A35" s="109"/>
      <x:c r="B35" s="109"/>
      <x:c r="C35" s="109"/>
      <x:c r="D35" s="109"/>
      <x:c r="E35" s="109"/>
      <x:c r="F35" s="109"/>
      <x:c r="G35" s="109"/>
      <x:c r="H35" s="109"/>
    </x:row>
    <x:row r="36" ht="23" customHeight="1">
      <x:c r="A36" s="109"/>
      <x:c r="B36" s="109"/>
      <x:c r="C36" s="109"/>
      <x:c r="D36" s="109"/>
      <x:c r="E36" s="109"/>
      <x:c r="F36" s="109"/>
      <x:c r="G36" s="109"/>
      <x:c r="H36" s="109"/>
    </x:row>
    <x:row r="37" ht="23" customHeight="1"/>
    <x:row r="38" ht="23" customHeight="1">
      <x:c r="A38" s="90" t="str">
        <x:v>Correction to the earlier audit: PACER, CourtListener/RECAP, JudyRecords, CanLII and Michigan OTIS were supplemental comparisons. They are not bookmarks in this uploaded board and are excluded from the 1,172-row inventory.</x:v>
      </x:c>
      <x:c r="B38" s="90"/>
      <x:c r="C38" s="90"/>
      <x:c r="D38" s="90"/>
      <x:c r="E38" s="90"/>
      <x:c r="F38" s="90"/>
      <x:c r="G38" s="90"/>
      <x:c r="H38" s="90"/>
    </x:row>
    <x:row r="39" ht="23" customHeight="1">
      <x:c r="A39" s="90"/>
      <x:c r="B39" s="90"/>
      <x:c r="C39" s="90"/>
      <x:c r="D39" s="90"/>
      <x:c r="E39" s="90"/>
      <x:c r="F39" s="90"/>
      <x:c r="G39" s="90"/>
      <x:c r="H39" s="90"/>
    </x:row>
    <x:row r="40" ht="23" customHeight="1">
      <x:c r="A40" s="90"/>
      <x:c r="B40" s="90"/>
      <x:c r="C40" s="90"/>
      <x:c r="D40" s="90"/>
      <x:c r="E40" s="90"/>
      <x:c r="F40" s="90"/>
      <x:c r="G40" s="90"/>
      <x:c r="H40" s="90"/>
    </x:row>
    <x:row r="41" ht="23" customHeight="1"/>
    <x:row r="42" ht="23" customHeight="1">
      <x:c r="A42" s="139" t="str">
        <x:v>Source: OSINT4ALL - Start.me.html • saved page https://start.me/p/L1rEYQ/osint4all • SHA-256 recorded in the browser edition. The saved file establishes inclusion; external sources support only the scoped desk assessments.</x:v>
      </x:c>
      <x:c r="B42" s="139"/>
      <x:c r="C42" s="139"/>
      <x:c r="D42" s="139"/>
      <x:c r="E42" s="139"/>
      <x:c r="F42" s="139"/>
      <x:c r="G42" s="139"/>
      <x:c r="H42" s="139"/>
    </x:row>
    <x:row r="43" ht="23" customHeight="1">
      <x:c r="A43" s="139"/>
      <x:c r="B43" s="139"/>
      <x:c r="C43" s="139"/>
      <x:c r="D43" s="139"/>
      <x:c r="E43" s="139"/>
      <x:c r="F43" s="139"/>
      <x:c r="G43" s="139"/>
      <x:c r="H43" s="139"/>
    </x:row>
  </x:sheetData>
  <x:mergeCells>
    <x:mergeCell ref="A3:H4"/>
    <x:mergeCell ref="A6:B6"/>
    <x:mergeCell ref="C6:D6"/>
    <x:mergeCell ref="E6:F6"/>
    <x:mergeCell ref="G6:H6"/>
    <x:mergeCell ref="A7:B8"/>
    <x:mergeCell ref="C7:D8"/>
    <x:mergeCell ref="E7:F8"/>
    <x:mergeCell ref="G7:H8"/>
    <x:mergeCell ref="A10:H10"/>
    <x:mergeCell ref="B11:H11"/>
    <x:mergeCell ref="B12:H12"/>
    <x:mergeCell ref="B13:H13"/>
    <x:mergeCell ref="B14:H14"/>
    <x:mergeCell ref="B15:H15"/>
    <x:mergeCell ref="B16:H16"/>
    <x:mergeCell ref="B17:H17"/>
    <x:mergeCell ref="A19:H19"/>
    <x:mergeCell ref="E20:H23"/>
    <x:mergeCell ref="A25:H25"/>
    <x:mergeCell ref="A26:H27"/>
    <x:mergeCell ref="A28:H29"/>
    <x:mergeCell ref="A30:H31"/>
    <x:mergeCell ref="A33:H33"/>
    <x:mergeCell ref="A34:H36"/>
    <x:mergeCell ref="A38:H40"/>
    <x:mergeCell ref="A42:H43"/>
    <x:mergeCell ref="A1:H2"/>
  </x:mergeCells>
  <x:pageMargins left="0.7" right="0.7" top="0.75" bottom="0.75" header="0.3" footer="0.3"/>
</x:worksheet>
</file>

<file path=xl/worksheets/sheet2.xml><?xml version="1.0" encoding="utf-8"?>
<x:worksheet xmlns:x="http://schemas.openxmlformats.org/spreadsheetml/2006/main">
  <x:sheetFormatPr defaultRowHeight="15"/>
  <x:cols>
    <x:col min="1" max="1" width="42" hidden="0" customWidth="1"/>
    <x:col min="2" max="2" width="24" hidden="0" customWidth="1"/>
    <x:col min="3" max="3" width="44" hidden="0" customWidth="1"/>
    <x:col min="4" max="4" width="24" hidden="0" customWidth="1"/>
    <x:col min="5" max="5" width="24" hidden="0" customWidth="1"/>
    <x:col min="6" max="6" width="42" hidden="0" customWidth="1"/>
    <x:col min="7" max="7" width="42" hidden="0" customWidth="1"/>
    <x:col min="8" max="8" width="24" hidden="0" customWidth="1"/>
  </x:cols>
  <x:sheetData>
    <x:row r="1" ht="26" customHeight="1">
      <x:c r="A1" s="143" t="str">
        <x:v>CLAIM CHECK | verify the exact connection</x:v>
      </x:c>
      <x:c r="B1" s="143"/>
      <x:c r="C1" s="143"/>
      <x:c r="D1" s="143"/>
      <x:c r="E1" s="143"/>
      <x:c r="F1" s="143"/>
      <x:c r="G1" s="143"/>
      <x:c r="H1" s="143"/>
    </x:row>
    <x:row r="2" ht="26" customHeight="1">
      <x:c r="A2" s="143"/>
      <x:c r="B2" s="143"/>
      <x:c r="C2" s="143"/>
      <x:c r="D2" s="143"/>
      <x:c r="E2" s="143"/>
      <x:c r="F2" s="143"/>
      <x:c r="G2" s="143"/>
      <x:c r="H2" s="143"/>
    </x:row>
    <x:row r="4" ht="26" customHeight="1">
      <x:c r="A4" s="146" t="str">
        <x:v>Write the narrow claim first. Locate the originating record. Match independent identifiers. Record the relevant date and stated role. Check for alternative explanations and current changes. Keep the claim provisional when the evidence is incomplete. Avoid storing unnecessary personal data.</x:v>
      </x:c>
      <x:c r="B4" s="146"/>
      <x:c r="C4" s="146"/>
      <x:c r="D4" s="146"/>
      <x:c r="E4" s="146"/>
      <x:c r="F4" s="146"/>
      <x:c r="G4" s="146"/>
      <x:c r="H4" s="146"/>
    </x:row>
    <x:row r="5" ht="26" customHeight="1">
      <x:c r="A5" s="146"/>
      <x:c r="B5" s="146"/>
      <x:c r="C5" s="146"/>
      <x:c r="D5" s="146"/>
      <x:c r="E5" s="146"/>
      <x:c r="F5" s="146"/>
      <x:c r="G5" s="146"/>
      <x:c r="H5" s="146"/>
    </x:row>
    <x:row r="6" ht="26" customHeight="1">
      <x:c r="A6" s="146"/>
      <x:c r="B6" s="146"/>
      <x:c r="C6" s="146"/>
      <x:c r="D6" s="146"/>
      <x:c r="E6" s="146"/>
      <x:c r="F6" s="146"/>
      <x:c r="G6" s="146"/>
      <x:c r="H6" s="146"/>
    </x:row>
    <x:row r="8" ht="38" customHeight="1">
      <x:c r="A8" s="66" t="str">
        <x:v>Claim / relationship</x:v>
      </x:c>
      <x:c r="B8" s="66" t="str">
        <x:v>Discovery bookmark ID</x:v>
      </x:c>
      <x:c r="C8" s="66" t="str">
        <x:v>Original record URL / ID</x:v>
      </x:c>
      <x:c r="D8" s="66" t="str">
        <x:v>Relevant record date</x:v>
      </x:c>
      <x:c r="E8" s="66" t="str">
        <x:v>Identity match basis</x:v>
      </x:c>
      <x:c r="F8" s="66" t="str">
        <x:v>Role / exact support</x:v>
      </x:c>
      <x:c r="G8" s="66" t="str">
        <x:v>Contradictions or gaps</x:v>
      </x:c>
      <x:c r="H8" s="66" t="str">
        <x:v>Conclusion</x:v>
      </x:c>
    </x:row>
    <x:row r="9" ht="65" customHeight="1">
      <x:c r="A9" s="151" t="str"/>
      <x:c r="B9" s="151" t="str"/>
      <x:c r="C9" s="151" t="str"/>
      <x:c r="D9" s="151" t="str"/>
      <x:c r="E9" s="151" t="str"/>
      <x:c r="F9" s="151" t="str"/>
      <x:c r="G9" s="151" t="str"/>
      <x:c r="H9" s="151" t="str"/>
    </x:row>
    <x:row r="10" ht="65" customHeight="1">
      <x:c r="A10" s="151" t="str"/>
      <x:c r="B10" s="151" t="str"/>
      <x:c r="C10" s="151" t="str"/>
      <x:c r="D10" s="151" t="str"/>
      <x:c r="E10" s="151" t="str"/>
      <x:c r="F10" s="151" t="str"/>
      <x:c r="G10" s="151" t="str"/>
      <x:c r="H10" s="151" t="str"/>
    </x:row>
    <x:row r="11" ht="65" customHeight="1">
      <x:c r="A11" s="151" t="str"/>
      <x:c r="B11" s="151" t="str"/>
      <x:c r="C11" s="151" t="str"/>
      <x:c r="D11" s="151" t="str"/>
      <x:c r="E11" s="151" t="str"/>
      <x:c r="F11" s="151" t="str"/>
      <x:c r="G11" s="151" t="str"/>
      <x:c r="H11" s="151" t="str"/>
    </x:row>
    <x:row r="12" ht="65" customHeight="1">
      <x:c r="A12" s="151" t="str"/>
      <x:c r="B12" s="151" t="str"/>
      <x:c r="C12" s="151" t="str"/>
      <x:c r="D12" s="151" t="str"/>
      <x:c r="E12" s="151" t="str"/>
      <x:c r="F12" s="151" t="str"/>
      <x:c r="G12" s="151" t="str"/>
      <x:c r="H12" s="151" t="str"/>
    </x:row>
    <x:row r="13" ht="65" customHeight="1">
      <x:c r="A13" s="151" t="str"/>
      <x:c r="B13" s="151" t="str"/>
      <x:c r="C13" s="151" t="str"/>
      <x:c r="D13" s="151" t="str"/>
      <x:c r="E13" s="151" t="str"/>
      <x:c r="F13" s="151" t="str"/>
      <x:c r="G13" s="151" t="str"/>
      <x:c r="H13" s="151" t="str"/>
    </x:row>
    <x:row r="14" ht="65" customHeight="1">
      <x:c r="A14" s="151" t="str"/>
      <x:c r="B14" s="151" t="str"/>
      <x:c r="C14" s="151" t="str"/>
      <x:c r="D14" s="151" t="str"/>
      <x:c r="E14" s="151" t="str"/>
      <x:c r="F14" s="151" t="str"/>
      <x:c r="G14" s="151" t="str"/>
      <x:c r="H14" s="151" t="str"/>
    </x:row>
    <x:row r="15" ht="65" customHeight="1">
      <x:c r="A15" s="151" t="str"/>
      <x:c r="B15" s="151" t="str"/>
      <x:c r="C15" s="151" t="str"/>
      <x:c r="D15" s="151" t="str"/>
      <x:c r="E15" s="151" t="str"/>
      <x:c r="F15" s="151" t="str"/>
      <x:c r="G15" s="151" t="str"/>
      <x:c r="H15" s="151" t="str"/>
    </x:row>
    <x:row r="16" ht="65" customHeight="1">
      <x:c r="A16" s="151" t="str"/>
      <x:c r="B16" s="151" t="str"/>
      <x:c r="C16" s="151" t="str"/>
      <x:c r="D16" s="151" t="str"/>
      <x:c r="E16" s="151" t="str"/>
      <x:c r="F16" s="151" t="str"/>
      <x:c r="G16" s="151" t="str"/>
      <x:c r="H16" s="151" t="str"/>
    </x:row>
    <x:row r="17" ht="65" customHeight="1">
      <x:c r="A17" s="151" t="str"/>
      <x:c r="B17" s="151" t="str"/>
      <x:c r="C17" s="151" t="str"/>
      <x:c r="D17" s="151" t="str"/>
      <x:c r="E17" s="151" t="str"/>
      <x:c r="F17" s="151" t="str"/>
      <x:c r="G17" s="151" t="str"/>
      <x:c r="H17" s="151" t="str"/>
    </x:row>
    <x:row r="18" ht="65" customHeight="1">
      <x:c r="A18" s="151" t="str"/>
      <x:c r="B18" s="151" t="str"/>
      <x:c r="C18" s="151" t="str"/>
      <x:c r="D18" s="151" t="str"/>
      <x:c r="E18" s="151" t="str"/>
      <x:c r="F18" s="151" t="str"/>
      <x:c r="G18" s="151" t="str"/>
      <x:c r="H18" s="151" t="str"/>
    </x:row>
    <x:row r="19" ht="65" customHeight="1">
      <x:c r="A19" s="151" t="str"/>
      <x:c r="B19" s="151" t="str"/>
      <x:c r="C19" s="151" t="str"/>
      <x:c r="D19" s="151" t="str"/>
      <x:c r="E19" s="151" t="str"/>
      <x:c r="F19" s="151" t="str"/>
      <x:c r="G19" s="151" t="str"/>
      <x:c r="H19" s="151" t="str"/>
    </x:row>
    <x:row r="20" ht="65" customHeight="1">
      <x:c r="A20" s="151" t="str"/>
      <x:c r="B20" s="151" t="str"/>
      <x:c r="C20" s="151" t="str"/>
      <x:c r="D20" s="151" t="str"/>
      <x:c r="E20" s="151" t="str"/>
      <x:c r="F20" s="151" t="str"/>
      <x:c r="G20" s="151" t="str"/>
      <x:c r="H20" s="151" t="str"/>
    </x:row>
    <x:row r="21" ht="65" customHeight="1">
      <x:c r="A21" s="151" t="str"/>
      <x:c r="B21" s="151" t="str"/>
      <x:c r="C21" s="151" t="str"/>
      <x:c r="D21" s="151" t="str"/>
      <x:c r="E21" s="151" t="str"/>
      <x:c r="F21" s="151" t="str"/>
      <x:c r="G21" s="151" t="str"/>
      <x:c r="H21" s="151" t="str"/>
    </x:row>
    <x:row r="22" ht="65" customHeight="1">
      <x:c r="A22" s="151" t="str"/>
      <x:c r="B22" s="151" t="str"/>
      <x:c r="C22" s="151" t="str"/>
      <x:c r="D22" s="151" t="str"/>
      <x:c r="E22" s="151" t="str"/>
      <x:c r="F22" s="151" t="str"/>
      <x:c r="G22" s="151" t="str"/>
      <x:c r="H22" s="151" t="str"/>
    </x:row>
    <x:row r="23" ht="65" customHeight="1">
      <x:c r="A23" s="151" t="str"/>
      <x:c r="B23" s="151" t="str"/>
      <x:c r="C23" s="151" t="str"/>
      <x:c r="D23" s="151" t="str"/>
      <x:c r="E23" s="151" t="str"/>
      <x:c r="F23" s="151" t="str"/>
      <x:c r="G23" s="151" t="str"/>
      <x:c r="H23" s="151" t="str"/>
    </x:row>
  </x:sheetData>
  <x:mergeCells>
    <x:mergeCell ref="A1:H2"/>
    <x:mergeCell ref="A4:H6"/>
  </x:mergeCells>
  <x:dataValidations count="1">
    <x:dataValidation type="list" sqref="H9:H23">
      <x:formula1>"Provisional,Supported within scope,Not supported,Contradicted,Unresolved"</x:formula1>
    </x:dataValidation>
  </x:dataValidations>
  <x:pageMargins left="0.7" right="0.7" top="0.75" bottom="0.75" header="0.3" footer="0.3"/>
  <x:tableParts count="1">
    <x:tablePart xmlns:r="http://schemas.openxmlformats.org/officeDocument/2006/relationships" r:id="Rc40929338c1a43a9"/>
  </x:tableParts>
</x:worksheet>
</file>

<file path=xl/worksheets/sheet3.xml><?xml version="1.0" encoding="utf-8"?>
<x:worksheet xmlns:x="http://schemas.openxmlformats.org/spreadsheetml/2006/main">
  <x:sheetFormatPr defaultRowHeight="15"/>
  <x:cols>
    <x:col min="1" max="1" width="7" hidden="0" customWidth="1"/>
    <x:col min="2" max="2" width="33" hidden="0" customWidth="1"/>
    <x:col min="3" max="3" width="10" hidden="0" customWidth="1"/>
    <x:col min="4" max="4" width="22" hidden="0" customWidth="1"/>
    <x:col min="5" max="5" width="26" hidden="0" customWidth="1"/>
    <x:col min="6" max="6" width="35" hidden="0" customWidth="1"/>
    <x:col min="7" max="7" width="68" hidden="0" customWidth="1"/>
    <x:col min="8" max="8" width="42" hidden="0" customWidth="1"/>
    <x:col min="9" max="9" width="45" hidden="0" customWidth="1"/>
    <x:col min="10" max="10" width="38" hidden="0" customWidth="1"/>
    <x:col min="11" max="11" width="15" hidden="0" customWidth="1"/>
    <x:col min="12" max="12" width="58" hidden="0" customWidth="1"/>
    <x:col min="13" max="13" width="56" hidden="0" customWidth="1"/>
    <x:col min="14" max="14" width="18" hidden="0" customWidth="1"/>
    <x:col min="15" max="15" width="11" hidden="0" customWidth="1"/>
    <x:col min="16" max="16" width="13" hidden="0" customWidth="1"/>
    <x:col min="17" max="17" width="14" hidden="0" customWidth="1"/>
    <x:col min="18" max="18" width="13" hidden="0" customWidth="1"/>
    <x:col min="19" max="19" width="23" hidden="0" customWidth="1"/>
    <x:col min="20" max="20" width="24" hidden="0" customWidth="1"/>
  </x:cols>
  <x:sheetData>
    <x:row r="1" ht="38" customHeight="1">
      <x:c r="A1" s="6" t="str">
        <x:v>OSINT4ALL | All 1,172 saved bookmarks</x:v>
      </x:c>
      <x:c r="B1" s="6"/>
      <x:c r="C1" s="6"/>
      <x:c r="D1" s="6"/>
      <x:c r="E1" s="6"/>
      <x:c r="F1" s="6"/>
      <x:c r="G1" s="6"/>
      <x:c r="H1" s="6"/>
      <x:c r="I1" s="6"/>
      <x:c r="J1" s="6"/>
      <x:c r="K1" s="6"/>
      <x:c r="L1" s="6"/>
      <x:c r="M1" s="6"/>
      <x:c r="N1" s="6"/>
      <x:c r="O1" s="6"/>
      <x:c r="P1" s="6"/>
      <x:c r="Q1" s="6"/>
      <x:c r="R1" s="6"/>
      <x:c r="S1" s="6"/>
      <x:c r="T1" s="6"/>
    </x:row>
    <x:row r="2" ht="20" customHeight="1">
      <x:c r="A2" s="9" t="str">
        <x:v>Complete inventory; partial external validation. C-P = provisional source-type ceiling, not tested accuracy. U = not enough evidence to grade. N/A = not a connection-evidence source. Original labels and URLs are preserved.</x:v>
      </x:c>
      <x:c r="B2" s="9"/>
      <x:c r="C2" s="9"/>
      <x:c r="D2" s="9"/>
      <x:c r="E2" s="9"/>
      <x:c r="F2" s="9"/>
      <x:c r="G2" s="9"/>
      <x:c r="H2" s="9"/>
      <x:c r="I2" s="9"/>
      <x:c r="J2" s="9"/>
    </x:row>
    <x:row r="3" ht="20" customHeight="1">
      <x:c r="A3" s="9"/>
      <x:c r="B3" s="9"/>
      <x:c r="C3" s="9"/>
      <x:c r="D3" s="9"/>
      <x:c r="E3" s="9"/>
      <x:c r="F3" s="9"/>
      <x:c r="G3" s="9"/>
      <x:c r="H3" s="9"/>
      <x:c r="I3" s="9"/>
      <x:c r="J3" s="9"/>
    </x:row>
    <x:row r="5" ht="32" customHeight="1">
      <x:c r="A5" s="16" t="str">
        <x:v>ID</x:v>
      </x:c>
      <x:c r="B5" s="16" t="str">
        <x:v>Resource (original label)</x:v>
      </x:c>
      <x:c r="C5" s="16" t="str">
        <x:v>Grade</x:v>
      </x:c>
      <x:c r="D5" s="16" t="str">
        <x:v>Review basis</x:v>
      </x:c>
      <x:c r="E5" s="16" t="str">
        <x:v>Original section</x:v>
      </x:c>
      <x:c r="F5" s="16" t="str">
        <x:v>Scope of rating</x:v>
      </x:c>
      <x:c r="G5" s="16" t="str">
        <x:v>Main limitation</x:v>
      </x:c>
      <x:c r="H5" s="16" t="str">
        <x:v>Recommended use</x:v>
      </x:c>
      <x:c r="I5" s="16" t="str">
        <x:v>Availability / maintenance</x:v>
      </x:c>
      <x:c r="J5" s="16" t="str">
        <x:v>Review method</x:v>
      </x:c>
      <x:c r="K5" s="16" t="str">
        <x:v>Source IDs</x:v>
      </x:c>
      <x:c r="L5" s="16" t="str">
        <x:v>Evidence URLs</x:v>
      </x:c>
      <x:c r="M5" s="16" t="str">
        <x:v>Original bookmark URL</x:v>
      </x:c>
      <x:c r="N5" s="16" t="str">
        <x:v>Bookmark ID</x:v>
      </x:c>
      <x:c r="O5" s="16" t="str">
        <x:v>HTML line</x:v>
      </x:c>
      <x:c r="P5" s="16" t="str">
        <x:v>Order in section</x:v>
      </x:c>
      <x:c r="Q5" s="16" t="str">
        <x:v>Checked on</x:v>
      </x:c>
      <x:c r="R5" s="16" t="str">
        <x:v>Exact URL occurrences</x:v>
      </x:c>
      <x:c r="S5" s="16" t="str">
        <x:v>Priority</x:v>
      </x:c>
      <x:c r="T5" s="16" t="str">
        <x:v>Assessment confidence</x:v>
      </x:c>
    </x:row>
    <x:row r="6" ht="48" customHeight="1">
      <x:c r="A6" s="22" t="n">
        <x:v>1</x:v>
      </x:c>
      <x:c r="B6" s="22" t="str">
        <x:v>Onlinesim.net</x:v>
      </x:c>
      <x:c r="C6" s="27" t="str">
        <x:v>N/A</x:v>
      </x:c>
      <x:c r="D6" s="22" t="str">
        <x:v>Utility classification</x:v>
      </x:c>
      <x:c r="E6" s="22" t="str">
        <x:v>THROWAWAY CONTACT</x:v>
      </x:c>
      <x:c r="F6" s="22" t="str">
        <x:v>Communications / alias utility</x:v>
      </x:c>
      <x:c r="G6" s="22" t="str">
        <x:v>Not a source of verified connections. Service availability, account rules and privacy safeguards were not tested.</x:v>
      </x:c>
      <x:c r="H6" s="22" t="str">
        <x:v>Use as a utility only; functionality not audited</x:v>
      </x:c>
      <x:c r="I6" s="22" t="str">
        <x:v>Not checked</x:v>
      </x:c>
      <x:c r="J6" s="22" t="str">
        <x:v>Saved bookmark metadata only</x:v>
      </x:c>
      <x:c r="K6" s="22" t="str"/>
      <x:c r="L6" s="24" t="str"/>
      <x:c r="M6" s="24" t="str">
        <x:v>https://onlinesim.net/</x:v>
      </x:c>
      <x:c r="N6" s="22" t="str">
        <x:v>318660098</x:v>
      </x:c>
      <x:c r="O6" s="22" t="n">
        <x:v>991</x:v>
      </x:c>
      <x:c r="P6" s="22" t="n">
        <x:v>1</x:v>
      </x:c>
      <x:c r="Q6" s="22" t="str"/>
      <x:c r="R6" s="22" t="n">
        <x:f>COUNTIF($M$6:$M$1177,M6)</x:f>
        <x:v>1</x:v>
      </x:c>
      <x:c r="S6" s="22" t="str">
        <x:v>Other / utility</x:v>
      </x:c>
      <x:c r="T6" s="22" t="str">
        <x:v>Scope only</x:v>
      </x:c>
    </x:row>
    <x:row r="7" ht="48" customHeight="1">
      <x:c r="A7" s="22" t="n">
        <x:v>2</x:v>
      </x:c>
      <x:c r="B7" s="22" t="str">
        <x:v>DoNotPay</x:v>
      </x:c>
      <x:c r="C7" s="27" t="str">
        <x:v>N/A</x:v>
      </x:c>
      <x:c r="D7" s="22" t="str">
        <x:v>Utility classification</x:v>
      </x:c>
      <x:c r="E7" s="22" t="str">
        <x:v>THROWAWAY CONTACT</x:v>
      </x:c>
      <x:c r="F7" s="22" t="str">
        <x:v>Communications / alias utility</x:v>
      </x:c>
      <x:c r="G7" s="22" t="str">
        <x:v>Not a source of verified connections. Service availability, account rules and privacy safeguards were not tested.</x:v>
      </x:c>
      <x:c r="H7" s="22" t="str">
        <x:v>Use as a utility only; functionality not audited</x:v>
      </x:c>
      <x:c r="I7" s="22" t="str">
        <x:v>Not checked</x:v>
      </x:c>
      <x:c r="J7" s="22" t="str">
        <x:v>Saved bookmark metadata only</x:v>
      </x:c>
      <x:c r="K7" s="22" t="str"/>
      <x:c r="L7" s="24" t="str"/>
      <x:c r="M7" s="24" t="str">
        <x:v>https://donotpay.com/learn/temporary-phone-number/</x:v>
      </x:c>
      <x:c r="N7" s="22" t="str">
        <x:v>318660096</x:v>
      </x:c>
      <x:c r="O7" s="22" t="n">
        <x:v>991</x:v>
      </x:c>
      <x:c r="P7" s="22" t="n">
        <x:v>2</x:v>
      </x:c>
      <x:c r="Q7" s="22" t="str"/>
      <x:c r="R7" s="22" t="n">
        <x:f>COUNTIF($M$6:$M$1177,M7)</x:f>
        <x:v>1</x:v>
      </x:c>
      <x:c r="S7" s="22" t="str">
        <x:v>Other / utility</x:v>
      </x:c>
      <x:c r="T7" s="22" t="str">
        <x:v>Scope only</x:v>
      </x:c>
    </x:row>
    <x:row r="8" ht="48" customHeight="1">
      <x:c r="A8" s="22" t="n">
        <x:v>3</x:v>
      </x:c>
      <x:c r="B8" s="22" t="str">
        <x:v>VoIP Guide: VoIPSuite</x:v>
      </x:c>
      <x:c r="C8" s="27" t="str">
        <x:v>N/A</x:v>
      </x:c>
      <x:c r="D8" s="22" t="str">
        <x:v>Utility classification</x:v>
      </x:c>
      <x:c r="E8" s="22" t="str">
        <x:v>THROWAWAY CONTACT</x:v>
      </x:c>
      <x:c r="F8" s="22" t="str">
        <x:v>Communications / alias utility</x:v>
      </x:c>
      <x:c r="G8" s="22" t="str">
        <x:v>Not a source of verified connections. Service availability, account rules and privacy safeguards were not tested.</x:v>
      </x:c>
      <x:c r="H8" s="22" t="str">
        <x:v>Use as a utility only; functionality not audited</x:v>
      </x:c>
      <x:c r="I8" s="22" t="str">
        <x:v>Not checked</x:v>
      </x:c>
      <x:c r="J8" s="22" t="str">
        <x:v>Saved bookmark metadata only</x:v>
      </x:c>
      <x:c r="K8" s="22" t="str"/>
      <x:c r="L8" s="24" t="str"/>
      <x:c r="M8" s="24" t="str">
        <x:v>https://inteltechniques.com/voip.suite.html</x:v>
      </x:c>
      <x:c r="N8" s="22" t="str">
        <x:v>321752626</x:v>
      </x:c>
      <x:c r="O8" s="22" t="n">
        <x:v>992</x:v>
      </x:c>
      <x:c r="P8" s="22" t="n">
        <x:v>3</x:v>
      </x:c>
      <x:c r="Q8" s="22" t="str"/>
      <x:c r="R8" s="22" t="n">
        <x:f>COUNTIF($M$6:$M$1177,M8)</x:f>
        <x:v>1</x:v>
      </x:c>
      <x:c r="S8" s="22" t="str">
        <x:v>Other / utility</x:v>
      </x:c>
      <x:c r="T8" s="22" t="str">
        <x:v>Scope only</x:v>
      </x:c>
    </x:row>
    <x:row r="9" ht="48" customHeight="1">
      <x:c r="A9" s="22" t="n">
        <x:v>4</x:v>
      </x:c>
      <x:c r="B9" s="22" t="str">
        <x:v>Twilio CLI Guide</x:v>
      </x:c>
      <x:c r="C9" s="27" t="str">
        <x:v>N/A</x:v>
      </x:c>
      <x:c r="D9" s="22" t="str">
        <x:v>Utility classification</x:v>
      </x:c>
      <x:c r="E9" s="22" t="str">
        <x:v>THROWAWAY CONTACT</x:v>
      </x:c>
      <x:c r="F9" s="22" t="str">
        <x:v>Communications / alias utility</x:v>
      </x:c>
      <x:c r="G9" s="22" t="str">
        <x:v>Not a source of verified connections. Service availability, account rules and privacy safeguards were not tested.</x:v>
      </x:c>
      <x:c r="H9" s="22" t="str">
        <x:v>Use as a utility only; functionality not audited</x:v>
      </x:c>
      <x:c r="I9" s="22" t="str">
        <x:v>Not checked</x:v>
      </x:c>
      <x:c r="J9" s="22" t="str">
        <x:v>Saved bookmark metadata only</x:v>
      </x:c>
      <x:c r="K9" s="22" t="str"/>
      <x:c r="L9" s="24" t="str"/>
      <x:c r="M9" s="24" t="str">
        <x:v>https://inteltechniques.com/voip.twilio.cli.html</x:v>
      </x:c>
      <x:c r="N9" s="22" t="str">
        <x:v>321752640</x:v>
      </x:c>
      <x:c r="O9" s="22" t="n">
        <x:v>992</x:v>
      </x:c>
      <x:c r="P9" s="22" t="n">
        <x:v>4</x:v>
      </x:c>
      <x:c r="Q9" s="22" t="str"/>
      <x:c r="R9" s="22" t="n">
        <x:f>COUNTIF($M$6:$M$1177,M9)</x:f>
        <x:v>1</x:v>
      </x:c>
      <x:c r="S9" s="22" t="str">
        <x:v>Other / utility</x:v>
      </x:c>
      <x:c r="T9" s="22" t="str">
        <x:v>Scope only</x:v>
      </x:c>
    </x:row>
    <x:row r="10" ht="48" customHeight="1">
      <x:c r="A10" s="22" t="n">
        <x:v>5</x:v>
      </x:c>
      <x:c r="B10" s="22" t="str">
        <x:v>10minutemail.com</x:v>
      </x:c>
      <x:c r="C10" s="27" t="str">
        <x:v>N/A</x:v>
      </x:c>
      <x:c r="D10" s="22" t="str">
        <x:v>Utility classification</x:v>
      </x:c>
      <x:c r="E10" s="22" t="str">
        <x:v>THROWAWAY CONTACT</x:v>
      </x:c>
      <x:c r="F10" s="22" t="str">
        <x:v>Communications / alias utility</x:v>
      </x:c>
      <x:c r="G10" s="22" t="str">
        <x:v>Not a source of verified connections. Service availability, account rules and privacy safeguards were not tested.</x:v>
      </x:c>
      <x:c r="H10" s="22" t="str">
        <x:v>Use as a utility only; functionality not audited</x:v>
      </x:c>
      <x:c r="I10" s="22" t="str">
        <x:v>Not checked</x:v>
      </x:c>
      <x:c r="J10" s="22" t="str">
        <x:v>Saved bookmark metadata only</x:v>
      </x:c>
      <x:c r="K10" s="22" t="str"/>
      <x:c r="L10" s="24" t="str"/>
      <x:c r="M10" s="24" t="str">
        <x:v>https://10minutemail.com/</x:v>
      </x:c>
      <x:c r="N10" s="22" t="str">
        <x:v>268373846</x:v>
      </x:c>
      <x:c r="O10" s="22" t="n">
        <x:v>992</x:v>
      </x:c>
      <x:c r="P10" s="22" t="n">
        <x:v>5</x:v>
      </x:c>
      <x:c r="Q10" s="22" t="str"/>
      <x:c r="R10" s="22" t="n">
        <x:f>COUNTIF($M$6:$M$1177,M10)</x:f>
        <x:v>1</x:v>
      </x:c>
      <x:c r="S10" s="22" t="str">
        <x:v>Other / utility</x:v>
      </x:c>
      <x:c r="T10" s="22" t="str">
        <x:v>Scope only</x:v>
      </x:c>
    </x:row>
    <x:row r="11" ht="48" customHeight="1">
      <x:c r="A11" s="22" t="n">
        <x:v>6</x:v>
      </x:c>
      <x:c r="B11" s="22" t="str">
        <x:v>AnonAddy</x:v>
      </x:c>
      <x:c r="C11" s="27" t="str">
        <x:v>N/A</x:v>
      </x:c>
      <x:c r="D11" s="22" t="str">
        <x:v>Utility classification</x:v>
      </x:c>
      <x:c r="E11" s="22" t="str">
        <x:v>THROWAWAY CONTACT</x:v>
      </x:c>
      <x:c r="F11" s="22" t="str">
        <x:v>Communications / alias utility</x:v>
      </x:c>
      <x:c r="G11" s="22" t="str">
        <x:v>Not a source of verified connections. Service availability, account rules and privacy safeguards were not tested.</x:v>
      </x:c>
      <x:c r="H11" s="22" t="str">
        <x:v>Use as a utility only; functionality not audited</x:v>
      </x:c>
      <x:c r="I11" s="22" t="str">
        <x:v>Not checked</x:v>
      </x:c>
      <x:c r="J11" s="22" t="str">
        <x:v>Saved bookmark metadata only</x:v>
      </x:c>
      <x:c r="K11" s="22" t="str"/>
      <x:c r="L11" s="24" t="str"/>
      <x:c r="M11" s="24" t="str">
        <x:v>https://anonaddy.com/</x:v>
      </x:c>
      <x:c r="N11" s="22" t="str">
        <x:v>268373969</x:v>
      </x:c>
      <x:c r="O11" s="22" t="n">
        <x:v>992</x:v>
      </x:c>
      <x:c r="P11" s="22" t="n">
        <x:v>6</x:v>
      </x:c>
      <x:c r="Q11" s="22" t="str"/>
      <x:c r="R11" s="22" t="n">
        <x:f>COUNTIF($M$6:$M$1177,M11)</x:f>
        <x:v>1</x:v>
      </x:c>
      <x:c r="S11" s="22" t="str">
        <x:v>Other / utility</x:v>
      </x:c>
      <x:c r="T11" s="22" t="str">
        <x:v>Scope only</x:v>
      </x:c>
    </x:row>
    <x:row r="12" ht="48" customHeight="1">
      <x:c r="A12" s="22" t="n">
        <x:v>7</x:v>
      </x:c>
      <x:c r="B12" s="22" t="str">
        <x:v>SimpleLogin</x:v>
      </x:c>
      <x:c r="C12" s="27" t="str">
        <x:v>N/A</x:v>
      </x:c>
      <x:c r="D12" s="22" t="str">
        <x:v>Utility classification</x:v>
      </x:c>
      <x:c r="E12" s="22" t="str">
        <x:v>THROWAWAY CONTACT</x:v>
      </x:c>
      <x:c r="F12" s="22" t="str">
        <x:v>Communications / alias utility</x:v>
      </x:c>
      <x:c r="G12" s="22" t="str">
        <x:v>Not a source of verified connections. Service availability, account rules and privacy safeguards were not tested.</x:v>
      </x:c>
      <x:c r="H12" s="22" t="str">
        <x:v>Use as a utility only; functionality not audited</x:v>
      </x:c>
      <x:c r="I12" s="22" t="str">
        <x:v>Not checked</x:v>
      </x:c>
      <x:c r="J12" s="22" t="str">
        <x:v>Saved bookmark metadata only</x:v>
      </x:c>
      <x:c r="K12" s="22" t="str"/>
      <x:c r="L12" s="24" t="str"/>
      <x:c r="M12" s="24" t="str">
        <x:v>https://simplelogin.io/</x:v>
      </x:c>
      <x:c r="N12" s="22" t="str">
        <x:v>286013933</x:v>
      </x:c>
      <x:c r="O12" s="22" t="n">
        <x:v>992</x:v>
      </x:c>
      <x:c r="P12" s="22" t="n">
        <x:v>7</x:v>
      </x:c>
      <x:c r="Q12" s="22" t="str"/>
      <x:c r="R12" s="22" t="n">
        <x:f>COUNTIF($M$6:$M$1177,M12)</x:f>
        <x:v>1</x:v>
      </x:c>
      <x:c r="S12" s="22" t="str">
        <x:v>Other / utility</x:v>
      </x:c>
      <x:c r="T12" s="22" t="str">
        <x:v>Scope only</x:v>
      </x:c>
    </x:row>
    <x:row r="13" ht="48" customHeight="1">
      <x:c r="A13" s="22" t="n">
        <x:v>8</x:v>
      </x:c>
      <x:c r="B13" s="22" t="str">
        <x:v>MailDrop</x:v>
      </x:c>
      <x:c r="C13" s="27" t="str">
        <x:v>N/A</x:v>
      </x:c>
      <x:c r="D13" s="22" t="str">
        <x:v>Utility classification</x:v>
      </x:c>
      <x:c r="E13" s="22" t="str">
        <x:v>THROWAWAY CONTACT</x:v>
      </x:c>
      <x:c r="F13" s="22" t="str">
        <x:v>Communications / alias utility</x:v>
      </x:c>
      <x:c r="G13" s="22" t="str">
        <x:v>Not a source of verified connections. Service availability, account rules and privacy safeguards were not tested.</x:v>
      </x:c>
      <x:c r="H13" s="22" t="str">
        <x:v>Use as a utility only; functionality not audited</x:v>
      </x:c>
      <x:c r="I13" s="22" t="str">
        <x:v>Not checked</x:v>
      </x:c>
      <x:c r="J13" s="22" t="str">
        <x:v>Saved bookmark metadata only</x:v>
      </x:c>
      <x:c r="K13" s="22" t="str"/>
      <x:c r="L13" s="24" t="str"/>
      <x:c r="M13" s="24" t="str">
        <x:v>https://maildrop.cc/</x:v>
      </x:c>
      <x:c r="N13" s="22" t="str">
        <x:v>268374322</x:v>
      </x:c>
      <x:c r="O13" s="22" t="n">
        <x:v>992</x:v>
      </x:c>
      <x:c r="P13" s="22" t="n">
        <x:v>8</x:v>
      </x:c>
      <x:c r="Q13" s="22" t="str"/>
      <x:c r="R13" s="22" t="n">
        <x:f>COUNTIF($M$6:$M$1177,M13)</x:f>
        <x:v>1</x:v>
      </x:c>
      <x:c r="S13" s="22" t="str">
        <x:v>Other / utility</x:v>
      </x:c>
      <x:c r="T13" s="22" t="str">
        <x:v>Scope only</x:v>
      </x:c>
    </x:row>
    <x:row r="14" ht="48" customHeight="1">
      <x:c r="A14" s="22" t="n">
        <x:v>9</x:v>
      </x:c>
      <x:c r="B14" s="22" t="str">
        <x:v>Send text free</x:v>
      </x:c>
      <x:c r="C14" s="27" t="str">
        <x:v>N/A</x:v>
      </x:c>
      <x:c r="D14" s="22" t="str">
        <x:v>Utility classification</x:v>
      </x:c>
      <x:c r="E14" s="22" t="str">
        <x:v>THROWAWAY CONTACT</x:v>
      </x:c>
      <x:c r="F14" s="22" t="str">
        <x:v>Communications / alias utility</x:v>
      </x:c>
      <x:c r="G14" s="22" t="str">
        <x:v>Not a source of verified connections. Service availability, account rules and privacy safeguards were not tested.</x:v>
      </x:c>
      <x:c r="H14" s="22" t="str">
        <x:v>Use as a utility only; functionality not audited</x:v>
      </x:c>
      <x:c r="I14" s="22" t="str">
        <x:v>Not checked</x:v>
      </x:c>
      <x:c r="J14" s="22" t="str">
        <x:v>Saved bookmark metadata only</x:v>
      </x:c>
      <x:c r="K14" s="22" t="str"/>
      <x:c r="L14" s="24" t="str"/>
      <x:c r="M14" s="24" t="str">
        <x:v>https://globfone.com/send-text/</x:v>
      </x:c>
      <x:c r="N14" s="22" t="str">
        <x:v>268374577</x:v>
      </x:c>
      <x:c r="O14" s="22" t="n">
        <x:v>992</x:v>
      </x:c>
      <x:c r="P14" s="22" t="n">
        <x:v>9</x:v>
      </x:c>
      <x:c r="Q14" s="22" t="str"/>
      <x:c r="R14" s="22" t="n">
        <x:f>COUNTIF($M$6:$M$1177,M14)</x:f>
        <x:v>1</x:v>
      </x:c>
      <x:c r="S14" s="22" t="str">
        <x:v>Other / utility</x:v>
      </x:c>
      <x:c r="T14" s="22" t="str">
        <x:v>Scope only</x:v>
      </x:c>
    </x:row>
    <x:row r="15" ht="48" customHeight="1">
      <x:c r="A15" s="22" t="n">
        <x:v>10</x:v>
      </x:c>
      <x:c r="B15" s="22" t="str">
        <x:v>SendaText</x:v>
      </x:c>
      <x:c r="C15" s="27" t="str">
        <x:v>N/A</x:v>
      </x:c>
      <x:c r="D15" s="22" t="str">
        <x:v>Utility classification</x:v>
      </x:c>
      <x:c r="E15" s="22" t="str">
        <x:v>THROWAWAY CONTACT</x:v>
      </x:c>
      <x:c r="F15" s="22" t="str">
        <x:v>Communications / alias utility</x:v>
      </x:c>
      <x:c r="G15" s="22" t="str">
        <x:v>Not a source of verified connections. Service availability, account rules and privacy safeguards were not tested.</x:v>
      </x:c>
      <x:c r="H15" s="22" t="str">
        <x:v>Use as a utility only; functionality not audited</x:v>
      </x:c>
      <x:c r="I15" s="22" t="str">
        <x:v>Not checked</x:v>
      </x:c>
      <x:c r="J15" s="22" t="str">
        <x:v>Saved bookmark metadata only</x:v>
      </x:c>
      <x:c r="K15" s="22" t="str"/>
      <x:c r="L15" s="24" t="str"/>
      <x:c r="M15" s="24" t="str">
        <x:v>https://www.sendatext.co/</x:v>
      </x:c>
      <x:c r="N15" s="22" t="str">
        <x:v>268374571</x:v>
      </x:c>
      <x:c r="O15" s="22" t="n">
        <x:v>992</x:v>
      </x:c>
      <x:c r="P15" s="22" t="n">
        <x:v>10</x:v>
      </x:c>
      <x:c r="Q15" s="22" t="str"/>
      <x:c r="R15" s="22" t="n">
        <x:f>COUNTIF($M$6:$M$1177,M15)</x:f>
        <x:v>1</x:v>
      </x:c>
      <x:c r="S15" s="22" t="str">
        <x:v>Other / utility</x:v>
      </x:c>
      <x:c r="T15" s="22" t="str">
        <x:v>Scope only</x:v>
      </x:c>
    </x:row>
    <x:row r="16" ht="48" customHeight="1">
      <x:c r="A16" s="22" t="n">
        <x:v>11</x:v>
      </x:c>
      <x:c r="B16" s="22" t="str">
        <x:v>Free Fax</x:v>
      </x:c>
      <x:c r="C16" s="27" t="str">
        <x:v>N/A</x:v>
      </x:c>
      <x:c r="D16" s="22" t="str">
        <x:v>Utility classification</x:v>
      </x:c>
      <x:c r="E16" s="22" t="str">
        <x:v>THROWAWAY CONTACT</x:v>
      </x:c>
      <x:c r="F16" s="22" t="str">
        <x:v>Communications / alias utility</x:v>
      </x:c>
      <x:c r="G16" s="22" t="str">
        <x:v>Not a source of verified connections. Service availability, account rules and privacy safeguards were not tested.</x:v>
      </x:c>
      <x:c r="H16" s="22" t="str">
        <x:v>Use as a utility only; functionality not audited</x:v>
      </x:c>
      <x:c r="I16" s="22" t="str">
        <x:v>Not checked</x:v>
      </x:c>
      <x:c r="J16" s="22" t="str">
        <x:v>Saved bookmark metadata only</x:v>
      </x:c>
      <x:c r="K16" s="22" t="str"/>
      <x:c r="L16" s="24" t="str"/>
      <x:c r="M16" s="24" t="str">
        <x:v>https://faxzero.com/</x:v>
      </x:c>
      <x:c r="N16" s="22" t="str">
        <x:v>268374662</x:v>
      </x:c>
      <x:c r="O16" s="22" t="n">
        <x:v>992</x:v>
      </x:c>
      <x:c r="P16" s="22" t="n">
        <x:v>11</x:v>
      </x:c>
      <x:c r="Q16" s="22" t="str"/>
      <x:c r="R16" s="22" t="n">
        <x:f>COUNTIF($M$6:$M$1177,M16)</x:f>
        <x:v>1</x:v>
      </x:c>
      <x:c r="S16" s="22" t="str">
        <x:v>Other / utility</x:v>
      </x:c>
      <x:c r="T16" s="22" t="str">
        <x:v>Scope only</x:v>
      </x:c>
    </x:row>
    <x:row r="17" ht="48" customHeight="1">
      <x:c r="A17" s="22" t="n">
        <x:v>12</x:v>
      </x:c>
      <x:c r="B17" s="22" t="str">
        <x:v>Receive SMS Online</x:v>
      </x:c>
      <x:c r="C17" s="27" t="str">
        <x:v>N/A</x:v>
      </x:c>
      <x:c r="D17" s="22" t="str">
        <x:v>Utility classification</x:v>
      </x:c>
      <x:c r="E17" s="22" t="str">
        <x:v>THROWAWAY CONTACT</x:v>
      </x:c>
      <x:c r="F17" s="22" t="str">
        <x:v>Communications / alias utility</x:v>
      </x:c>
      <x:c r="G17" s="22" t="str">
        <x:v>Not a source of verified connections. Service availability, account rules and privacy safeguards were not tested.</x:v>
      </x:c>
      <x:c r="H17" s="22" t="str">
        <x:v>Use as a utility only; functionality not audited</x:v>
      </x:c>
      <x:c r="I17" s="22" t="str">
        <x:v>Not checked</x:v>
      </x:c>
      <x:c r="J17" s="22" t="str">
        <x:v>Saved bookmark metadata only</x:v>
      </x:c>
      <x:c r="K17" s="22" t="str"/>
      <x:c r="L17" s="24" t="str"/>
      <x:c r="M17" s="24" t="str">
        <x:v>https://hs3x.com/</x:v>
      </x:c>
      <x:c r="N17" s="22" t="str">
        <x:v>288431319</x:v>
      </x:c>
      <x:c r="O17" s="22" t="n">
        <x:v>992</x:v>
      </x:c>
      <x:c r="P17" s="22" t="n">
        <x:v>12</x:v>
      </x:c>
      <x:c r="Q17" s="22" t="str"/>
      <x:c r="R17" s="22" t="n">
        <x:f>COUNTIF($M$6:$M$1177,M17)</x:f>
        <x:v>2</x:v>
      </x:c>
      <x:c r="S17" s="22" t="str">
        <x:v>Other / utility</x:v>
      </x:c>
      <x:c r="T17" s="22" t="str">
        <x:v>Scope only</x:v>
      </x:c>
    </x:row>
    <x:row r="18" ht="48" customHeight="1">
      <x:c r="A18" s="22" t="n">
        <x:v>13</x:v>
      </x:c>
      <x:c r="B18" s="22" t="str">
        <x:v>Receive SMS Online for FREE</x:v>
      </x:c>
      <x:c r="C18" s="27" t="str">
        <x:v>N/A</x:v>
      </x:c>
      <x:c r="D18" s="22" t="str">
        <x:v>Utility classification</x:v>
      </x:c>
      <x:c r="E18" s="22" t="str">
        <x:v>THROWAWAY CONTACT</x:v>
      </x:c>
      <x:c r="F18" s="22" t="str">
        <x:v>Communications / alias utility</x:v>
      </x:c>
      <x:c r="G18" s="22" t="str">
        <x:v>Not a source of verified connections. Service availability, account rules and privacy safeguards were not tested.</x:v>
      </x:c>
      <x:c r="H18" s="22" t="str">
        <x:v>Use as a utility only; functionality not audited</x:v>
      </x:c>
      <x:c r="I18" s="22" t="str">
        <x:v>Not checked</x:v>
      </x:c>
      <x:c r="J18" s="22" t="str">
        <x:v>Saved bookmark metadata only</x:v>
      </x:c>
      <x:c r="K18" s="22" t="str"/>
      <x:c r="L18" s="24" t="str"/>
      <x:c r="M18" s="24" t="str">
        <x:v>http://freesmsverification.com/</x:v>
      </x:c>
      <x:c r="N18" s="22" t="str">
        <x:v>288431309</x:v>
      </x:c>
      <x:c r="O18" s="22" t="n">
        <x:v>992</x:v>
      </x:c>
      <x:c r="P18" s="22" t="n">
        <x:v>13</x:v>
      </x:c>
      <x:c r="Q18" s="22" t="str"/>
      <x:c r="R18" s="22" t="n">
        <x:f>COUNTIF($M$6:$M$1177,M18)</x:f>
        <x:v>1</x:v>
      </x:c>
      <x:c r="S18" s="22" t="str">
        <x:v>Other / utility</x:v>
      </x:c>
      <x:c r="T18" s="22" t="str">
        <x:v>Scope only</x:v>
      </x:c>
    </x:row>
    <x:row r="19" ht="48" customHeight="1">
      <x:c r="A19" s="22" t="n">
        <x:v>14</x:v>
      </x:c>
      <x:c r="B19" s="22" t="str">
        <x:v>Smstome.com</x:v>
      </x:c>
      <x:c r="C19" s="27" t="str">
        <x:v>N/A</x:v>
      </x:c>
      <x:c r="D19" s="22" t="str">
        <x:v>Utility classification</x:v>
      </x:c>
      <x:c r="E19" s="22" t="str">
        <x:v>THROWAWAY CONTACT</x:v>
      </x:c>
      <x:c r="F19" s="22" t="str">
        <x:v>Communications / alias utility</x:v>
      </x:c>
      <x:c r="G19" s="22" t="str">
        <x:v>Not a source of verified connections. Service availability, account rules and privacy safeguards were not tested.</x:v>
      </x:c>
      <x:c r="H19" s="22" t="str">
        <x:v>Use as a utility only; functionality not audited</x:v>
      </x:c>
      <x:c r="I19" s="22" t="str">
        <x:v>Not checked</x:v>
      </x:c>
      <x:c r="J19" s="22" t="str">
        <x:v>Saved bookmark metadata only</x:v>
      </x:c>
      <x:c r="K19" s="22" t="str"/>
      <x:c r="L19" s="24" t="str"/>
      <x:c r="M19" s="24" t="str">
        <x:v>https://smstome.com/</x:v>
      </x:c>
      <x:c r="N19" s="22" t="str">
        <x:v>268374210</x:v>
      </x:c>
      <x:c r="O19" s="22" t="n">
        <x:v>992</x:v>
      </x:c>
      <x:c r="P19" s="22" t="n">
        <x:v>14</x:v>
      </x:c>
      <x:c r="Q19" s="22" t="str"/>
      <x:c r="R19" s="22" t="n">
        <x:f>COUNTIF($M$6:$M$1177,M19)</x:f>
        <x:v>1</x:v>
      </x:c>
      <x:c r="S19" s="22" t="str">
        <x:v>Other / utility</x:v>
      </x:c>
      <x:c r="T19" s="22" t="str">
        <x:v>Scope only</x:v>
      </x:c>
    </x:row>
    <x:row r="20" ht="48" customHeight="1">
      <x:c r="A20" s="22" t="n">
        <x:v>15</x:v>
      </x:c>
      <x:c r="B20" s="22" t="str">
        <x:v>Receive SMS Online For Free</x:v>
      </x:c>
      <x:c r="C20" s="27" t="str">
        <x:v>N/A</x:v>
      </x:c>
      <x:c r="D20" s="22" t="str">
        <x:v>Utility classification</x:v>
      </x:c>
      <x:c r="E20" s="22" t="str">
        <x:v>THROWAWAY CONTACT</x:v>
      </x:c>
      <x:c r="F20" s="22" t="str">
        <x:v>Communications / alias utility</x:v>
      </x:c>
      <x:c r="G20" s="22" t="str">
        <x:v>Not a source of verified connections. Service availability, account rules and privacy safeguards were not tested.</x:v>
      </x:c>
      <x:c r="H20" s="22" t="str">
        <x:v>Use as a utility only; functionality not audited</x:v>
      </x:c>
      <x:c r="I20" s="22" t="str">
        <x:v>Not checked</x:v>
      </x:c>
      <x:c r="J20" s="22" t="str">
        <x:v>Saved bookmark metadata only</x:v>
      </x:c>
      <x:c r="K20" s="22" t="str"/>
      <x:c r="L20" s="24" t="str"/>
      <x:c r="M20" s="24" t="str">
        <x:v>https://hs3x.com/</x:v>
      </x:c>
      <x:c r="N20" s="22" t="str">
        <x:v>318660094</x:v>
      </x:c>
      <x:c r="O20" s="22" t="n">
        <x:v>992</x:v>
      </x:c>
      <x:c r="P20" s="22" t="n">
        <x:v>15</x:v>
      </x:c>
      <x:c r="Q20" s="22" t="str"/>
      <x:c r="R20" s="22" t="n">
        <x:f>COUNTIF($M$6:$M$1177,M20)</x:f>
        <x:v>2</x:v>
      </x:c>
      <x:c r="S20" s="22" t="str">
        <x:v>Other / utility</x:v>
      </x:c>
      <x:c r="T20" s="22" t="str">
        <x:v>Scope only</x:v>
      </x:c>
    </x:row>
    <x:row r="21" ht="48" customHeight="1">
      <x:c r="A21" s="22" t="n">
        <x:v>16</x:v>
      </x:c>
      <x:c r="B21" s="22" t="str">
        <x:v>Amazon SNS</x:v>
      </x:c>
      <x:c r="C21" s="27" t="str">
        <x:v>N/A</x:v>
      </x:c>
      <x:c r="D21" s="22" t="str">
        <x:v>Utility classification</x:v>
      </x:c>
      <x:c r="E21" s="22" t="str">
        <x:v>THROWAWAY CONTACT</x:v>
      </x:c>
      <x:c r="F21" s="22" t="str">
        <x:v>Communications / alias utility</x:v>
      </x:c>
      <x:c r="G21" s="22" t="str">
        <x:v>Not a source of verified connections. Service availability, account rules and privacy safeguards were not tested.</x:v>
      </x:c>
      <x:c r="H21" s="22" t="str">
        <x:v>Use as a utility only; functionality not audited</x:v>
      </x:c>
      <x:c r="I21" s="22" t="str">
        <x:v>Not checked</x:v>
      </x:c>
      <x:c r="J21" s="22" t="str">
        <x:v>Saved bookmark metadata only</x:v>
      </x:c>
      <x:c r="K21" s="22" t="str"/>
      <x:c r="L21" s="24" t="str"/>
      <x:c r="M21" s="24" t="str">
        <x:v>https://aws.amazon.com/sns/</x:v>
      </x:c>
      <x:c r="N21" s="22" t="str">
        <x:v>286995900</x:v>
      </x:c>
      <x:c r="O21" s="22" t="n">
        <x:v>992</x:v>
      </x:c>
      <x:c r="P21" s="22" t="n">
        <x:v>16</x:v>
      </x:c>
      <x:c r="Q21" s="22" t="str"/>
      <x:c r="R21" s="22" t="n">
        <x:f>COUNTIF($M$6:$M$1177,M21)</x:f>
        <x:v>1</x:v>
      </x:c>
      <x:c r="S21" s="22" t="str">
        <x:v>Other / utility</x:v>
      </x:c>
      <x:c r="T21" s="22" t="str">
        <x:v>Scope only</x:v>
      </x:c>
    </x:row>
    <x:row r="22" ht="48" customHeight="1">
      <x:c r="A22" s="22" t="n">
        <x:v>17</x:v>
      </x:c>
      <x:c r="B22" s="22" t="str">
        <x:v>Twilio</x:v>
      </x:c>
      <x:c r="C22" s="27" t="str">
        <x:v>N/A</x:v>
      </x:c>
      <x:c r="D22" s="22" t="str">
        <x:v>Utility classification</x:v>
      </x:c>
      <x:c r="E22" s="22" t="str">
        <x:v>THROWAWAY CONTACT</x:v>
      </x:c>
      <x:c r="F22" s="22" t="str">
        <x:v>Communications / alias utility</x:v>
      </x:c>
      <x:c r="G22" s="22" t="str">
        <x:v>Not a source of verified connections. Service availability, account rules and privacy safeguards were not tested.</x:v>
      </x:c>
      <x:c r="H22" s="22" t="str">
        <x:v>Use as a utility only; functionality not audited</x:v>
      </x:c>
      <x:c r="I22" s="22" t="str">
        <x:v>Not checked</x:v>
      </x:c>
      <x:c r="J22" s="22" t="str">
        <x:v>Saved bookmark metadata only</x:v>
      </x:c>
      <x:c r="K22" s="22" t="str"/>
      <x:c r="L22" s="24" t="str"/>
      <x:c r="M22" s="24" t="str">
        <x:v>https://www.twilio.com/</x:v>
      </x:c>
      <x:c r="N22" s="22" t="str">
        <x:v>268506743</x:v>
      </x:c>
      <x:c r="O22" s="22" t="n">
        <x:v>992</x:v>
      </x:c>
      <x:c r="P22" s="22" t="n">
        <x:v>17</x:v>
      </x:c>
      <x:c r="Q22" s="22" t="str"/>
      <x:c r="R22" s="22" t="n">
        <x:f>COUNTIF($M$6:$M$1177,M22)</x:f>
        <x:v>1</x:v>
      </x:c>
      <x:c r="S22" s="22" t="str">
        <x:v>Other / utility</x:v>
      </x:c>
      <x:c r="T22" s="22" t="str">
        <x:v>Scope only</x:v>
      </x:c>
    </x:row>
    <x:row r="23" ht="48" customHeight="1">
      <x:c r="A23" s="22" t="n">
        <x:v>18</x:v>
      </x:c>
      <x:c r="B23" s="22" t="str">
        <x:v>One-time Mobile by @OsintStash</x:v>
      </x:c>
      <x:c r="C23" s="27" t="str">
        <x:v>N/A</x:v>
      </x:c>
      <x:c r="D23" s="22" t="str">
        <x:v>Utility classification</x:v>
      </x:c>
      <x:c r="E23" s="22" t="str">
        <x:v>THROWAWAY CONTACT</x:v>
      </x:c>
      <x:c r="F23" s="22" t="str">
        <x:v>Communications / alias utility</x:v>
      </x:c>
      <x:c r="G23" s="22" t="str">
        <x:v>Not a source of verified connections. Service availability, account rules and privacy safeguards were not tested.</x:v>
      </x:c>
      <x:c r="H23" s="22" t="str">
        <x:v>Use as a utility only; functionality not audited</x:v>
      </x:c>
      <x:c r="I23" s="22" t="str">
        <x:v>Not checked</x:v>
      </x:c>
      <x:c r="J23" s="22" t="str">
        <x:v>Saved bookmark metadata only</x:v>
      </x:c>
      <x:c r="K23" s="22" t="str"/>
      <x:c r="L23" s="24" t="str"/>
      <x:c r="M23" s="24" t="str">
        <x:v>https://threader.app/thread/1199785692274077696</x:v>
      </x:c>
      <x:c r="N23" s="22" t="str">
        <x:v>286995871</x:v>
      </x:c>
      <x:c r="O23" s="22" t="n">
        <x:v>992</x:v>
      </x:c>
      <x:c r="P23" s="22" t="n">
        <x:v>18</x:v>
      </x:c>
      <x:c r="Q23" s="22" t="str"/>
      <x:c r="R23" s="22" t="n">
        <x:f>COUNTIF($M$6:$M$1177,M23)</x:f>
        <x:v>1</x:v>
      </x:c>
      <x:c r="S23" s="22" t="str">
        <x:v>Other / utility</x:v>
      </x:c>
      <x:c r="T23" s="22" t="str">
        <x:v>Scope only</x:v>
      </x:c>
    </x:row>
    <x:row r="24" ht="48" customHeight="1">
      <x:c r="A24" s="22" t="n">
        <x:v>19</x:v>
      </x:c>
      <x:c r="B24" s="22" t="str">
        <x:v>Username Generator</x:v>
      </x:c>
      <x:c r="C24" s="27" t="str">
        <x:v>N/A</x:v>
      </x:c>
      <x:c r="D24" s="22" t="str">
        <x:v>Utility classification</x:v>
      </x:c>
      <x:c r="E24" s="22" t="str">
        <x:v>ID GENERATOR</x:v>
      </x:c>
      <x:c r="F24" s="22" t="str">
        <x:v>Synthetic identifiers or test data</x:v>
      </x:c>
      <x:c r="G24" s="22" t="str">
        <x:v>Generated data is synthetic, not identity evidence. Do not present it as a genuine credential or record.</x:v>
      </x:c>
      <x:c r="H24" s="22" t="str">
        <x:v>Use as a utility only; functionality not audited</x:v>
      </x:c>
      <x:c r="I24" s="22" t="str">
        <x:v>Not checked</x:v>
      </x:c>
      <x:c r="J24" s="22" t="str">
        <x:v>Saved bookmark metadata only</x:v>
      </x:c>
      <x:c r="K24" s="22" t="str"/>
      <x:c r="L24" s="24" t="str"/>
      <x:c r="M24" s="24" t="str">
        <x:v>https://www.lastpass.com/features/username-generator</x:v>
      </x:c>
      <x:c r="N24" s="22" t="str">
        <x:v>297337778</x:v>
      </x:c>
      <x:c r="O24" s="22" t="n">
        <x:v>992</x:v>
      </x:c>
      <x:c r="P24" s="22" t="n">
        <x:v>1</x:v>
      </x:c>
      <x:c r="Q24" s="22" t="str"/>
      <x:c r="R24" s="22" t="n">
        <x:f>COUNTIF($M$6:$M$1177,M24)</x:f>
        <x:v>1</x:v>
      </x:c>
      <x:c r="S24" s="22" t="str">
        <x:v>Other / utility</x:v>
      </x:c>
      <x:c r="T24" s="22" t="str">
        <x:v>Scope only</x:v>
      </x:c>
    </x:row>
    <x:row r="25" ht="48" customHeight="1">
      <x:c r="A25" s="22" t="n">
        <x:v>20</x:v>
      </x:c>
      <x:c r="B25" s="22" t="str">
        <x:v>Fake Name Generator</x:v>
      </x:c>
      <x:c r="C25" s="27" t="str">
        <x:v>N/A</x:v>
      </x:c>
      <x:c r="D25" s="22" t="str">
        <x:v>Utility classification</x:v>
      </x:c>
      <x:c r="E25" s="22" t="str">
        <x:v>ID GENERATOR</x:v>
      </x:c>
      <x:c r="F25" s="22" t="str">
        <x:v>Synthetic identifiers or test data</x:v>
      </x:c>
      <x:c r="G25" s="22" t="str">
        <x:v>Generated data is synthetic, not identity evidence. Do not present it as a genuine credential or record.</x:v>
      </x:c>
      <x:c r="H25" s="22" t="str">
        <x:v>Use as a utility only; functionality not audited</x:v>
      </x:c>
      <x:c r="I25" s="22" t="str">
        <x:v>Not checked</x:v>
      </x:c>
      <x:c r="J25" s="22" t="str">
        <x:v>Saved bookmark metadata only</x:v>
      </x:c>
      <x:c r="K25" s="22" t="str"/>
      <x:c r="L25" s="24" t="str"/>
      <x:c r="M25" s="24" t="str">
        <x:v>https://www.fakenamegenerator.com/</x:v>
      </x:c>
      <x:c r="N25" s="22" t="str">
        <x:v>268374769</x:v>
      </x:c>
      <x:c r="O25" s="22" t="n">
        <x:v>992</x:v>
      </x:c>
      <x:c r="P25" s="22" t="n">
        <x:v>2</x:v>
      </x:c>
      <x:c r="Q25" s="22" t="str"/>
      <x:c r="R25" s="22" t="n">
        <x:f>COUNTIF($M$6:$M$1177,M25)</x:f>
        <x:v>1</x:v>
      </x:c>
      <x:c r="S25" s="22" t="str">
        <x:v>Other / utility</x:v>
      </x:c>
      <x:c r="T25" s="22" t="str">
        <x:v>Scope only</x:v>
      </x:c>
    </x:row>
    <x:row r="26" ht="48" customHeight="1">
      <x:c r="A26" s="22" t="n">
        <x:v>21</x:v>
      </x:c>
      <x:c r="B26" s="22" t="str">
        <x:v>Resume Generator</x:v>
      </x:c>
      <x:c r="C26" s="27" t="str">
        <x:v>N/A</x:v>
      </x:c>
      <x:c r="D26" s="22" t="str">
        <x:v>Utility classification</x:v>
      </x:c>
      <x:c r="E26" s="22" t="str">
        <x:v>ID GENERATOR</x:v>
      </x:c>
      <x:c r="F26" s="22" t="str">
        <x:v>Synthetic identifiers or test data</x:v>
      </x:c>
      <x:c r="G26" s="22" t="str">
        <x:v>Generated data is synthetic, not identity evidence. Do not present it as a genuine credential or record.</x:v>
      </x:c>
      <x:c r="H26" s="22" t="str">
        <x:v>Use as a utility only; functionality not audited</x:v>
      </x:c>
      <x:c r="I26" s="22" t="str">
        <x:v>Not checked</x:v>
      </x:c>
      <x:c r="J26" s="22" t="str">
        <x:v>Saved bookmark metadata only</x:v>
      </x:c>
      <x:c r="K26" s="22" t="str"/>
      <x:c r="L26" s="24" t="str"/>
      <x:c r="M26" s="24" t="str">
        <x:v>https://thisresumedoesnotexist.com/</x:v>
      </x:c>
      <x:c r="N26" s="22" t="str">
        <x:v>297337669</x:v>
      </x:c>
      <x:c r="O26" s="22" t="n">
        <x:v>992</x:v>
      </x:c>
      <x:c r="P26" s="22" t="n">
        <x:v>3</x:v>
      </x:c>
      <x:c r="Q26" s="22" t="str"/>
      <x:c r="R26" s="22" t="n">
        <x:f>COUNTIF($M$6:$M$1177,M26)</x:f>
        <x:v>1</x:v>
      </x:c>
      <x:c r="S26" s="22" t="str">
        <x:v>Other / utility</x:v>
      </x:c>
      <x:c r="T26" s="22" t="str">
        <x:v>Scope only</x:v>
      </x:c>
    </x:row>
    <x:row r="27" ht="48" customHeight="1">
      <x:c r="A27" s="22" t="n">
        <x:v>22</x:v>
      </x:c>
      <x:c r="B27" s="22" t="str">
        <x:v>International Name Generator</x:v>
      </x:c>
      <x:c r="C27" s="27" t="str">
        <x:v>N/A</x:v>
      </x:c>
      <x:c r="D27" s="22" t="str">
        <x:v>Utility classification</x:v>
      </x:c>
      <x:c r="E27" s="22" t="str">
        <x:v>ID GENERATOR</x:v>
      </x:c>
      <x:c r="F27" s="22" t="str">
        <x:v>Synthetic identifiers or test data</x:v>
      </x:c>
      <x:c r="G27" s="22" t="str">
        <x:v>Generated data is synthetic, not identity evidence. Do not present it as a genuine credential or record.</x:v>
      </x:c>
      <x:c r="H27" s="22" t="str">
        <x:v>Use as a utility only; functionality not audited</x:v>
      </x:c>
      <x:c r="I27" s="22" t="str">
        <x:v>Not checked</x:v>
      </x:c>
      <x:c r="J27" s="22" t="str">
        <x:v>Saved bookmark metadata only</x:v>
      </x:c>
      <x:c r="K27" s="22" t="str"/>
      <x:c r="L27" s="24" t="str"/>
      <x:c r="M27" s="24" t="str">
        <x:v>https://www.behindthename.com/random/</x:v>
      </x:c>
      <x:c r="N27" s="22" t="str">
        <x:v>297337725</x:v>
      </x:c>
      <x:c r="O27" s="22" t="n">
        <x:v>992</x:v>
      </x:c>
      <x:c r="P27" s="22" t="n">
        <x:v>4</x:v>
      </x:c>
      <x:c r="Q27" s="22" t="str"/>
      <x:c r="R27" s="22" t="n">
        <x:f>COUNTIF($M$6:$M$1177,M27)</x:f>
        <x:v>1</x:v>
      </x:c>
      <x:c r="S27" s="22" t="str">
        <x:v>Other / utility</x:v>
      </x:c>
      <x:c r="T27" s="22" t="str">
        <x:v>Scope only</x:v>
      </x:c>
    </x:row>
    <x:row r="28" ht="48" customHeight="1">
      <x:c r="A28" s="22" t="n">
        <x:v>23</x:v>
      </x:c>
      <x:c r="B28" s="22" t="str">
        <x:v>Windows Phone IMEI Generator</x:v>
      </x:c>
      <x:c r="C28" s="27" t="str">
        <x:v>N/A</x:v>
      </x:c>
      <x:c r="D28" s="22" t="str">
        <x:v>Utility classification</x:v>
      </x:c>
      <x:c r="E28" s="22" t="str">
        <x:v>ID GENERATOR</x:v>
      </x:c>
      <x:c r="F28" s="22" t="str">
        <x:v>Synthetic identifiers or test data</x:v>
      </x:c>
      <x:c r="G28" s="22" t="str">
        <x:v>Generated data is synthetic, not identity evidence. Do not present it as a genuine credential or record.</x:v>
      </x:c>
      <x:c r="H28" s="22" t="str">
        <x:v>Use as a utility only; functionality not audited</x:v>
      </x:c>
      <x:c r="I28" s="22" t="str">
        <x:v>Not checked</x:v>
      </x:c>
      <x:c r="J28" s="22" t="str">
        <x:v>Saved bookmark metadata only</x:v>
      </x:c>
      <x:c r="K28" s="22" t="str"/>
      <x:c r="L28" s="24" t="str"/>
      <x:c r="M28" s="24" t="str">
        <x:v>https://wpimeigenerator.github.io/</x:v>
      </x:c>
      <x:c r="N28" s="22" t="str">
        <x:v>286014649</x:v>
      </x:c>
      <x:c r="O28" s="22" t="n">
        <x:v>992</x:v>
      </x:c>
      <x:c r="P28" s="22" t="n">
        <x:v>5</x:v>
      </x:c>
      <x:c r="Q28" s="22" t="str"/>
      <x:c r="R28" s="22" t="n">
        <x:f>COUNTIF($M$6:$M$1177,M28)</x:f>
        <x:v>1</x:v>
      </x:c>
      <x:c r="S28" s="22" t="str">
        <x:v>Other / utility</x:v>
      </x:c>
      <x:c r="T28" s="22" t="str">
        <x:v>Scope only</x:v>
      </x:c>
    </x:row>
    <x:row r="29" ht="48" customHeight="1">
      <x:c r="A29" s="22" t="n">
        <x:v>24</x:v>
      </x:c>
      <x:c r="B29" s="22" t="str">
        <x:v>IMEI Number Generator</x:v>
      </x:c>
      <x:c r="C29" s="27" t="str">
        <x:v>N/A</x:v>
      </x:c>
      <x:c r="D29" s="22" t="str">
        <x:v>Utility classification</x:v>
      </x:c>
      <x:c r="E29" s="22" t="str">
        <x:v>ID GENERATOR</x:v>
      </x:c>
      <x:c r="F29" s="22" t="str">
        <x:v>Synthetic identifiers or test data</x:v>
      </x:c>
      <x:c r="G29" s="22" t="str">
        <x:v>Generated data is synthetic, not identity evidence. Do not present it as a genuine credential or record.</x:v>
      </x:c>
      <x:c r="H29" s="22" t="str">
        <x:v>Use as a utility only; functionality not audited</x:v>
      </x:c>
      <x:c r="I29" s="22" t="str">
        <x:v>Not checked</x:v>
      </x:c>
      <x:c r="J29" s="22" t="str">
        <x:v>Saved bookmark metadata only</x:v>
      </x:c>
      <x:c r="K29" s="22" t="str"/>
      <x:c r="L29" s="24" t="str"/>
      <x:c r="M29" s="24" t="str">
        <x:v>https://dyrk.org/tools/imei/</x:v>
      </x:c>
      <x:c r="N29" s="22" t="str">
        <x:v>268375509</x:v>
      </x:c>
      <x:c r="O29" s="22" t="n">
        <x:v>992</x:v>
      </x:c>
      <x:c r="P29" s="22" t="n">
        <x:v>6</x:v>
      </x:c>
      <x:c r="Q29" s="22" t="str"/>
      <x:c r="R29" s="22" t="n">
        <x:f>COUNTIF($M$6:$M$1177,M29)</x:f>
        <x:v>1</x:v>
      </x:c>
      <x:c r="S29" s="22" t="str">
        <x:v>Other / utility</x:v>
      </x:c>
      <x:c r="T29" s="22" t="str">
        <x:v>Scope only</x:v>
      </x:c>
    </x:row>
    <x:row r="30" ht="48" customHeight="1">
      <x:c r="A30" s="22" t="n">
        <x:v>25</x:v>
      </x:c>
      <x:c r="B30" s="22" t="str">
        <x:v>US SSN / Driver License / State ID / Passport / Tax ID Generator</x:v>
      </x:c>
      <x:c r="C30" s="27" t="str">
        <x:v>N/A</x:v>
      </x:c>
      <x:c r="D30" s="22" t="str">
        <x:v>Utility classification</x:v>
      </x:c>
      <x:c r="E30" s="22" t="str">
        <x:v>ID GENERATOR</x:v>
      </x:c>
      <x:c r="F30" s="22" t="str">
        <x:v>Synthetic identifiers or test data</x:v>
      </x:c>
      <x:c r="G30" s="22" t="str">
        <x:v>Generated data is synthetic, not identity evidence. Do not present it as a genuine credential or record.</x:v>
      </x:c>
      <x:c r="H30" s="22" t="str">
        <x:v>Use as a utility only; functionality not audited</x:v>
      </x:c>
      <x:c r="I30" s="22" t="str">
        <x:v>Not checked</x:v>
      </x:c>
      <x:c r="J30" s="22" t="str">
        <x:v>Saved bookmark metadata only</x:v>
      </x:c>
      <x:c r="K30" s="22" t="str"/>
      <x:c r="L30" s="24" t="str"/>
      <x:c r="M30" s="24" t="str">
        <x:v>https://www.elfqrin.com/usssndriverlicenseidgen.php</x:v>
      </x:c>
      <x:c r="N30" s="22" t="str">
        <x:v>268374822</x:v>
      </x:c>
      <x:c r="O30" s="22" t="n">
        <x:v>992</x:v>
      </x:c>
      <x:c r="P30" s="22" t="n">
        <x:v>7</x:v>
      </x:c>
      <x:c r="Q30" s="22" t="str"/>
      <x:c r="R30" s="22" t="n">
        <x:f>COUNTIF($M$6:$M$1177,M30)</x:f>
        <x:v>1</x:v>
      </x:c>
      <x:c r="S30" s="22" t="str">
        <x:v>Other / utility</x:v>
      </x:c>
      <x:c r="T30" s="22" t="str">
        <x:v>Scope only</x:v>
      </x:c>
    </x:row>
    <x:row r="31" ht="48" customHeight="1">
      <x:c r="A31" s="22" t="n">
        <x:v>26</x:v>
      </x:c>
      <x:c r="B31" s="22" t="str">
        <x:v>Washington State Driver's License Generator</x:v>
      </x:c>
      <x:c r="C31" s="27" t="str">
        <x:v>N/A</x:v>
      </x:c>
      <x:c r="D31" s="22" t="str">
        <x:v>Utility classification</x:v>
      </x:c>
      <x:c r="E31" s="22" t="str">
        <x:v>ID GENERATOR</x:v>
      </x:c>
      <x:c r="F31" s="22" t="str">
        <x:v>Synthetic identifiers or test data</x:v>
      </x:c>
      <x:c r="G31" s="22" t="str">
        <x:v>Generated data is synthetic, not identity evidence. Do not present it as a genuine credential or record.</x:v>
      </x:c>
      <x:c r="H31" s="22" t="str">
        <x:v>Use as a utility only; functionality not audited</x:v>
      </x:c>
      <x:c r="I31" s="22" t="str">
        <x:v>Not checked</x:v>
      </x:c>
      <x:c r="J31" s="22" t="str">
        <x:v>Saved bookmark metadata only</x:v>
      </x:c>
      <x:c r="K31" s="22" t="str"/>
      <x:c r="L31" s="24" t="str"/>
      <x:c r="M31" s="24" t="str">
        <x:v>https://mmarvick.github.io/wa-drivers-license/</x:v>
      </x:c>
      <x:c r="N31" s="22" t="str">
        <x:v>286014803</x:v>
      </x:c>
      <x:c r="O31" s="22" t="n">
        <x:v>992</x:v>
      </x:c>
      <x:c r="P31" s="22" t="n">
        <x:v>8</x:v>
      </x:c>
      <x:c r="Q31" s="22" t="str"/>
      <x:c r="R31" s="22" t="n">
        <x:f>COUNTIF($M$6:$M$1177,M31)</x:f>
        <x:v>1</x:v>
      </x:c>
      <x:c r="S31" s="22" t="str">
        <x:v>Other / utility</x:v>
      </x:c>
      <x:c r="T31" s="22" t="str">
        <x:v>Scope only</x:v>
      </x:c>
    </x:row>
    <x:row r="32" ht="48" customHeight="1">
      <x:c r="A32" s="22" t="n">
        <x:v>27</x:v>
      </x:c>
      <x:c r="B32" s="22" t="str">
        <x:v>Fake Drivers License Generator</x:v>
      </x:c>
      <x:c r="C32" s="27" t="str">
        <x:v>N/A</x:v>
      </x:c>
      <x:c r="D32" s="22" t="str">
        <x:v>Utility classification</x:v>
      </x:c>
      <x:c r="E32" s="22" t="str">
        <x:v>ID GENERATOR</x:v>
      </x:c>
      <x:c r="F32" s="22" t="str">
        <x:v>Synthetic identifiers or test data</x:v>
      </x:c>
      <x:c r="G32" s="22" t="str">
        <x:v>Generated data is synthetic, not identity evidence. Do not present it as a genuine credential or record.</x:v>
      </x:c>
      <x:c r="H32" s="22" t="str">
        <x:v>Use as a utility only; functionality not audited</x:v>
      </x:c>
      <x:c r="I32" s="22" t="str">
        <x:v>Not checked</x:v>
      </x:c>
      <x:c r="J32" s="22" t="str">
        <x:v>Saved bookmark metadata only</x:v>
      </x:c>
      <x:c r="K32" s="22" t="str"/>
      <x:c r="L32" s="24" t="str"/>
      <x:c r="M32" s="24" t="str">
        <x:v>https://fakeinfo.net/drivers-license-generator</x:v>
      </x:c>
      <x:c r="N32" s="22" t="str">
        <x:v>297537964</x:v>
      </x:c>
      <x:c r="O32" s="22" t="n">
        <x:v>992</x:v>
      </x:c>
      <x:c r="P32" s="22" t="n">
        <x:v>9</x:v>
      </x:c>
      <x:c r="Q32" s="22" t="str"/>
      <x:c r="R32" s="22" t="n">
        <x:f>COUNTIF($M$6:$M$1177,M32)</x:f>
        <x:v>1</x:v>
      </x:c>
      <x:c r="S32" s="22" t="str">
        <x:v>Other / utility</x:v>
      </x:c>
      <x:c r="T32" s="22" t="str">
        <x:v>Scope only</x:v>
      </x:c>
    </x:row>
    <x:row r="33" ht="48" customHeight="1">
      <x:c r="A33" s="22" t="n">
        <x:v>28</x:v>
      </x:c>
      <x:c r="B33" s="22" t="str">
        <x:v>This Rental Does Not Exist</x:v>
      </x:c>
      <x:c r="C33" s="27" t="str">
        <x:v>N/A</x:v>
      </x:c>
      <x:c r="D33" s="22" t="str">
        <x:v>Utility classification</x:v>
      </x:c>
      <x:c r="E33" s="22" t="str">
        <x:v>ID GENERATOR</x:v>
      </x:c>
      <x:c r="F33" s="22" t="str">
        <x:v>Synthetic identifiers or test data</x:v>
      </x:c>
      <x:c r="G33" s="22" t="str">
        <x:v>Generated data is synthetic, not identity evidence. Do not present it as a genuine credential or record.</x:v>
      </x:c>
      <x:c r="H33" s="22" t="str">
        <x:v>Use as a utility only; functionality not audited</x:v>
      </x:c>
      <x:c r="I33" s="22" t="str">
        <x:v>Not checked</x:v>
      </x:c>
      <x:c r="J33" s="22" t="str">
        <x:v>Saved bookmark metadata only</x:v>
      </x:c>
      <x:c r="K33" s="22" t="str"/>
      <x:c r="L33" s="24" t="str"/>
      <x:c r="M33" s="24" t="str">
        <x:v>https://thisrentaldoesnotexist.com/</x:v>
      </x:c>
      <x:c r="N33" s="22" t="str">
        <x:v>297337672</x:v>
      </x:c>
      <x:c r="O33" s="22" t="n">
        <x:v>992</x:v>
      </x:c>
      <x:c r="P33" s="22" t="n">
        <x:v>10</x:v>
      </x:c>
      <x:c r="Q33" s="22" t="str"/>
      <x:c r="R33" s="22" t="n">
        <x:f>COUNTIF($M$6:$M$1177,M33)</x:f>
        <x:v>1</x:v>
      </x:c>
      <x:c r="S33" s="22" t="str">
        <x:v>Other / utility</x:v>
      </x:c>
      <x:c r="T33" s="22" t="str">
        <x:v>Scope only</x:v>
      </x:c>
    </x:row>
    <x:row r="34" ht="48" customHeight="1">
      <x:c r="A34" s="22" t="n">
        <x:v>29</x:v>
      </x:c>
      <x:c r="B34" s="22" t="str">
        <x:v>Face Photo Generator</x:v>
      </x:c>
      <x:c r="C34" s="27" t="str">
        <x:v>N/A</x:v>
      </x:c>
      <x:c r="D34" s="22" t="str">
        <x:v>Utility classification</x:v>
      </x:c>
      <x:c r="E34" s="22" t="str">
        <x:v>ID GENERATOR</x:v>
      </x:c>
      <x:c r="F34" s="22" t="str">
        <x:v>Synthetic identifiers or test data</x:v>
      </x:c>
      <x:c r="G34" s="22" t="str">
        <x:v>Generated data is synthetic, not identity evidence. Do not present it as a genuine credential or record.</x:v>
      </x:c>
      <x:c r="H34" s="22" t="str">
        <x:v>Use as a utility only; functionality not audited</x:v>
      </x:c>
      <x:c r="I34" s="22" t="str">
        <x:v>Not checked</x:v>
      </x:c>
      <x:c r="J34" s="22" t="str">
        <x:v>Saved bookmark metadata only</x:v>
      </x:c>
      <x:c r="K34" s="22" t="str"/>
      <x:c r="L34" s="24" t="str"/>
      <x:c r="M34" s="24" t="str">
        <x:v>https://thispersondoesnotexist.com/</x:v>
      </x:c>
      <x:c r="N34" s="22" t="str">
        <x:v>268506676</x:v>
      </x:c>
      <x:c r="O34" s="22" t="n">
        <x:v>992</x:v>
      </x:c>
      <x:c r="P34" s="22" t="n">
        <x:v>11</x:v>
      </x:c>
      <x:c r="Q34" s="22" t="str"/>
      <x:c r="R34" s="22" t="n">
        <x:f>COUNTIF($M$6:$M$1177,M34)</x:f>
        <x:v>1</x:v>
      </x:c>
      <x:c r="S34" s="22" t="str">
        <x:v>Other / utility</x:v>
      </x:c>
      <x:c r="T34" s="22" t="str">
        <x:v>Scope only</x:v>
      </x:c>
    </x:row>
    <x:row r="35" ht="48" customHeight="1">
      <x:c r="A35" s="22" t="n">
        <x:v>30</x:v>
      </x:c>
      <x:c r="B35" s="22" t="str">
        <x:v>Random Face Generator</x:v>
      </x:c>
      <x:c r="C35" s="27" t="str">
        <x:v>N/A</x:v>
      </x:c>
      <x:c r="D35" s="22" t="str">
        <x:v>Utility classification</x:v>
      </x:c>
      <x:c r="E35" s="22" t="str">
        <x:v>ID GENERATOR</x:v>
      </x:c>
      <x:c r="F35" s="22" t="str">
        <x:v>Synthetic identifiers or test data</x:v>
      </x:c>
      <x:c r="G35" s="22" t="str">
        <x:v>Generated data is synthetic, not identity evidence. Do not present it as a genuine credential or record.</x:v>
      </x:c>
      <x:c r="H35" s="22" t="str">
        <x:v>Use as a utility only; functionality not audited</x:v>
      </x:c>
      <x:c r="I35" s="22" t="str">
        <x:v>Not checked</x:v>
      </x:c>
      <x:c r="J35" s="22" t="str">
        <x:v>Saved bookmark metadata only</x:v>
      </x:c>
      <x:c r="K35" s="22" t="str"/>
      <x:c r="L35" s="24" t="str"/>
      <x:c r="M35" s="24" t="str">
        <x:v>https://fakeinfo.net/random-face-generator</x:v>
      </x:c>
      <x:c r="N35" s="22" t="str">
        <x:v>297540009</x:v>
      </x:c>
      <x:c r="O35" s="22" t="n">
        <x:v>992</x:v>
      </x:c>
      <x:c r="P35" s="22" t="n">
        <x:v>12</x:v>
      </x:c>
      <x:c r="Q35" s="22" t="str"/>
      <x:c r="R35" s="22" t="n">
        <x:f>COUNTIF($M$6:$M$1177,M35)</x:f>
        <x:v>1</x:v>
      </x:c>
      <x:c r="S35" s="22" t="str">
        <x:v>Other / utility</x:v>
      </x:c>
      <x:c r="T35" s="22" t="str">
        <x:v>Scope only</x:v>
      </x:c>
    </x:row>
    <x:row r="36" ht="48" customHeight="1">
      <x:c r="A36" s="22" t="n">
        <x:v>31</x:v>
      </x:c>
      <x:c r="B36" s="22" t="str">
        <x:v>Credit Card Generator</x:v>
      </x:c>
      <x:c r="C36" s="27" t="str">
        <x:v>N/A</x:v>
      </x:c>
      <x:c r="D36" s="22" t="str">
        <x:v>Utility classification</x:v>
      </x:c>
      <x:c r="E36" s="22" t="str">
        <x:v>ID GENERATOR</x:v>
      </x:c>
      <x:c r="F36" s="22" t="str">
        <x:v>Synthetic identifiers or test data</x:v>
      </x:c>
      <x:c r="G36" s="22" t="str">
        <x:v>Generated data is synthetic, not identity evidence. Do not present it as a genuine credential or record.</x:v>
      </x:c>
      <x:c r="H36" s="22" t="str">
        <x:v>Use as a utility only; functionality not audited</x:v>
      </x:c>
      <x:c r="I36" s="22" t="str">
        <x:v>Not checked</x:v>
      </x:c>
      <x:c r="J36" s="22" t="str">
        <x:v>Saved bookmark metadata only</x:v>
      </x:c>
      <x:c r="K36" s="22" t="str"/>
      <x:c r="L36" s="24" t="str"/>
      <x:c r="M36" s="24" t="str">
        <x:v>https://www.fakenamegenerator.com/credit-card-validator.php</x:v>
      </x:c>
      <x:c r="N36" s="22" t="str">
        <x:v>268375739</x:v>
      </x:c>
      <x:c r="O36" s="22" t="n">
        <x:v>992</x:v>
      </x:c>
      <x:c r="P36" s="22" t="n">
        <x:v>13</x:v>
      </x:c>
      <x:c r="Q36" s="22" t="str"/>
      <x:c r="R36" s="22" t="n">
        <x:f>COUNTIF($M$6:$M$1177,M36)</x:f>
        <x:v>1</x:v>
      </x:c>
      <x:c r="S36" s="22" t="str">
        <x:v>Other / utility</x:v>
      </x:c>
      <x:c r="T36" s="22" t="str">
        <x:v>Scope only</x:v>
      </x:c>
    </x:row>
    <x:row r="37" ht="48" customHeight="1">
      <x:c r="A37" s="22" t="n">
        <x:v>32</x:v>
      </x:c>
      <x:c r="B37" s="22" t="str">
        <x:v>PIC/CIC Code Database</x:v>
      </x:c>
      <x:c r="C37" s="31" t="str">
        <x:v>U</x:v>
      </x:c>
      <x:c r="D37" s="22" t="str">
        <x:v>Unassessed</x:v>
      </x:c>
      <x:c r="E37" s="22" t="str">
        <x:v>ID GENERATOR</x:v>
      </x:c>
      <x:c r="F37" s="22" t="str">
        <x:v>Synthetic identifiers or test data</x:v>
      </x:c>
      <x:c r="G37" s="22" t="str">
        <x:v>No substantive provider review supports a reliability grade for this entry.</x:v>
      </x:c>
      <x:c r="H37" s="22" t="str">
        <x:v>Verify publisher, source and current function before reliance</x:v>
      </x:c>
      <x:c r="I37" s="22" t="str">
        <x:v>Not checked</x:v>
      </x:c>
      <x:c r="J37" s="22" t="str">
        <x:v>Saved bookmark metadata only</x:v>
      </x:c>
      <x:c r="K37" s="22" t="str"/>
      <x:c r="L37" s="24" t="str"/>
      <x:c r="M37" s="24" t="str">
        <x:v>https://www.allredtech.com/</x:v>
      </x:c>
      <x:c r="N37" s="22" t="str">
        <x:v>268375685</x:v>
      </x:c>
      <x:c r="O37" s="22" t="n">
        <x:v>992</x:v>
      </x:c>
      <x:c r="P37" s="22" t="n">
        <x:v>14</x:v>
      </x:c>
      <x:c r="Q37" s="22" t="str"/>
      <x:c r="R37" s="22" t="n">
        <x:f>COUNTIF($M$6:$M$1177,M37)</x:f>
        <x:v>1</x:v>
      </x:c>
      <x:c r="S37" s="22" t="str">
        <x:v>Other / utility</x:v>
      </x:c>
      <x:c r="T37" s="22" t="str">
        <x:v>Not established</x:v>
      </x:c>
    </x:row>
    <x:row r="38" ht="48" customHeight="1">
      <x:c r="A38" s="22" t="n">
        <x:v>33</x:v>
      </x:c>
      <x:c r="B38" s="22" t="str">
        <x:v>SIN Generator</x:v>
      </x:c>
      <x:c r="C38" s="27" t="str">
        <x:v>N/A</x:v>
      </x:c>
      <x:c r="D38" s="22" t="str">
        <x:v>Utility classification</x:v>
      </x:c>
      <x:c r="E38" s="22" t="str">
        <x:v>ID GENERATOR</x:v>
      </x:c>
      <x:c r="F38" s="22" t="str">
        <x:v>Synthetic identifiers or test data</x:v>
      </x:c>
      <x:c r="G38" s="22" t="str">
        <x:v>Generated data is synthetic, not identity evidence. Do not present it as a genuine credential or record.</x:v>
      </x:c>
      <x:c r="H38" s="22" t="str">
        <x:v>Use as a utility only; functionality not audited</x:v>
      </x:c>
      <x:c r="I38" s="22" t="str">
        <x:v>Not checked</x:v>
      </x:c>
      <x:c r="J38" s="22" t="str">
        <x:v>Saved bookmark metadata only</x:v>
      </x:c>
      <x:c r="K38" s="22" t="str"/>
      <x:c r="L38" s="24" t="str"/>
      <x:c r="M38" s="24" t="str">
        <x:v>https://www.fakenamegenerator.com/social-insurance-number.php</x:v>
      </x:c>
      <x:c r="N38" s="22" t="str">
        <x:v>268374904</x:v>
      </x:c>
      <x:c r="O38" s="22" t="n">
        <x:v>992</x:v>
      </x:c>
      <x:c r="P38" s="22" t="n">
        <x:v>15</x:v>
      </x:c>
      <x:c r="Q38" s="22" t="str"/>
      <x:c r="R38" s="22" t="n">
        <x:f>COUNTIF($M$6:$M$1177,M38)</x:f>
        <x:v>1</x:v>
      </x:c>
      <x:c r="S38" s="22" t="str">
        <x:v>Other / utility</x:v>
      </x:c>
      <x:c r="T38" s="22" t="str">
        <x:v>Scope only</x:v>
      </x:c>
    </x:row>
    <x:row r="39" ht="48" customHeight="1">
      <x:c r="A39" s="22" t="n">
        <x:v>34</x:v>
      </x:c>
      <x:c r="B39" s="22" t="str">
        <x:v>ABA Generator</x:v>
      </x:c>
      <x:c r="C39" s="27" t="str">
        <x:v>N/A</x:v>
      </x:c>
      <x:c r="D39" s="22" t="str">
        <x:v>Utility classification</x:v>
      </x:c>
      <x:c r="E39" s="22" t="str">
        <x:v>ID GENERATOR</x:v>
      </x:c>
      <x:c r="F39" s="22" t="str">
        <x:v>Synthetic identifiers or test data</x:v>
      </x:c>
      <x:c r="G39" s="22" t="str">
        <x:v>Generated data is synthetic, not identity evidence. Do not present it as a genuine credential or record.</x:v>
      </x:c>
      <x:c r="H39" s="22" t="str">
        <x:v>Use as a utility only; functionality not audited</x:v>
      </x:c>
      <x:c r="I39" s="22" t="str">
        <x:v>Not checked</x:v>
      </x:c>
      <x:c r="J39" s="22" t="str">
        <x:v>Saved bookmark metadata only</x:v>
      </x:c>
      <x:c r="K39" s="22" t="str"/>
      <x:c r="L39" s="24" t="str"/>
      <x:c r="M39" s="24" t="str">
        <x:v>https://www.fakenamegenerator.com/aba-validator.php</x:v>
      </x:c>
      <x:c r="N39" s="22" t="str">
        <x:v>268375690</x:v>
      </x:c>
      <x:c r="O39" s="22" t="n">
        <x:v>992</x:v>
      </x:c>
      <x:c r="P39" s="22" t="n">
        <x:v>16</x:v>
      </x:c>
      <x:c r="Q39" s="22" t="str"/>
      <x:c r="R39" s="22" t="n">
        <x:f>COUNTIF($M$6:$M$1177,M39)</x:f>
        <x:v>1</x:v>
      </x:c>
      <x:c r="S39" s="22" t="str">
        <x:v>Other / utility</x:v>
      </x:c>
      <x:c r="T39" s="22" t="str">
        <x:v>Scope only</x:v>
      </x:c>
    </x:row>
    <x:row r="40" ht="48" customHeight="1">
      <x:c r="A40" s="22" t="n">
        <x:v>35</x:v>
      </x:c>
      <x:c r="B40" s="22" t="str">
        <x:v>VIN Generator</x:v>
      </x:c>
      <x:c r="C40" s="27" t="str">
        <x:v>N/A</x:v>
      </x:c>
      <x:c r="D40" s="22" t="str">
        <x:v>Utility classification</x:v>
      </x:c>
      <x:c r="E40" s="22" t="str">
        <x:v>ID GENERATOR</x:v>
      </x:c>
      <x:c r="F40" s="22" t="str">
        <x:v>Synthetic identifiers or test data</x:v>
      </x:c>
      <x:c r="G40" s="22" t="str">
        <x:v>Generated data is synthetic, not identity evidence. Do not present it as a genuine credential or record.</x:v>
      </x:c>
      <x:c r="H40" s="22" t="str">
        <x:v>Use as a utility only; functionality not audited</x:v>
      </x:c>
      <x:c r="I40" s="22" t="str">
        <x:v>Not checked</x:v>
      </x:c>
      <x:c r="J40" s="22" t="str">
        <x:v>Saved bookmark metadata only</x:v>
      </x:c>
      <x:c r="K40" s="22" t="str"/>
      <x:c r="L40" s="24" t="str"/>
      <x:c r="M40" s="24" t="str">
        <x:v>https://www.fakenamegenerator.com/vehicle-identification-number.php</x:v>
      </x:c>
      <x:c r="N40" s="22" t="str">
        <x:v>268375791</x:v>
      </x:c>
      <x:c r="O40" s="22" t="n">
        <x:v>992</x:v>
      </x:c>
      <x:c r="P40" s="22" t="n">
        <x:v>17</x:v>
      </x:c>
      <x:c r="Q40" s="22" t="str"/>
      <x:c r="R40" s="22" t="n">
        <x:f>COUNTIF($M$6:$M$1177,M40)</x:f>
        <x:v>1</x:v>
      </x:c>
      <x:c r="S40" s="22" t="str">
        <x:v>Other / utility</x:v>
      </x:c>
      <x:c r="T40" s="22" t="str">
        <x:v>Scope only</x:v>
      </x:c>
    </x:row>
    <x:row r="41" ht="48" customHeight="1">
      <x:c r="A41" s="22" t="n">
        <x:v>36</x:v>
      </x:c>
      <x:c r="B41" s="22" t="str">
        <x:v>NINO Generator</x:v>
      </x:c>
      <x:c r="C41" s="27" t="str">
        <x:v>N/A</x:v>
      </x:c>
      <x:c r="D41" s="22" t="str">
        <x:v>Utility classification</x:v>
      </x:c>
      <x:c r="E41" s="22" t="str">
        <x:v>ID GENERATOR</x:v>
      </x:c>
      <x:c r="F41" s="22" t="str">
        <x:v>Synthetic identifiers or test data</x:v>
      </x:c>
      <x:c r="G41" s="22" t="str">
        <x:v>Generated data is synthetic, not identity evidence. Do not present it as a genuine credential or record.</x:v>
      </x:c>
      <x:c r="H41" s="22" t="str">
        <x:v>Use as a utility only; functionality not audited</x:v>
      </x:c>
      <x:c r="I41" s="22" t="str">
        <x:v>Not checked</x:v>
      </x:c>
      <x:c r="J41" s="22" t="str">
        <x:v>Saved bookmark metadata only</x:v>
      </x:c>
      <x:c r="K41" s="22" t="str"/>
      <x:c r="L41" s="24" t="str"/>
      <x:c r="M41" s="24" t="str">
        <x:v>https://www.fakenamegenerator.com/national-insurance-number.php</x:v>
      </x:c>
      <x:c r="N41" s="22" t="str">
        <x:v>268375920</x:v>
      </x:c>
      <x:c r="O41" s="22" t="n">
        <x:v>992</x:v>
      </x:c>
      <x:c r="P41" s="22" t="n">
        <x:v>18</x:v>
      </x:c>
      <x:c r="Q41" s="22" t="str"/>
      <x:c r="R41" s="22" t="n">
        <x:f>COUNTIF($M$6:$M$1177,M41)</x:f>
        <x:v>1</x:v>
      </x:c>
      <x:c r="S41" s="22" t="str">
        <x:v>Other / utility</x:v>
      </x:c>
      <x:c r="T41" s="22" t="str">
        <x:v>Scope only</x:v>
      </x:c>
    </x:row>
    <x:row r="42" ht="48" customHeight="1">
      <x:c r="A42" s="22" t="n">
        <x:v>37</x:v>
      </x:c>
      <x:c r="B42" s="22" t="str">
        <x:v>SSN Generator</x:v>
      </x:c>
      <x:c r="C42" s="27" t="str">
        <x:v>N/A</x:v>
      </x:c>
      <x:c r="D42" s="22" t="str">
        <x:v>Utility classification</x:v>
      </x:c>
      <x:c r="E42" s="22" t="str">
        <x:v>ID GENERATOR</x:v>
      </x:c>
      <x:c r="F42" s="22" t="str">
        <x:v>Synthetic identifiers or test data</x:v>
      </x:c>
      <x:c r="G42" s="22" t="str">
        <x:v>Generated data is synthetic, not identity evidence. Do not present it as a genuine credential or record.</x:v>
      </x:c>
      <x:c r="H42" s="22" t="str">
        <x:v>Use as a utility only; functionality not audited</x:v>
      </x:c>
      <x:c r="I42" s="22" t="str">
        <x:v>Not checked</x:v>
      </x:c>
      <x:c r="J42" s="22" t="str">
        <x:v>Saved bookmark metadata only</x:v>
      </x:c>
      <x:c r="K42" s="22" t="str"/>
      <x:c r="L42" s="24" t="str"/>
      <x:c r="M42" s="24" t="str">
        <x:v>https://www.fakenamegenerator.com/social-security-number.php</x:v>
      </x:c>
      <x:c r="N42" s="22" t="str">
        <x:v>268375967</x:v>
      </x:c>
      <x:c r="O42" s="22" t="n">
        <x:v>992</x:v>
      </x:c>
      <x:c r="P42" s="22" t="n">
        <x:v>19</x:v>
      </x:c>
      <x:c r="Q42" s="22" t="str"/>
      <x:c r="R42" s="22" t="n">
        <x:f>COUNTIF($M$6:$M$1177,M42)</x:f>
        <x:v>1</x:v>
      </x:c>
      <x:c r="S42" s="22" t="str">
        <x:v>Other / utility</x:v>
      </x:c>
      <x:c r="T42" s="22" t="str">
        <x:v>Scope only</x:v>
      </x:c>
    </x:row>
    <x:row r="43" ht="48" customHeight="1">
      <x:c r="A43" s="22" t="n">
        <x:v>38</x:v>
      </x:c>
      <x:c r="B43" s="22" t="str">
        <x:v>IID Generator by Georgy Bunin</x:v>
      </x:c>
      <x:c r="C43" s="27" t="str">
        <x:v>N/A</x:v>
      </x:c>
      <x:c r="D43" s="22" t="str">
        <x:v>Utility classification</x:v>
      </x:c>
      <x:c r="E43" s="22" t="str">
        <x:v>ID GENERATOR</x:v>
      </x:c>
      <x:c r="F43" s="22" t="str">
        <x:v>Synthetic identifiers or test data</x:v>
      </x:c>
      <x:c r="G43" s="22" t="str">
        <x:v>Generated data is synthetic, not identity evidence. Do not present it as a genuine credential or record.</x:v>
      </x:c>
      <x:c r="H43" s="22" t="str">
        <x:v>Use as a utility only; functionality not audited</x:v>
      </x:c>
      <x:c r="I43" s="22" t="str">
        <x:v>Not checked</x:v>
      </x:c>
      <x:c r="J43" s="22" t="str">
        <x:v>Saved bookmark metadata only</x:v>
      </x:c>
      <x:c r="K43" s="22" t="str"/>
      <x:c r="L43" s="24" t="str"/>
      <x:c r="M43" s="24" t="str">
        <x:v>https://georgybu.github.io/IID_Generator/</x:v>
      </x:c>
      <x:c r="N43" s="22" t="str">
        <x:v>286014744</x:v>
      </x:c>
      <x:c r="O43" s="22" t="n">
        <x:v>992</x:v>
      </x:c>
      <x:c r="P43" s="22" t="n">
        <x:v>20</x:v>
      </x:c>
      <x:c r="Q43" s="22" t="str"/>
      <x:c r="R43" s="22" t="n">
        <x:f>COUNTIF($M$6:$M$1177,M43)</x:f>
        <x:v>1</x:v>
      </x:c>
      <x:c r="S43" s="22" t="str">
        <x:v>Other / utility</x:v>
      </x:c>
      <x:c r="T43" s="22" t="str">
        <x:v>Scope only</x:v>
      </x:c>
    </x:row>
    <x:row r="44" ht="48" customHeight="1">
      <x:c r="A44" s="22" t="n">
        <x:v>39</x:v>
      </x:c>
      <x:c r="B44" s="22" t="str">
        <x:v>GUID/UUID and short GUID generator</x:v>
      </x:c>
      <x:c r="C44" s="27" t="str">
        <x:v>N/A</x:v>
      </x:c>
      <x:c r="D44" s="22" t="str">
        <x:v>Utility classification</x:v>
      </x:c>
      <x:c r="E44" s="22" t="str">
        <x:v>ID GENERATOR</x:v>
      </x:c>
      <x:c r="F44" s="22" t="str">
        <x:v>Synthetic identifiers or test data</x:v>
      </x:c>
      <x:c r="G44" s="22" t="str">
        <x:v>Generated data is synthetic, not identity evidence. Do not present it as a genuine credential or record.</x:v>
      </x:c>
      <x:c r="H44" s="22" t="str">
        <x:v>Use as a utility only; functionality not audited</x:v>
      </x:c>
      <x:c r="I44" s="22" t="str">
        <x:v>Not checked</x:v>
      </x:c>
      <x:c r="J44" s="22" t="str">
        <x:v>Saved bookmark metadata only</x:v>
      </x:c>
      <x:c r="K44" s="22" t="str"/>
      <x:c r="L44" s="24" t="str"/>
      <x:c r="M44" s="24" t="str">
        <x:v>https://richardkundl.github.io/shortguid/</x:v>
      </x:c>
      <x:c r="N44" s="22" t="str">
        <x:v>286014801</x:v>
      </x:c>
      <x:c r="O44" s="22" t="n">
        <x:v>992</x:v>
      </x:c>
      <x:c r="P44" s="22" t="n">
        <x:v>21</x:v>
      </x:c>
      <x:c r="Q44" s="22" t="str"/>
      <x:c r="R44" s="22" t="n">
        <x:f>COUNTIF($M$6:$M$1177,M44)</x:f>
        <x:v>1</x:v>
      </x:c>
      <x:c r="S44" s="22" t="str">
        <x:v>Other / utility</x:v>
      </x:c>
      <x:c r="T44" s="22" t="str">
        <x:v>Scope only</x:v>
      </x:c>
    </x:row>
    <x:row r="45" ht="48" customHeight="1">
      <x:c r="A45" s="22" t="n">
        <x:v>40</x:v>
      </x:c>
      <x:c r="B45" s="22" t="str">
        <x:v>Nano ID CC</x:v>
      </x:c>
      <x:c r="C45" s="27" t="str">
        <x:v>N/A</x:v>
      </x:c>
      <x:c r="D45" s="22" t="str">
        <x:v>Utility classification</x:v>
      </x:c>
      <x:c r="E45" s="22" t="str">
        <x:v>ID GENERATOR</x:v>
      </x:c>
      <x:c r="F45" s="22" t="str">
        <x:v>Synthetic identifiers or test data</x:v>
      </x:c>
      <x:c r="G45" s="22" t="str">
        <x:v>Generated data is synthetic, not identity evidence. Do not present it as a genuine credential or record.</x:v>
      </x:c>
      <x:c r="H45" s="22" t="str">
        <x:v>Use as a utility only; functionality not audited</x:v>
      </x:c>
      <x:c r="I45" s="22" t="str">
        <x:v>Not checked</x:v>
      </x:c>
      <x:c r="J45" s="22" t="str">
        <x:v>Saved bookmark metadata only</x:v>
      </x:c>
      <x:c r="K45" s="22" t="str"/>
      <x:c r="L45" s="24" t="str"/>
      <x:c r="M45" s="24" t="str">
        <x:v>https://zelark.github.io/nano-id-cc/</x:v>
      </x:c>
      <x:c r="N45" s="22" t="str">
        <x:v>286014810</x:v>
      </x:c>
      <x:c r="O45" s="22" t="n">
        <x:v>992</x:v>
      </x:c>
      <x:c r="P45" s="22" t="n">
        <x:v>22</x:v>
      </x:c>
      <x:c r="Q45" s="22" t="str"/>
      <x:c r="R45" s="22" t="n">
        <x:f>COUNTIF($M$6:$M$1177,M45)</x:f>
        <x:v>1</x:v>
      </x:c>
      <x:c r="S45" s="22" t="str">
        <x:v>Other / utility</x:v>
      </x:c>
      <x:c r="T45" s="22" t="str">
        <x:v>Scope only</x:v>
      </x:c>
    </x:row>
    <x:row r="46" ht="48" customHeight="1">
      <x:c r="A46" s="22" t="n">
        <x:v>41</x:v>
      </x:c>
      <x:c r="B46" s="22" t="str">
        <x:v>Generate SA ID Numbers</x:v>
      </x:c>
      <x:c r="C46" s="27" t="str">
        <x:v>N/A</x:v>
      </x:c>
      <x:c r="D46" s="22" t="str">
        <x:v>Utility classification</x:v>
      </x:c>
      <x:c r="E46" s="22" t="str">
        <x:v>ID GENERATOR</x:v>
      </x:c>
      <x:c r="F46" s="22" t="str">
        <x:v>Synthetic identifiers or test data</x:v>
      </x:c>
      <x:c r="G46" s="22" t="str">
        <x:v>Generated data is synthetic, not identity evidence. Do not present it as a genuine credential or record.</x:v>
      </x:c>
      <x:c r="H46" s="22" t="str">
        <x:v>Use as a utility only; functionality not audited</x:v>
      </x:c>
      <x:c r="I46" s="22" t="str">
        <x:v>Not checked</x:v>
      </x:c>
      <x:c r="J46" s="22" t="str">
        <x:v>Saved bookmark metadata only</x:v>
      </x:c>
      <x:c r="K46" s="22" t="str"/>
      <x:c r="L46" s="24" t="str"/>
      <x:c r="M46" s="24" t="str">
        <x:v>https://chris927.github.io/generate-sa-idnumbers/</x:v>
      </x:c>
      <x:c r="N46" s="22" t="str">
        <x:v>286015905</x:v>
      </x:c>
      <x:c r="O46" s="22" t="n">
        <x:v>992</x:v>
      </x:c>
      <x:c r="P46" s="22" t="n">
        <x:v>23</x:v>
      </x:c>
      <x:c r="Q46" s="22" t="str"/>
      <x:c r="R46" s="22" t="n">
        <x:f>COUNTIF($M$6:$M$1177,M46)</x:f>
        <x:v>1</x:v>
      </x:c>
      <x:c r="S46" s="22" t="str">
        <x:v>Other / utility</x:v>
      </x:c>
      <x:c r="T46" s="22" t="str">
        <x:v>Scope only</x:v>
      </x:c>
    </x:row>
    <x:row r="47" ht="48" customHeight="1">
      <x:c r="A47" s="22" t="n">
        <x:v>42</x:v>
      </x:c>
      <x:c r="B47" s="22" t="str">
        <x:v>Decoding Social Security Numbers</x:v>
      </x:c>
      <x:c r="C47" s="27" t="str">
        <x:v>N/A</x:v>
      </x:c>
      <x:c r="D47" s="22" t="str">
        <x:v>Utility classification</x:v>
      </x:c>
      <x:c r="E47" s="22" t="str">
        <x:v>ID GENERATOR</x:v>
      </x:c>
      <x:c r="F47" s="22" t="str">
        <x:v>Synthetic identifiers or test data</x:v>
      </x:c>
      <x:c r="G47" s="22" t="str">
        <x:v>Generated data is synthetic, not identity evidence. Do not present it as a genuine credential or record.</x:v>
      </x:c>
      <x:c r="H47" s="22" t="str">
        <x:v>Use as a utility only; functionality not audited</x:v>
      </x:c>
      <x:c r="I47" s="22" t="str">
        <x:v>Not checked</x:v>
      </x:c>
      <x:c r="J47" s="22" t="str">
        <x:v>Saved bookmark metadata only</x:v>
      </x:c>
      <x:c r="K47" s="22" t="str"/>
      <x:c r="L47" s="24" t="str"/>
      <x:c r="M47" s="24" t="str">
        <x:v>https://stevemorse.org/ssn/ssn.html</x:v>
      </x:c>
      <x:c r="N47" s="22" t="str">
        <x:v>268395186</x:v>
      </x:c>
      <x:c r="O47" s="22" t="n">
        <x:v>992</x:v>
      </x:c>
      <x:c r="P47" s="22" t="n">
        <x:v>24</x:v>
      </x:c>
      <x:c r="Q47" s="22" t="str"/>
      <x:c r="R47" s="22" t="n">
        <x:f>COUNTIF($M$6:$M$1177,M47)</x:f>
        <x:v>1</x:v>
      </x:c>
      <x:c r="S47" s="22" t="str">
        <x:v>Other / utility</x:v>
      </x:c>
      <x:c r="T47" s="22" t="str">
        <x:v>Scope only</x:v>
      </x:c>
    </x:row>
    <x:row r="48" ht="48" customHeight="1">
      <x:c r="A48" s="22" t="n">
        <x:v>43</x:v>
      </x:c>
      <x:c r="B48" s="22" t="str">
        <x:v>Encoding and Decoding Driver's License Numbers</x:v>
      </x:c>
      <x:c r="C48" s="27" t="str">
        <x:v>N/A</x:v>
      </x:c>
      <x:c r="D48" s="22" t="str">
        <x:v>Utility classification</x:v>
      </x:c>
      <x:c r="E48" s="22" t="str">
        <x:v>ID GENERATOR</x:v>
      </x:c>
      <x:c r="F48" s="22" t="str">
        <x:v>Synthetic identifiers or test data</x:v>
      </x:c>
      <x:c r="G48" s="22" t="str">
        <x:v>Generated data is synthetic, not identity evidence. Do not present it as a genuine credential or record.</x:v>
      </x:c>
      <x:c r="H48" s="22" t="str">
        <x:v>Use as a utility only; functionality not audited</x:v>
      </x:c>
      <x:c r="I48" s="22" t="str">
        <x:v>Not checked</x:v>
      </x:c>
      <x:c r="J48" s="22" t="str">
        <x:v>Saved bookmark metadata only</x:v>
      </x:c>
      <x:c r="K48" s="22" t="str"/>
      <x:c r="L48" s="24" t="str"/>
      <x:c r="M48" s="24" t="str">
        <x:v>https://stevemorse.org/dl/dl.html</x:v>
      </x:c>
      <x:c r="N48" s="22" t="str">
        <x:v>268395275</x:v>
      </x:c>
      <x:c r="O48" s="22" t="n">
        <x:v>992</x:v>
      </x:c>
      <x:c r="P48" s="22" t="n">
        <x:v>25</x:v>
      </x:c>
      <x:c r="Q48" s="22" t="str"/>
      <x:c r="R48" s="22" t="n">
        <x:f>COUNTIF($M$6:$M$1177,M48)</x:f>
        <x:v>1</x:v>
      </x:c>
      <x:c r="S48" s="22" t="str">
        <x:v>Other / utility</x:v>
      </x:c>
      <x:c r="T48" s="22" t="str">
        <x:v>Scope only</x:v>
      </x:c>
    </x:row>
    <x:row r="49" ht="48" customHeight="1">
      <x:c r="A49" s="22" t="n">
        <x:v>44</x:v>
      </x:c>
      <x:c r="B49" s="22" t="str">
        <x:v>Dating Profile Generator</x:v>
      </x:c>
      <x:c r="C49" s="27" t="str">
        <x:v>N/A</x:v>
      </x:c>
      <x:c r="D49" s="22" t="str">
        <x:v>Utility classification</x:v>
      </x:c>
      <x:c r="E49" s="22" t="str">
        <x:v>ID GENERATOR</x:v>
      </x:c>
      <x:c r="F49" s="22" t="str">
        <x:v>Synthetic identifiers or test data</x:v>
      </x:c>
      <x:c r="G49" s="22" t="str">
        <x:v>Generated data is synthetic, not identity evidence. Do not present it as a genuine credential or record.</x:v>
      </x:c>
      <x:c r="H49" s="22" t="str">
        <x:v>Use as a utility only; functionality not audited</x:v>
      </x:c>
      <x:c r="I49" s="22" t="str">
        <x:v>Not checked</x:v>
      </x:c>
      <x:c r="J49" s="22" t="str">
        <x:v>Saved bookmark metadata only</x:v>
      </x:c>
      <x:c r="K49" s="22" t="str"/>
      <x:c r="L49" s="24" t="str"/>
      <x:c r="M49" s="24" t="str">
        <x:v>https://www.dating-profile-generator.org.uk/</x:v>
      </x:c>
      <x:c r="N49" s="22" t="str">
        <x:v>297337680</x:v>
      </x:c>
      <x:c r="O49" s="22" t="n">
        <x:v>992</x:v>
      </x:c>
      <x:c r="P49" s="22" t="n">
        <x:v>26</x:v>
      </x:c>
      <x:c r="Q49" s="22" t="str"/>
      <x:c r="R49" s="22" t="n">
        <x:f>COUNTIF($M$6:$M$1177,M49)</x:f>
        <x:v>1</x:v>
      </x:c>
      <x:c r="S49" s="22" t="str">
        <x:v>Other / utility</x:v>
      </x:c>
      <x:c r="T49" s="22" t="str">
        <x:v>Scope only</x:v>
      </x:c>
    </x:row>
    <x:row r="50" ht="48" customHeight="1">
      <x:c r="A50" s="22" t="n">
        <x:v>45</x:v>
      </x:c>
      <x:c r="B50" s="22" t="str">
        <x:v>Fake Identity ID Random Name Generator</x:v>
      </x:c>
      <x:c r="C50" s="27" t="str">
        <x:v>N/A</x:v>
      </x:c>
      <x:c r="D50" s="22" t="str">
        <x:v>Utility classification</x:v>
      </x:c>
      <x:c r="E50" s="22" t="str">
        <x:v>ID GENERATOR</x:v>
      </x:c>
      <x:c r="F50" s="22" t="str">
        <x:v>Synthetic identifiers or test data</x:v>
      </x:c>
      <x:c r="G50" s="22" t="str">
        <x:v>Generated data is synthetic, not identity evidence. Do not present it as a genuine credential or record.</x:v>
      </x:c>
      <x:c r="H50" s="22" t="str">
        <x:v>Use as a utility only; functionality not audited</x:v>
      </x:c>
      <x:c r="I50" s="22" t="str">
        <x:v>Not checked</x:v>
      </x:c>
      <x:c r="J50" s="22" t="str">
        <x:v>Saved bookmark metadata only</x:v>
      </x:c>
      <x:c r="K50" s="22" t="str"/>
      <x:c r="L50" s="24" t="str"/>
      <x:c r="M50" s="24" t="str">
        <x:v>https://www.elfqrin.com/fakeid.php</x:v>
      </x:c>
      <x:c r="N50" s="22" t="str">
        <x:v>297337730</x:v>
      </x:c>
      <x:c r="O50" s="22" t="n">
        <x:v>992</x:v>
      </x:c>
      <x:c r="P50" s="22" t="n">
        <x:v>27</x:v>
      </x:c>
      <x:c r="Q50" s="22" t="str"/>
      <x:c r="R50" s="22" t="n">
        <x:f>COUNTIF($M$6:$M$1177,M50)</x:f>
        <x:v>1</x:v>
      </x:c>
      <x:c r="S50" s="22" t="str">
        <x:v>Other / utility</x:v>
      </x:c>
      <x:c r="T50" s="22" t="str">
        <x:v>Scope only</x:v>
      </x:c>
    </x:row>
    <x:row r="51" ht="48" customHeight="1">
      <x:c r="A51" s="22" t="n">
        <x:v>46</x:v>
      </x:c>
      <x:c r="B51" s="22" t="str">
        <x:v>Fake Company Name Generator</x:v>
      </x:c>
      <x:c r="C51" s="27" t="str">
        <x:v>N/A</x:v>
      </x:c>
      <x:c r="D51" s="22" t="str">
        <x:v>Utility classification</x:v>
      </x:c>
      <x:c r="E51" s="22" t="str">
        <x:v>ID GENERATOR</x:v>
      </x:c>
      <x:c r="F51" s="22" t="str">
        <x:v>Synthetic identifiers or test data</x:v>
      </x:c>
      <x:c r="G51" s="22" t="str">
        <x:v>Generated data is synthetic, not identity evidence. Do not present it as a genuine credential or record.</x:v>
      </x:c>
      <x:c r="H51" s="22" t="str">
        <x:v>Use as a utility only; functionality not audited</x:v>
      </x:c>
      <x:c r="I51" s="22" t="str">
        <x:v>Not checked</x:v>
      </x:c>
      <x:c r="J51" s="22" t="str">
        <x:v>Saved bookmark metadata only</x:v>
      </x:c>
      <x:c r="K51" s="22" t="str"/>
      <x:c r="L51" s="24" t="str"/>
      <x:c r="M51" s="24" t="str">
        <x:v>https://fakeinfo.net/company-name-generator</x:v>
      </x:c>
      <x:c r="N51" s="22" t="str">
        <x:v>297538073</x:v>
      </x:c>
      <x:c r="O51" s="22" t="n">
        <x:v>992</x:v>
      </x:c>
      <x:c r="P51" s="22" t="n">
        <x:v>28</x:v>
      </x:c>
      <x:c r="Q51" s="22" t="str"/>
      <x:c r="R51" s="22" t="n">
        <x:f>COUNTIF($M$6:$M$1177,M51)</x:f>
        <x:v>1</x:v>
      </x:c>
      <x:c r="S51" s="22" t="str">
        <x:v>Other / utility</x:v>
      </x:c>
      <x:c r="T51" s="22" t="str">
        <x:v>Scope only</x:v>
      </x:c>
    </x:row>
    <x:row r="52" ht="48" customHeight="1">
      <x:c r="A52" s="22" t="n">
        <x:v>47</x:v>
      </x:c>
      <x:c r="B52" s="22" t="str">
        <x:v>Twitter Profile Generator</x:v>
      </x:c>
      <x:c r="C52" s="27" t="str">
        <x:v>N/A</x:v>
      </x:c>
      <x:c r="D52" s="22" t="str">
        <x:v>Utility classification</x:v>
      </x:c>
      <x:c r="E52" s="22" t="str">
        <x:v>ID GENERATOR</x:v>
      </x:c>
      <x:c r="F52" s="22" t="str">
        <x:v>Synthetic identifiers or test data</x:v>
      </x:c>
      <x:c r="G52" s="22" t="str">
        <x:v>Generated data is synthetic, not identity evidence. Do not present it as a genuine credential or record.</x:v>
      </x:c>
      <x:c r="H52" s="22" t="str">
        <x:v>Use as a utility only; functionality not audited</x:v>
      </x:c>
      <x:c r="I52" s="22" t="str">
        <x:v>Not checked</x:v>
      </x:c>
      <x:c r="J52" s="22" t="str">
        <x:v>Saved bookmark metadata only</x:v>
      </x:c>
      <x:c r="K52" s="22" t="str"/>
      <x:c r="L52" s="24" t="str"/>
      <x:c r="M52" s="24" t="str">
        <x:v>https://fakeinfo.net/fake-twitter-profile-generator</x:v>
      </x:c>
      <x:c r="N52" s="22" t="str">
        <x:v>297538078</x:v>
      </x:c>
      <x:c r="O52" s="22" t="n">
        <x:v>992</x:v>
      </x:c>
      <x:c r="P52" s="22" t="n">
        <x:v>29</x:v>
      </x:c>
      <x:c r="Q52" s="22" t="str"/>
      <x:c r="R52" s="22" t="n">
        <x:f>COUNTIF($M$6:$M$1177,M52)</x:f>
        <x:v>1</x:v>
      </x:c>
      <x:c r="S52" s="22" t="str">
        <x:v>Other / utility</x:v>
      </x:c>
      <x:c r="T52" s="22" t="str">
        <x:v>Scope only</x:v>
      </x:c>
    </x:row>
    <x:row r="53" ht="48" customHeight="1">
      <x:c r="A53" s="22" t="n">
        <x:v>48</x:v>
      </x:c>
      <x:c r="B53" s="22" t="str">
        <x:v>Fake Tiktok Profile Generator</x:v>
      </x:c>
      <x:c r="C53" s="27" t="str">
        <x:v>N/A</x:v>
      </x:c>
      <x:c r="D53" s="22" t="str">
        <x:v>Utility classification</x:v>
      </x:c>
      <x:c r="E53" s="22" t="str">
        <x:v>ID GENERATOR</x:v>
      </x:c>
      <x:c r="F53" s="22" t="str">
        <x:v>Synthetic identifiers or test data</x:v>
      </x:c>
      <x:c r="G53" s="22" t="str">
        <x:v>Generated data is synthetic, not identity evidence. Do not present it as a genuine credential or record.</x:v>
      </x:c>
      <x:c r="H53" s="22" t="str">
        <x:v>Use as a utility only; functionality not audited</x:v>
      </x:c>
      <x:c r="I53" s="22" t="str">
        <x:v>Not checked</x:v>
      </x:c>
      <x:c r="J53" s="22" t="str">
        <x:v>Saved bookmark metadata only</x:v>
      </x:c>
      <x:c r="K53" s="22" t="str"/>
      <x:c r="L53" s="24" t="str"/>
      <x:c r="M53" s="24" t="str">
        <x:v>https://fakeinfo.net/fake-tiktok-profile-gererator</x:v>
      </x:c>
      <x:c r="N53" s="22" t="str">
        <x:v>297539855</x:v>
      </x:c>
      <x:c r="O53" s="22" t="n">
        <x:v>992</x:v>
      </x:c>
      <x:c r="P53" s="22" t="n">
        <x:v>30</x:v>
      </x:c>
      <x:c r="Q53" s="22" t="str"/>
      <x:c r="R53" s="22" t="n">
        <x:f>COUNTIF($M$6:$M$1177,M53)</x:f>
        <x:v>1</x:v>
      </x:c>
      <x:c r="S53" s="22" t="str">
        <x:v>Other / utility</x:v>
      </x:c>
      <x:c r="T53" s="22" t="str">
        <x:v>Scope only</x:v>
      </x:c>
    </x:row>
    <x:row r="54" ht="48" customHeight="1">
      <x:c r="A54" s="22" t="n">
        <x:v>49</x:v>
      </x:c>
      <x:c r="B54" s="22" t="str">
        <x:v>Fake Youtube Channel Generator</x:v>
      </x:c>
      <x:c r="C54" s="27" t="str">
        <x:v>N/A</x:v>
      </x:c>
      <x:c r="D54" s="22" t="str">
        <x:v>Utility classification</x:v>
      </x:c>
      <x:c r="E54" s="22" t="str">
        <x:v>ID GENERATOR</x:v>
      </x:c>
      <x:c r="F54" s="22" t="str">
        <x:v>Synthetic identifiers or test data</x:v>
      </x:c>
      <x:c r="G54" s="22" t="str">
        <x:v>Generated data is synthetic, not identity evidence. Do not present it as a genuine credential or record.</x:v>
      </x:c>
      <x:c r="H54" s="22" t="str">
        <x:v>Use as a utility only; functionality not audited</x:v>
      </x:c>
      <x:c r="I54" s="22" t="str">
        <x:v>Not checked</x:v>
      </x:c>
      <x:c r="J54" s="22" t="str">
        <x:v>Saved bookmark metadata only</x:v>
      </x:c>
      <x:c r="K54" s="22" t="str"/>
      <x:c r="L54" s="24" t="str"/>
      <x:c r="M54" s="24" t="str">
        <x:v>https://fakeinfo.net/fake-youtube-channel-generator</x:v>
      </x:c>
      <x:c r="N54" s="22" t="str">
        <x:v>297539857</x:v>
      </x:c>
      <x:c r="O54" s="22" t="n">
        <x:v>992</x:v>
      </x:c>
      <x:c r="P54" s="22" t="n">
        <x:v>31</x:v>
      </x:c>
      <x:c r="Q54" s="22" t="str"/>
      <x:c r="R54" s="22" t="n">
        <x:f>COUNTIF($M$6:$M$1177,M54)</x:f>
        <x:v>1</x:v>
      </x:c>
      <x:c r="S54" s="22" t="str">
        <x:v>Other / utility</x:v>
      </x:c>
      <x:c r="T54" s="22" t="str">
        <x:v>Scope only</x:v>
      </x:c>
    </x:row>
    <x:row r="55" ht="48" customHeight="1">
      <x:c r="A55" s="22" t="n">
        <x:v>50</x:v>
      </x:c>
      <x:c r="B55" s="22" t="str">
        <x:v>Resume Builder</x:v>
      </x:c>
      <x:c r="C55" s="27" t="str">
        <x:v>N/A</x:v>
      </x:c>
      <x:c r="D55" s="22" t="str">
        <x:v>Utility classification</x:v>
      </x:c>
      <x:c r="E55" s="22" t="str">
        <x:v>ID GENERATOR</x:v>
      </x:c>
      <x:c r="F55" s="22" t="str">
        <x:v>Synthetic identifiers or test data</x:v>
      </x:c>
      <x:c r="G55" s="22" t="str">
        <x:v>Generated data is synthetic, not identity evidence. Do not present it as a genuine credential or record.</x:v>
      </x:c>
      <x:c r="H55" s="22" t="str">
        <x:v>Use as a utility only; functionality not audited</x:v>
      </x:c>
      <x:c r="I55" s="22" t="str">
        <x:v>Not checked</x:v>
      </x:c>
      <x:c r="J55" s="22" t="str">
        <x:v>Saved bookmark metadata only</x:v>
      </x:c>
      <x:c r="K55" s="22" t="str"/>
      <x:c r="L55" s="24" t="str"/>
      <x:c r="M55" s="24" t="str">
        <x:v>https://vinaysomawat.github.io/Resume-Builder/</x:v>
      </x:c>
      <x:c r="N55" s="22" t="str">
        <x:v>297539809</x:v>
      </x:c>
      <x:c r="O55" s="22" t="n">
        <x:v>992</x:v>
      </x:c>
      <x:c r="P55" s="22" t="n">
        <x:v>32</x:v>
      </x:c>
      <x:c r="Q55" s="22" t="str"/>
      <x:c r="R55" s="22" t="n">
        <x:f>COUNTIF($M$6:$M$1177,M55)</x:f>
        <x:v>1</x:v>
      </x:c>
      <x:c r="S55" s="22" t="str">
        <x:v>Other / utility</x:v>
      </x:c>
      <x:c r="T55" s="22" t="str">
        <x:v>Scope only</x:v>
      </x:c>
    </x:row>
    <x:row r="56" ht="48" customHeight="1">
      <x:c r="A56" s="22" t="n">
        <x:v>51</x:v>
      </x:c>
      <x:c r="B56" s="22" t="str">
        <x:v>Fake Generator Tools</x:v>
      </x:c>
      <x:c r="C56" s="27" t="str">
        <x:v>N/A</x:v>
      </x:c>
      <x:c r="D56" s="22" t="str">
        <x:v>Utility classification</x:v>
      </x:c>
      <x:c r="E56" s="22" t="str">
        <x:v>ID GENERATOR</x:v>
      </x:c>
      <x:c r="F56" s="22" t="str">
        <x:v>Synthetic identifiers or test data</x:v>
      </x:c>
      <x:c r="G56" s="22" t="str">
        <x:v>Generated data is synthetic, not identity evidence. Do not present it as a genuine credential or record.</x:v>
      </x:c>
      <x:c r="H56" s="22" t="str">
        <x:v>Use as a utility only; functionality not audited</x:v>
      </x:c>
      <x:c r="I56" s="22" t="str">
        <x:v>Not checked</x:v>
      </x:c>
      <x:c r="J56" s="22" t="str">
        <x:v>Saved bookmark metadata only</x:v>
      </x:c>
      <x:c r="K56" s="22" t="str"/>
      <x:c r="L56" s="24" t="str"/>
      <x:c r="M56" s="24" t="str">
        <x:v>https://fauxid.com/tools</x:v>
      </x:c>
      <x:c r="N56" s="22" t="str">
        <x:v>297539853</x:v>
      </x:c>
      <x:c r="O56" s="22" t="n">
        <x:v>992</x:v>
      </x:c>
      <x:c r="P56" s="22" t="n">
        <x:v>33</x:v>
      </x:c>
      <x:c r="Q56" s="22" t="str"/>
      <x:c r="R56" s="22" t="n">
        <x:f>COUNTIF($M$6:$M$1177,M56)</x:f>
        <x:v>1</x:v>
      </x:c>
      <x:c r="S56" s="22" t="str">
        <x:v>Other / utility</x:v>
      </x:c>
      <x:c r="T56" s="22" t="str">
        <x:v>Scope only</x:v>
      </x:c>
    </x:row>
    <x:row r="57" ht="48" customHeight="1">
      <x:c r="A57" s="22" t="n">
        <x:v>52</x:v>
      </x:c>
      <x:c r="B57" s="22" t="str">
        <x:v>Kasm</x:v>
      </x:c>
      <x:c r="C57" s="27" t="str">
        <x:v>N/A</x:v>
      </x:c>
      <x:c r="D57" s="22" t="str">
        <x:v>Utility classification</x:v>
      </x:c>
      <x:c r="E57" s="22" t="str">
        <x:v>SANDBOX / EMULATOR</x:v>
      </x:c>
      <x:c r="F57" s="22" t="str">
        <x:v>Isolated execution / emulation utility</x:v>
      </x:c>
      <x:c r="G57" s="22" t="str">
        <x:v>Isolation is not evidence provenance. Software compatibility and security boundaries were not tested.</x:v>
      </x:c>
      <x:c r="H57" s="22" t="str">
        <x:v>Use as a utility only; functionality not audited</x:v>
      </x:c>
      <x:c r="I57" s="22" t="str">
        <x:v>Not checked</x:v>
      </x:c>
      <x:c r="J57" s="22" t="str">
        <x:v>Saved bookmark metadata only</x:v>
      </x:c>
      <x:c r="K57" s="22" t="str"/>
      <x:c r="L57" s="24" t="str"/>
      <x:c r="M57" s="24" t="str">
        <x:v>https://kasmweb.com/</x:v>
      </x:c>
      <x:c r="N57" s="22" t="str">
        <x:v>302157169</x:v>
      </x:c>
      <x:c r="O57" s="22" t="n">
        <x:v>992</x:v>
      </x:c>
      <x:c r="P57" s="22" t="n">
        <x:v>1</x:v>
      </x:c>
      <x:c r="Q57" s="22" t="str"/>
      <x:c r="R57" s="22" t="n">
        <x:f>COUNTIF($M$6:$M$1177,M57)</x:f>
        <x:v>1</x:v>
      </x:c>
      <x:c r="S57" s="22" t="str">
        <x:v>Other / utility</x:v>
      </x:c>
      <x:c r="T57" s="22" t="str">
        <x:v>Scope only</x:v>
      </x:c>
    </x:row>
    <x:row r="58" ht="48" customHeight="1">
      <x:c r="A58" s="22" t="n">
        <x:v>53</x:v>
      </x:c>
      <x:c r="B58" s="22" t="str">
        <x:v>Bluestacks</x:v>
      </x:c>
      <x:c r="C58" s="27" t="str">
        <x:v>N/A</x:v>
      </x:c>
      <x:c r="D58" s="22" t="str">
        <x:v>Utility classification</x:v>
      </x:c>
      <x:c r="E58" s="22" t="str">
        <x:v>SANDBOX / EMULATOR</x:v>
      </x:c>
      <x:c r="F58" s="22" t="str">
        <x:v>Isolated execution / emulation utility</x:v>
      </x:c>
      <x:c r="G58" s="22" t="str">
        <x:v>Isolation is not evidence provenance. Software compatibility and security boundaries were not tested.</x:v>
      </x:c>
      <x:c r="H58" s="22" t="str">
        <x:v>Use as a utility only; functionality not audited</x:v>
      </x:c>
      <x:c r="I58" s="22" t="str">
        <x:v>Not checked</x:v>
      </x:c>
      <x:c r="J58" s="22" t="str">
        <x:v>Saved bookmark metadata only</x:v>
      </x:c>
      <x:c r="K58" s="22" t="str"/>
      <x:c r="L58" s="24" t="str"/>
      <x:c r="M58" s="24" t="str">
        <x:v>https://www.bluestacks.com/</x:v>
      </x:c>
      <x:c r="N58" s="22" t="str">
        <x:v>305289187</x:v>
      </x:c>
      <x:c r="O58" s="22" t="n">
        <x:v>993</x:v>
      </x:c>
      <x:c r="P58" s="22" t="n">
        <x:v>2</x:v>
      </x:c>
      <x:c r="Q58" s="22" t="str"/>
      <x:c r="R58" s="22" t="n">
        <x:f>COUNTIF($M$6:$M$1177,M58)</x:f>
        <x:v>1</x:v>
      </x:c>
      <x:c r="S58" s="22" t="str">
        <x:v>Other / utility</x:v>
      </x:c>
      <x:c r="T58" s="22" t="str">
        <x:v>Scope only</x:v>
      </x:c>
    </x:row>
    <x:row r="59" ht="48" customHeight="1">
      <x:c r="A59" s="22" t="n">
        <x:v>54</x:v>
      </x:c>
      <x:c r="B59" s="22" t="str">
        <x:v>Genymotion</x:v>
      </x:c>
      <x:c r="C59" s="27" t="str">
        <x:v>N/A</x:v>
      </x:c>
      <x:c r="D59" s="22" t="str">
        <x:v>Utility classification</x:v>
      </x:c>
      <x:c r="E59" s="22" t="str">
        <x:v>SANDBOX / EMULATOR</x:v>
      </x:c>
      <x:c r="F59" s="22" t="str">
        <x:v>Isolated execution / emulation utility</x:v>
      </x:c>
      <x:c r="G59" s="22" t="str">
        <x:v>Isolation is not evidence provenance. Software compatibility and security boundaries were not tested.</x:v>
      </x:c>
      <x:c r="H59" s="22" t="str">
        <x:v>Use as a utility only; functionality not audited</x:v>
      </x:c>
      <x:c r="I59" s="22" t="str">
        <x:v>Not checked</x:v>
      </x:c>
      <x:c r="J59" s="22" t="str">
        <x:v>Saved bookmark metadata only</x:v>
      </x:c>
      <x:c r="K59" s="22" t="str"/>
      <x:c r="L59" s="24" t="str"/>
      <x:c r="M59" s="24" t="str">
        <x:v>https://www.genymotion.com/</x:v>
      </x:c>
      <x:c r="N59" s="22" t="str">
        <x:v>305289188</x:v>
      </x:c>
      <x:c r="O59" s="22" t="n">
        <x:v>993</x:v>
      </x:c>
      <x:c r="P59" s="22" t="n">
        <x:v>3</x:v>
      </x:c>
      <x:c r="Q59" s="22" t="str"/>
      <x:c r="R59" s="22" t="n">
        <x:f>COUNTIF($M$6:$M$1177,M59)</x:f>
        <x:v>1</x:v>
      </x:c>
      <x:c r="S59" s="22" t="str">
        <x:v>Other / utility</x:v>
      </x:c>
      <x:c r="T59" s="22" t="str">
        <x:v>Scope only</x:v>
      </x:c>
    </x:row>
    <x:row r="60" ht="48" customHeight="1">
      <x:c r="A60" s="22" t="n">
        <x:v>55</x:v>
      </x:c>
      <x:c r="B60" s="22" t="str">
        <x:v>PrimeOS</x:v>
      </x:c>
      <x:c r="C60" s="27" t="str">
        <x:v>N/A</x:v>
      </x:c>
      <x:c r="D60" s="22" t="str">
        <x:v>Utility classification</x:v>
      </x:c>
      <x:c r="E60" s="22" t="str">
        <x:v>SANDBOX / EMULATOR</x:v>
      </x:c>
      <x:c r="F60" s="22" t="str">
        <x:v>Isolated execution / emulation utility</x:v>
      </x:c>
      <x:c r="G60" s="22" t="str">
        <x:v>Isolation is not evidence provenance. Software compatibility and security boundaries were not tested.</x:v>
      </x:c>
      <x:c r="H60" s="22" t="str">
        <x:v>Use as a utility only; functionality not audited</x:v>
      </x:c>
      <x:c r="I60" s="22" t="str">
        <x:v>Not checked</x:v>
      </x:c>
      <x:c r="J60" s="22" t="str">
        <x:v>Saved bookmark metadata only</x:v>
      </x:c>
      <x:c r="K60" s="22" t="str"/>
      <x:c r="L60" s="24" t="str"/>
      <x:c r="M60" s="24" t="str">
        <x:v>https://www.primeos.in/</x:v>
      </x:c>
      <x:c r="N60" s="22" t="str">
        <x:v>305289258</x:v>
      </x:c>
      <x:c r="O60" s="22" t="n">
        <x:v>993</x:v>
      </x:c>
      <x:c r="P60" s="22" t="n">
        <x:v>4</x:v>
      </x:c>
      <x:c r="Q60" s="22" t="str"/>
      <x:c r="R60" s="22" t="n">
        <x:f>COUNTIF($M$6:$M$1177,M60)</x:f>
        <x:v>1</x:v>
      </x:c>
      <x:c r="S60" s="22" t="str">
        <x:v>Other / utility</x:v>
      </x:c>
      <x:c r="T60" s="22" t="str">
        <x:v>Scope only</x:v>
      </x:c>
    </x:row>
    <x:row r="61" ht="48" customHeight="1">
      <x:c r="A61" s="22" t="n">
        <x:v>56</x:v>
      </x:c>
      <x:c r="B61" s="22" t="str">
        <x:v>BigNox</x:v>
      </x:c>
      <x:c r="C61" s="27" t="str">
        <x:v>N/A</x:v>
      </x:c>
      <x:c r="D61" s="22" t="str">
        <x:v>Utility classification</x:v>
      </x:c>
      <x:c r="E61" s="22" t="str">
        <x:v>SANDBOX / EMULATOR</x:v>
      </x:c>
      <x:c r="F61" s="22" t="str">
        <x:v>Isolated execution / emulation utility</x:v>
      </x:c>
      <x:c r="G61" s="22" t="str">
        <x:v>Isolation is not evidence provenance. Software compatibility and security boundaries were not tested.</x:v>
      </x:c>
      <x:c r="H61" s="22" t="str">
        <x:v>Use as a utility only; functionality not audited</x:v>
      </x:c>
      <x:c r="I61" s="22" t="str">
        <x:v>Not checked</x:v>
      </x:c>
      <x:c r="J61" s="22" t="str">
        <x:v>Saved bookmark metadata only</x:v>
      </x:c>
      <x:c r="K61" s="22" t="str"/>
      <x:c r="L61" s="24" t="str"/>
      <x:c r="M61" s="24" t="str">
        <x:v>https://www.bignox.com/</x:v>
      </x:c>
      <x:c r="N61" s="22" t="str">
        <x:v>305289249</x:v>
      </x:c>
      <x:c r="O61" s="22" t="n">
        <x:v>993</x:v>
      </x:c>
      <x:c r="P61" s="22" t="n">
        <x:v>5</x:v>
      </x:c>
      <x:c r="Q61" s="22" t="str"/>
      <x:c r="R61" s="22" t="n">
        <x:f>COUNTIF($M$6:$M$1177,M61)</x:f>
        <x:v>1</x:v>
      </x:c>
      <x:c r="S61" s="22" t="str">
        <x:v>Other / utility</x:v>
      </x:c>
      <x:c r="T61" s="22" t="str">
        <x:v>Scope only</x:v>
      </x:c>
    </x:row>
    <x:row r="62" ht="48" customHeight="1">
      <x:c r="A62" s="22" t="n">
        <x:v>57</x:v>
      </x:c>
      <x:c r="B62" s="22" t="str">
        <x:v>Memuplay.com</x:v>
      </x:c>
      <x:c r="C62" s="27" t="str">
        <x:v>N/A</x:v>
      </x:c>
      <x:c r="D62" s="22" t="str">
        <x:v>Utility classification</x:v>
      </x:c>
      <x:c r="E62" s="22" t="str">
        <x:v>SANDBOX / EMULATOR</x:v>
      </x:c>
      <x:c r="F62" s="22" t="str">
        <x:v>Isolated execution / emulation utility</x:v>
      </x:c>
      <x:c r="G62" s="22" t="str">
        <x:v>Isolation is not evidence provenance. Software compatibility and security boundaries were not tested.</x:v>
      </x:c>
      <x:c r="H62" s="22" t="str">
        <x:v>Use as a utility only; functionality not audited</x:v>
      </x:c>
      <x:c r="I62" s="22" t="str">
        <x:v>Not checked</x:v>
      </x:c>
      <x:c r="J62" s="22" t="str">
        <x:v>Saved bookmark metadata only</x:v>
      </x:c>
      <x:c r="K62" s="22" t="str"/>
      <x:c r="L62" s="24" t="str"/>
      <x:c r="M62" s="24" t="str">
        <x:v>https://www.memuplay.com/</x:v>
      </x:c>
      <x:c r="N62" s="22" t="str">
        <x:v>305289250</x:v>
      </x:c>
      <x:c r="O62" s="22" t="n">
        <x:v>993</x:v>
      </x:c>
      <x:c r="P62" s="22" t="n">
        <x:v>6</x:v>
      </x:c>
      <x:c r="Q62" s="22" t="str"/>
      <x:c r="R62" s="22" t="n">
        <x:f>COUNTIF($M$6:$M$1177,M62)</x:f>
        <x:v>1</x:v>
      </x:c>
      <x:c r="S62" s="22" t="str">
        <x:v>Other / utility</x:v>
      </x:c>
      <x:c r="T62" s="22" t="str">
        <x:v>Scope only</x:v>
      </x:c>
    </x:row>
    <x:row r="63" ht="48" customHeight="1">
      <x:c r="A63" s="22" t="n">
        <x:v>58</x:v>
      </x:c>
      <x:c r="B63" s="22" t="str">
        <x:v>Ldplayer.net</x:v>
      </x:c>
      <x:c r="C63" s="27" t="str">
        <x:v>N/A</x:v>
      </x:c>
      <x:c r="D63" s="22" t="str">
        <x:v>Utility classification</x:v>
      </x:c>
      <x:c r="E63" s="22" t="str">
        <x:v>SANDBOX / EMULATOR</x:v>
      </x:c>
      <x:c r="F63" s="22" t="str">
        <x:v>Isolated execution / emulation utility</x:v>
      </x:c>
      <x:c r="G63" s="22" t="str">
        <x:v>Isolation is not evidence provenance. Software compatibility and security boundaries were not tested.</x:v>
      </x:c>
      <x:c r="H63" s="22" t="str">
        <x:v>Use as a utility only; functionality not audited</x:v>
      </x:c>
      <x:c r="I63" s="22" t="str">
        <x:v>Not checked</x:v>
      </x:c>
      <x:c r="J63" s="22" t="str">
        <x:v>Saved bookmark metadata only</x:v>
      </x:c>
      <x:c r="K63" s="22" t="str"/>
      <x:c r="L63" s="24" t="str"/>
      <x:c r="M63" s="24" t="str">
        <x:v>https://www.ldplayer.net/</x:v>
      </x:c>
      <x:c r="N63" s="22" t="str">
        <x:v>305289252</x:v>
      </x:c>
      <x:c r="O63" s="22" t="n">
        <x:v>993</x:v>
      </x:c>
      <x:c r="P63" s="22" t="n">
        <x:v>7</x:v>
      </x:c>
      <x:c r="Q63" s="22" t="str"/>
      <x:c r="R63" s="22" t="n">
        <x:f>COUNTIF($M$6:$M$1177,M63)</x:f>
        <x:v>1</x:v>
      </x:c>
      <x:c r="S63" s="22" t="str">
        <x:v>Other / utility</x:v>
      </x:c>
      <x:c r="T63" s="22" t="str">
        <x:v>Scope only</x:v>
      </x:c>
    </x:row>
    <x:row r="64" ht="48" customHeight="1">
      <x:c r="A64" s="22" t="n">
        <x:v>59</x:v>
      </x:c>
      <x:c r="B64" s="22" t="str">
        <x:v>unfurl</x:v>
      </x:c>
      <x:c r="C64" s="27" t="str">
        <x:v>N/A</x:v>
      </x:c>
      <x:c r="D64" s="22" t="str">
        <x:v>Utility classification</x:v>
      </x:c>
      <x:c r="E64" s="22" t="str">
        <x:v>PRODUCTIVITY</x:v>
      </x:c>
      <x:c r="F64" s="22" t="str">
        <x:v>Editing, analysis or reference utility</x:v>
      </x:c>
      <x:c r="G64" s="22" t="str">
        <x:v>Processing or reference utility, not independent connection evidence. Preserve original inputs and validate important output.</x:v>
      </x:c>
      <x:c r="H64" s="22" t="str">
        <x:v>Use as a utility only; functionality not audited</x:v>
      </x:c>
      <x:c r="I64" s="22" t="str">
        <x:v>Not checked</x:v>
      </x:c>
      <x:c r="J64" s="22" t="str">
        <x:v>Saved bookmark metadata only</x:v>
      </x:c>
      <x:c r="K64" s="22" t="str"/>
      <x:c r="L64" s="24" t="str"/>
      <x:c r="M64" s="24" t="str">
        <x:v>https://dfir.blog/unfurl/</x:v>
      </x:c>
      <x:c r="N64" s="22" t="str">
        <x:v>286951155</x:v>
      </x:c>
      <x:c r="O64" s="22" t="n">
        <x:v>993</x:v>
      </x:c>
      <x:c r="P64" s="22" t="n">
        <x:v>1</x:v>
      </x:c>
      <x:c r="Q64" s="22" t="str"/>
      <x:c r="R64" s="22" t="n">
        <x:f>COUNTIF($M$6:$M$1177,M64)</x:f>
        <x:v>1</x:v>
      </x:c>
      <x:c r="S64" s="22" t="str">
        <x:v>Other / utility</x:v>
      </x:c>
      <x:c r="T64" s="22" t="str">
        <x:v>Scope only</x:v>
      </x:c>
    </x:row>
    <x:row r="65" ht="48" customHeight="1">
      <x:c r="A65" s="22" t="n">
        <x:v>60</x:v>
      </x:c>
      <x:c r="B65" s="22" t="str">
        <x:v>Wolfram|Alpha</x:v>
      </x:c>
      <x:c r="C65" s="27" t="str">
        <x:v>N/A</x:v>
      </x:c>
      <x:c r="D65" s="22" t="str">
        <x:v>Utility classification</x:v>
      </x:c>
      <x:c r="E65" s="22" t="str">
        <x:v>PRODUCTIVITY</x:v>
      </x:c>
      <x:c r="F65" s="22" t="str">
        <x:v>Editing, analysis or reference utility</x:v>
      </x:c>
      <x:c r="G65" s="22" t="str">
        <x:v>Processing or reference utility, not independent connection evidence. Preserve original inputs and validate important output.</x:v>
      </x:c>
      <x:c r="H65" s="22" t="str">
        <x:v>Use as a utility only; functionality not audited</x:v>
      </x:c>
      <x:c r="I65" s="22" t="str">
        <x:v>Not checked</x:v>
      </x:c>
      <x:c r="J65" s="22" t="str">
        <x:v>Saved bookmark metadata only</x:v>
      </x:c>
      <x:c r="K65" s="22" t="str"/>
      <x:c r="L65" s="24" t="str"/>
      <x:c r="M65" s="24" t="str">
        <x:v>https://www.wolframalpha.com/</x:v>
      </x:c>
      <x:c r="N65" s="22" t="str">
        <x:v>268409617</x:v>
      </x:c>
      <x:c r="O65" s="22" t="n">
        <x:v>993</x:v>
      </x:c>
      <x:c r="P65" s="22" t="n">
        <x:v>2</x:v>
      </x:c>
      <x:c r="Q65" s="22" t="str"/>
      <x:c r="R65" s="22" t="n">
        <x:f>COUNTIF($M$6:$M$1177,M65)</x:f>
        <x:v>1</x:v>
      </x:c>
      <x:c r="S65" s="22" t="str">
        <x:v>Other / utility</x:v>
      </x:c>
      <x:c r="T65" s="22" t="str">
        <x:v>Scope only</x:v>
      </x:c>
    </x:row>
    <x:row r="66" ht="48" customHeight="1">
      <x:c r="A66" s="22" t="n">
        <x:v>61</x:v>
      </x:c>
      <x:c r="B66" s="22" t="str">
        <x:v>Cryptpad.fr</x:v>
      </x:c>
      <x:c r="C66" s="27" t="str">
        <x:v>N/A</x:v>
      </x:c>
      <x:c r="D66" s="22" t="str">
        <x:v>Utility classification</x:v>
      </x:c>
      <x:c r="E66" s="22" t="str">
        <x:v>PRODUCTIVITY</x:v>
      </x:c>
      <x:c r="F66" s="22" t="str">
        <x:v>Editing, analysis or reference utility</x:v>
      </x:c>
      <x:c r="G66" s="22" t="str">
        <x:v>Processing or reference utility, not independent connection evidence. Preserve original inputs and validate important output.</x:v>
      </x:c>
      <x:c r="H66" s="22" t="str">
        <x:v>Use as a utility only; functionality not audited</x:v>
      </x:c>
      <x:c r="I66" s="22" t="str">
        <x:v>Not checked</x:v>
      </x:c>
      <x:c r="J66" s="22" t="str">
        <x:v>Saved bookmark metadata only</x:v>
      </x:c>
      <x:c r="K66" s="22" t="str"/>
      <x:c r="L66" s="24" t="str"/>
      <x:c r="M66" s="24" t="str">
        <x:v>https://cryptpad.fr/</x:v>
      </x:c>
      <x:c r="N66" s="22" t="str">
        <x:v>268402104</x:v>
      </x:c>
      <x:c r="O66" s="22" t="n">
        <x:v>993</x:v>
      </x:c>
      <x:c r="P66" s="22" t="n">
        <x:v>3</x:v>
      </x:c>
      <x:c r="Q66" s="22" t="str"/>
      <x:c r="R66" s="22" t="n">
        <x:f>COUNTIF($M$6:$M$1177,M66)</x:f>
        <x:v>1</x:v>
      </x:c>
      <x:c r="S66" s="22" t="str">
        <x:v>Other / utility</x:v>
      </x:c>
      <x:c r="T66" s="22" t="str">
        <x:v>Scope only</x:v>
      </x:c>
    </x:row>
    <x:row r="67" ht="48" customHeight="1">
      <x:c r="A67" s="22" t="n">
        <x:v>62</x:v>
      </x:c>
      <x:c r="B67" s="22" t="str">
        <x:v>Recontool.org</x:v>
      </x:c>
      <x:c r="C67" s="27" t="str">
        <x:v>N/A</x:v>
      </x:c>
      <x:c r="D67" s="22" t="str">
        <x:v>Utility classification</x:v>
      </x:c>
      <x:c r="E67" s="22" t="str">
        <x:v>PRODUCTIVITY</x:v>
      </x:c>
      <x:c r="F67" s="22" t="str">
        <x:v>Editing, analysis or reference utility</x:v>
      </x:c>
      <x:c r="G67" s="22" t="str">
        <x:v>Processing or reference utility, not independent connection evidence. Preserve original inputs and validate important output.</x:v>
      </x:c>
      <x:c r="H67" s="22" t="str">
        <x:v>Use as a utility only; functionality not audited</x:v>
      </x:c>
      <x:c r="I67" s="22" t="str">
        <x:v>Not checked</x:v>
      </x:c>
      <x:c r="J67" s="22" t="str">
        <x:v>Saved bookmark metadata only</x:v>
      </x:c>
      <x:c r="K67" s="22" t="str"/>
      <x:c r="L67" s="24" t="str"/>
      <x:c r="M67" s="24" t="str">
        <x:v>https://recontool.org/</x:v>
      </x:c>
      <x:c r="N67" s="22" t="str">
        <x:v>268507375</x:v>
      </x:c>
      <x:c r="O67" s="22" t="n">
        <x:v>993</x:v>
      </x:c>
      <x:c r="P67" s="22" t="n">
        <x:v>4</x:v>
      </x:c>
      <x:c r="Q67" s="22" t="str"/>
      <x:c r="R67" s="22" t="n">
        <x:f>COUNTIF($M$6:$M$1177,M67)</x:f>
        <x:v>1</x:v>
      </x:c>
      <x:c r="S67" s="22" t="str">
        <x:v>Other / utility</x:v>
      </x:c>
      <x:c r="T67" s="22" t="str">
        <x:v>Scope only</x:v>
      </x:c>
    </x:row>
    <x:row r="68" ht="48" customHeight="1">
      <x:c r="A68" s="22" t="n">
        <x:v>63</x:v>
      </x:c>
      <x:c r="B68" s="22" t="str">
        <x:v>MindMup 2</x:v>
      </x:c>
      <x:c r="C68" s="27" t="str">
        <x:v>N/A</x:v>
      </x:c>
      <x:c r="D68" s="22" t="str">
        <x:v>Utility classification</x:v>
      </x:c>
      <x:c r="E68" s="22" t="str">
        <x:v>PRODUCTIVITY</x:v>
      </x:c>
      <x:c r="F68" s="22" t="str">
        <x:v>Editing, analysis or reference utility</x:v>
      </x:c>
      <x:c r="G68" s="22" t="str">
        <x:v>Processing or reference utility, not independent connection evidence. Preserve original inputs and validate important output.</x:v>
      </x:c>
      <x:c r="H68" s="22" t="str">
        <x:v>Use as a utility only; functionality not audited</x:v>
      </x:c>
      <x:c r="I68" s="22" t="str">
        <x:v>Not checked</x:v>
      </x:c>
      <x:c r="J68" s="22" t="str">
        <x:v>Saved bookmark metadata only</x:v>
      </x:c>
      <x:c r="K68" s="22" t="str"/>
      <x:c r="L68" s="24" t="str"/>
      <x:c r="M68" s="24" t="str">
        <x:v>https://app.mindmup.com/map/new</x:v>
      </x:c>
      <x:c r="N68" s="22" t="str">
        <x:v>268402486</x:v>
      </x:c>
      <x:c r="O68" s="22" t="n">
        <x:v>993</x:v>
      </x:c>
      <x:c r="P68" s="22" t="n">
        <x:v>5</x:v>
      </x:c>
      <x:c r="Q68" s="22" t="str"/>
      <x:c r="R68" s="22" t="n">
        <x:f>COUNTIF($M$6:$M$1177,M68)</x:f>
        <x:v>1</x:v>
      </x:c>
      <x:c r="S68" s="22" t="str">
        <x:v>Other / utility</x:v>
      </x:c>
      <x:c r="T68" s="22" t="str">
        <x:v>Scope only</x:v>
      </x:c>
    </x:row>
    <x:row r="69" ht="48" customHeight="1">
      <x:c r="A69" s="22" t="n">
        <x:v>64</x:v>
      </x:c>
      <x:c r="B69" s="22" t="str">
        <x:v>Dotspotter</x:v>
      </x:c>
      <x:c r="C69" s="27" t="str">
        <x:v>N/A</x:v>
      </x:c>
      <x:c r="D69" s="22" t="str">
        <x:v>Utility classification</x:v>
      </x:c>
      <x:c r="E69" s="22" t="str">
        <x:v>PRODUCTIVITY</x:v>
      </x:c>
      <x:c r="F69" s="22" t="str">
        <x:v>Editing, analysis or reference utility</x:v>
      </x:c>
      <x:c r="G69" s="22" t="str">
        <x:v>Processing or reference utility, not independent connection evidence. Preserve original inputs and validate important output.</x:v>
      </x:c>
      <x:c r="H69" s="22" t="str">
        <x:v>Use as a utility only; functionality not audited</x:v>
      </x:c>
      <x:c r="I69" s="22" t="str">
        <x:v>Not checked</x:v>
      </x:c>
      <x:c r="J69" s="22" t="str">
        <x:v>Saved bookmark metadata only</x:v>
      </x:c>
      <x:c r="K69" s="22" t="str"/>
      <x:c r="L69" s="24" t="str"/>
      <x:c r="M69" s="24" t="str">
        <x:v>https://www.forensicdots.de/</x:v>
      </x:c>
      <x:c r="N69" s="22" t="str">
        <x:v>286944837</x:v>
      </x:c>
      <x:c r="O69" s="22" t="n">
        <x:v>993</x:v>
      </x:c>
      <x:c r="P69" s="22" t="n">
        <x:v>6</x:v>
      </x:c>
      <x:c r="Q69" s="22" t="str"/>
      <x:c r="R69" s="22" t="n">
        <x:f>COUNTIF($M$6:$M$1177,M69)</x:f>
        <x:v>1</x:v>
      </x:c>
      <x:c r="S69" s="22" t="str">
        <x:v>Other / utility</x:v>
      </x:c>
      <x:c r="T69" s="22" t="str">
        <x:v>Scope only</x:v>
      </x:c>
    </x:row>
    <x:row r="70" ht="48" customHeight="1">
      <x:c r="A70" s="22" t="n">
        <x:v>65</x:v>
      </x:c>
      <x:c r="B70" s="22" t="str">
        <x:v>Encrypted Pastebin</x:v>
      </x:c>
      <x:c r="C70" s="27" t="str">
        <x:v>N/A</x:v>
      </x:c>
      <x:c r="D70" s="22" t="str">
        <x:v>Utility classification</x:v>
      </x:c>
      <x:c r="E70" s="22" t="str">
        <x:v>PRODUCTIVITY</x:v>
      </x:c>
      <x:c r="F70" s="22" t="str">
        <x:v>Editing, analysis or reference utility</x:v>
      </x:c>
      <x:c r="G70" s="22" t="str">
        <x:v>Processing or reference utility, not independent connection evidence. Preserve original inputs and validate important output.</x:v>
      </x:c>
      <x:c r="H70" s="22" t="str">
        <x:v>Use as a utility only; functionality not audited</x:v>
      </x:c>
      <x:c r="I70" s="22" t="str">
        <x:v>Not checked</x:v>
      </x:c>
      <x:c r="J70" s="22" t="str">
        <x:v>Saved bookmark metadata only</x:v>
      </x:c>
      <x:c r="K70" s="22" t="str"/>
      <x:c r="L70" s="24" t="str"/>
      <x:c r="M70" s="24" t="str">
        <x:v>https://defuse.ca/pastebin.htm</x:v>
      </x:c>
      <x:c r="N70" s="22" t="str">
        <x:v>268402142</x:v>
      </x:c>
      <x:c r="O70" s="22" t="n">
        <x:v>994</x:v>
      </x:c>
      <x:c r="P70" s="22" t="n">
        <x:v>7</x:v>
      </x:c>
      <x:c r="Q70" s="22" t="str"/>
      <x:c r="R70" s="22" t="n">
        <x:f>COUNTIF($M$6:$M$1177,M70)</x:f>
        <x:v>1</x:v>
      </x:c>
      <x:c r="S70" s="22" t="str">
        <x:v>Other / utility</x:v>
      </x:c>
      <x:c r="T70" s="22" t="str">
        <x:v>Scope only</x:v>
      </x:c>
    </x:row>
    <x:row r="71" ht="48" customHeight="1">
      <x:c r="A71" s="22" t="n">
        <x:v>66</x:v>
      </x:c>
      <x:c r="B71" s="22" t="str">
        <x:v>PrivateBin</x:v>
      </x:c>
      <x:c r="C71" s="27" t="str">
        <x:v>N/A</x:v>
      </x:c>
      <x:c r="D71" s="22" t="str">
        <x:v>Utility classification</x:v>
      </x:c>
      <x:c r="E71" s="22" t="str">
        <x:v>PRODUCTIVITY</x:v>
      </x:c>
      <x:c r="F71" s="22" t="str">
        <x:v>Editing, analysis or reference utility</x:v>
      </x:c>
      <x:c r="G71" s="22" t="str">
        <x:v>Processing or reference utility, not independent connection evidence. Preserve original inputs and validate important output.</x:v>
      </x:c>
      <x:c r="H71" s="22" t="str">
        <x:v>Use as a utility only; functionality not audited</x:v>
      </x:c>
      <x:c r="I71" s="22" t="str">
        <x:v>Not checked</x:v>
      </x:c>
      <x:c r="J71" s="22" t="str">
        <x:v>Saved bookmark metadata only</x:v>
      </x:c>
      <x:c r="K71" s="22" t="str"/>
      <x:c r="L71" s="24" t="str"/>
      <x:c r="M71" s="24" t="str">
        <x:v>https://privatebin.net/</x:v>
      </x:c>
      <x:c r="N71" s="22" t="str">
        <x:v>268402153</x:v>
      </x:c>
      <x:c r="O71" s="22" t="n">
        <x:v>994</x:v>
      </x:c>
      <x:c r="P71" s="22" t="n">
        <x:v>8</x:v>
      </x:c>
      <x:c r="Q71" s="22" t="str"/>
      <x:c r="R71" s="22" t="n">
        <x:f>COUNTIF($M$6:$M$1177,M71)</x:f>
        <x:v>1</x:v>
      </x:c>
      <x:c r="S71" s="22" t="str">
        <x:v>Other / utility</x:v>
      </x:c>
      <x:c r="T71" s="22" t="str">
        <x:v>Scope only</x:v>
      </x:c>
    </x:row>
    <x:row r="72" ht="48" customHeight="1">
      <x:c r="A72" s="22" t="n">
        <x:v>67</x:v>
      </x:c>
      <x:c r="B72" s="22" t="str">
        <x:v>Bin.disroot.org</x:v>
      </x:c>
      <x:c r="C72" s="27" t="str">
        <x:v>N/A</x:v>
      </x:c>
      <x:c r="D72" s="22" t="str">
        <x:v>Utility classification</x:v>
      </x:c>
      <x:c r="E72" s="22" t="str">
        <x:v>PRODUCTIVITY</x:v>
      </x:c>
      <x:c r="F72" s="22" t="str">
        <x:v>Editing, analysis or reference utility</x:v>
      </x:c>
      <x:c r="G72" s="22" t="str">
        <x:v>Processing or reference utility, not independent connection evidence. Preserve original inputs and validate important output.</x:v>
      </x:c>
      <x:c r="H72" s="22" t="str">
        <x:v>Use as a utility only; functionality not audited</x:v>
      </x:c>
      <x:c r="I72" s="22" t="str">
        <x:v>Not checked</x:v>
      </x:c>
      <x:c r="J72" s="22" t="str">
        <x:v>Saved bookmark metadata only</x:v>
      </x:c>
      <x:c r="K72" s="22" t="str"/>
      <x:c r="L72" s="24" t="str"/>
      <x:c r="M72" s="24" t="str">
        <x:v>https://bin.disroot.org/</x:v>
      </x:c>
      <x:c r="N72" s="22" t="str">
        <x:v>268402257</x:v>
      </x:c>
      <x:c r="O72" s="22" t="n">
        <x:v>994</x:v>
      </x:c>
      <x:c r="P72" s="22" t="n">
        <x:v>9</x:v>
      </x:c>
      <x:c r="Q72" s="22" t="str"/>
      <x:c r="R72" s="22" t="n">
        <x:f>COUNTIF($M$6:$M$1177,M72)</x:f>
        <x:v>1</x:v>
      </x:c>
      <x:c r="S72" s="22" t="str">
        <x:v>Other / utility</x:v>
      </x:c>
      <x:c r="T72" s="22" t="str">
        <x:v>Scope only</x:v>
      </x:c>
    </x:row>
    <x:row r="73" ht="48" customHeight="1">
      <x:c r="A73" s="22" t="n">
        <x:v>68</x:v>
      </x:c>
      <x:c r="B73" s="22" t="str">
        <x:v>Framadrop</x:v>
      </x:c>
      <x:c r="C73" s="27" t="str">
        <x:v>N/A</x:v>
      </x:c>
      <x:c r="D73" s="22" t="str">
        <x:v>Utility classification</x:v>
      </x:c>
      <x:c r="E73" s="22" t="str">
        <x:v>PRODUCTIVITY</x:v>
      </x:c>
      <x:c r="F73" s="22" t="str">
        <x:v>Editing, analysis or reference utility</x:v>
      </x:c>
      <x:c r="G73" s="22" t="str">
        <x:v>Processing or reference utility, not independent connection evidence. Preserve original inputs and validate important output.</x:v>
      </x:c>
      <x:c r="H73" s="22" t="str">
        <x:v>Use as a utility only; functionality not audited</x:v>
      </x:c>
      <x:c r="I73" s="22" t="str">
        <x:v>Not checked</x:v>
      </x:c>
      <x:c r="J73" s="22" t="str">
        <x:v>Saved bookmark metadata only</x:v>
      </x:c>
      <x:c r="K73" s="22" t="str"/>
      <x:c r="L73" s="24" t="str"/>
      <x:c r="M73" s="24" t="str">
        <x:v>https://framadrop.org/en/</x:v>
      </x:c>
      <x:c r="N73" s="22" t="str">
        <x:v>268402628</x:v>
      </x:c>
      <x:c r="O73" s="22" t="n">
        <x:v>994</x:v>
      </x:c>
      <x:c r="P73" s="22" t="n">
        <x:v>10</x:v>
      </x:c>
      <x:c r="Q73" s="22" t="str"/>
      <x:c r="R73" s="22" t="n">
        <x:f>COUNTIF($M$6:$M$1177,M73)</x:f>
        <x:v>1</x:v>
      </x:c>
      <x:c r="S73" s="22" t="str">
        <x:v>Other / utility</x:v>
      </x:c>
      <x:c r="T73" s="22" t="str">
        <x:v>Scope only</x:v>
      </x:c>
    </x:row>
    <x:row r="74" ht="48" customHeight="1">
      <x:c r="A74" s="22" t="n">
        <x:v>69</x:v>
      </x:c>
      <x:c r="B74" s="22" t="str">
        <x:v>Pad.riseup.net</x:v>
      </x:c>
      <x:c r="C74" s="27" t="str">
        <x:v>N/A</x:v>
      </x:c>
      <x:c r="D74" s="22" t="str">
        <x:v>Utility classification</x:v>
      </x:c>
      <x:c r="E74" s="22" t="str">
        <x:v>PRODUCTIVITY</x:v>
      </x:c>
      <x:c r="F74" s="22" t="str">
        <x:v>Editing, analysis or reference utility</x:v>
      </x:c>
      <x:c r="G74" s="22" t="str">
        <x:v>Processing or reference utility, not independent connection evidence. Preserve original inputs and validate important output.</x:v>
      </x:c>
      <x:c r="H74" s="22" t="str">
        <x:v>Use as a utility only; functionality not audited</x:v>
      </x:c>
      <x:c r="I74" s="22" t="str">
        <x:v>Not checked</x:v>
      </x:c>
      <x:c r="J74" s="22" t="str">
        <x:v>Saved bookmark metadata only</x:v>
      </x:c>
      <x:c r="K74" s="22" t="str"/>
      <x:c r="L74" s="24" t="str"/>
      <x:c r="M74" s="24" t="str">
        <x:v>https://pad.riseup.net/</x:v>
      </x:c>
      <x:c r="N74" s="22" t="str">
        <x:v>268402243</x:v>
      </x:c>
      <x:c r="O74" s="22" t="n">
        <x:v>994</x:v>
      </x:c>
      <x:c r="P74" s="22" t="n">
        <x:v>11</x:v>
      </x:c>
      <x:c r="Q74" s="22" t="str"/>
      <x:c r="R74" s="22" t="n">
        <x:f>COUNTIF($M$6:$M$1177,M74)</x:f>
        <x:v>1</x:v>
      </x:c>
      <x:c r="S74" s="22" t="str">
        <x:v>Other / utility</x:v>
      </x:c>
      <x:c r="T74" s="22" t="str">
        <x:v>Scope only</x:v>
      </x:c>
    </x:row>
    <x:row r="75" ht="48" customHeight="1">
      <x:c r="A75" s="22" t="n">
        <x:v>70</x:v>
      </x:c>
      <x:c r="B75" s="22" t="str">
        <x:v>EtherCalc</x:v>
      </x:c>
      <x:c r="C75" s="27" t="str">
        <x:v>N/A</x:v>
      </x:c>
      <x:c r="D75" s="22" t="str">
        <x:v>Utility classification</x:v>
      </x:c>
      <x:c r="E75" s="22" t="str">
        <x:v>PRODUCTIVITY</x:v>
      </x:c>
      <x:c r="F75" s="22" t="str">
        <x:v>Editing, analysis or reference utility</x:v>
      </x:c>
      <x:c r="G75" s="22" t="str">
        <x:v>Processing or reference utility, not independent connection evidence. Preserve original inputs and validate important output.</x:v>
      </x:c>
      <x:c r="H75" s="22" t="str">
        <x:v>Use as a utility only; functionality not audited</x:v>
      </x:c>
      <x:c r="I75" s="22" t="str">
        <x:v>Not checked</x:v>
      </x:c>
      <x:c r="J75" s="22" t="str">
        <x:v>Saved bookmark metadata only</x:v>
      </x:c>
      <x:c r="K75" s="22" t="str"/>
      <x:c r="L75" s="24" t="str"/>
      <x:c r="M75" s="24" t="str">
        <x:v>https://ethercalc.net/</x:v>
      </x:c>
      <x:c r="N75" s="22" t="str">
        <x:v>286038958</x:v>
      </x:c>
      <x:c r="O75" s="22" t="n">
        <x:v>994</x:v>
      </x:c>
      <x:c r="P75" s="22" t="n">
        <x:v>12</x:v>
      </x:c>
      <x:c r="Q75" s="22" t="str"/>
      <x:c r="R75" s="22" t="n">
        <x:f>COUNTIF($M$6:$M$1177,M75)</x:f>
        <x:v>1</x:v>
      </x:c>
      <x:c r="S75" s="22" t="str">
        <x:v>Other / utility</x:v>
      </x:c>
      <x:c r="T75" s="22" t="str">
        <x:v>Scope only</x:v>
      </x:c>
    </x:row>
    <x:row r="76" ht="48" customHeight="1">
      <x:c r="A76" s="22" t="n">
        <x:v>71</x:v>
      </x:c>
      <x:c r="B76" s="22" t="str">
        <x:v>Proofread Bot</x:v>
      </x:c>
      <x:c r="C76" s="27" t="str">
        <x:v>N/A</x:v>
      </x:c>
      <x:c r="D76" s="22" t="str">
        <x:v>Utility classification</x:v>
      </x:c>
      <x:c r="E76" s="22" t="str">
        <x:v>PRODUCTIVITY</x:v>
      </x:c>
      <x:c r="F76" s="22" t="str">
        <x:v>Editing, analysis or reference utility</x:v>
      </x:c>
      <x:c r="G76" s="22" t="str">
        <x:v>Processing or reference utility, not independent connection evidence. Preserve original inputs and validate important output.</x:v>
      </x:c>
      <x:c r="H76" s="22" t="str">
        <x:v>Use as a utility only; functionality not audited</x:v>
      </x:c>
      <x:c r="I76" s="22" t="str">
        <x:v>Not checked</x:v>
      </x:c>
      <x:c r="J76" s="22" t="str">
        <x:v>Saved bookmark metadata only</x:v>
      </x:c>
      <x:c r="K76" s="22" t="str"/>
      <x:c r="L76" s="24" t="str"/>
      <x:c r="M76" s="24" t="str">
        <x:v>https://proofreadbot.com/</x:v>
      </x:c>
      <x:c r="N76" s="22" t="str">
        <x:v>297339512</x:v>
      </x:c>
      <x:c r="O76" s="22" t="n">
        <x:v>994</x:v>
      </x:c>
      <x:c r="P76" s="22" t="n">
        <x:v>13</x:v>
      </x:c>
      <x:c r="Q76" s="22" t="str"/>
      <x:c r="R76" s="22" t="n">
        <x:f>COUNTIF($M$6:$M$1177,M76)</x:f>
        <x:v>1</x:v>
      </x:c>
      <x:c r="S76" s="22" t="str">
        <x:v>Other / utility</x:v>
      </x:c>
      <x:c r="T76" s="22" t="str">
        <x:v>Scope only</x:v>
      </x:c>
    </x:row>
    <x:row r="77" ht="48" customHeight="1">
      <x:c r="A77" s="22" t="n">
        <x:v>72</x:v>
      </x:c>
      <x:c r="B77" s="22" t="str">
        <x:v>Write.as</x:v>
      </x:c>
      <x:c r="C77" s="27" t="str">
        <x:v>N/A</x:v>
      </x:c>
      <x:c r="D77" s="22" t="str">
        <x:v>Utility classification</x:v>
      </x:c>
      <x:c r="E77" s="22" t="str">
        <x:v>PRODUCTIVITY</x:v>
      </x:c>
      <x:c r="F77" s="22" t="str">
        <x:v>Editing, analysis or reference utility</x:v>
      </x:c>
      <x:c r="G77" s="22" t="str">
        <x:v>Processing or reference utility, not independent connection evidence. Preserve original inputs and validate important output.</x:v>
      </x:c>
      <x:c r="H77" s="22" t="str">
        <x:v>Use as a utility only; functionality not audited</x:v>
      </x:c>
      <x:c r="I77" s="22" t="str">
        <x:v>Not checked</x:v>
      </x:c>
      <x:c r="J77" s="22" t="str">
        <x:v>Saved bookmark metadata only</x:v>
      </x:c>
      <x:c r="K77" s="22" t="str"/>
      <x:c r="L77" s="24" t="str"/>
      <x:c r="M77" s="24" t="str">
        <x:v>https://write.as/</x:v>
      </x:c>
      <x:c r="N77" s="22" t="str">
        <x:v>286038940</x:v>
      </x:c>
      <x:c r="O77" s="22" t="n">
        <x:v>994</x:v>
      </x:c>
      <x:c r="P77" s="22" t="n">
        <x:v>14</x:v>
      </x:c>
      <x:c r="Q77" s="22" t="str"/>
      <x:c r="R77" s="22" t="n">
        <x:f>COUNTIF($M$6:$M$1177,M77)</x:f>
        <x:v>1</x:v>
      </x:c>
      <x:c r="S77" s="22" t="str">
        <x:v>Other / utility</x:v>
      </x:c>
      <x:c r="T77" s="22" t="str">
        <x:v>Scope only</x:v>
      </x:c>
    </x:row>
    <x:row r="78" ht="48" customHeight="1">
      <x:c r="A78" s="22" t="n">
        <x:v>73</x:v>
      </x:c>
      <x:c r="B78" s="22" t="str">
        <x:v>Cryptee</x:v>
      </x:c>
      <x:c r="C78" s="27" t="str">
        <x:v>N/A</x:v>
      </x:c>
      <x:c r="D78" s="22" t="str">
        <x:v>Utility classification</x:v>
      </x:c>
      <x:c r="E78" s="22" t="str">
        <x:v>PRODUCTIVITY</x:v>
      </x:c>
      <x:c r="F78" s="22" t="str">
        <x:v>Editing, analysis or reference utility</x:v>
      </x:c>
      <x:c r="G78" s="22" t="str">
        <x:v>Processing or reference utility, not independent connection evidence. Preserve original inputs and validate important output.</x:v>
      </x:c>
      <x:c r="H78" s="22" t="str">
        <x:v>Use as a utility only; functionality not audited</x:v>
      </x:c>
      <x:c r="I78" s="22" t="str">
        <x:v>Not checked</x:v>
      </x:c>
      <x:c r="J78" s="22" t="str">
        <x:v>Saved bookmark metadata only</x:v>
      </x:c>
      <x:c r="K78" s="22" t="str"/>
      <x:c r="L78" s="24" t="str"/>
      <x:c r="M78" s="24" t="str">
        <x:v>https://crypt.ee/</x:v>
      </x:c>
      <x:c r="N78" s="22" t="str">
        <x:v>286039290</x:v>
      </x:c>
      <x:c r="O78" s="22" t="n">
        <x:v>994</x:v>
      </x:c>
      <x:c r="P78" s="22" t="n">
        <x:v>15</x:v>
      </x:c>
      <x:c r="Q78" s="22" t="str"/>
      <x:c r="R78" s="22" t="n">
        <x:f>COUNTIF($M$6:$M$1177,M78)</x:f>
        <x:v>1</x:v>
      </x:c>
      <x:c r="S78" s="22" t="str">
        <x:v>Other / utility</x:v>
      </x:c>
      <x:c r="T78" s="22" t="str">
        <x:v>Scope only</x:v>
      </x:c>
    </x:row>
    <x:row r="79" ht="48" customHeight="1">
      <x:c r="A79" s="22" t="n">
        <x:v>74</x:v>
      </x:c>
      <x:c r="B79" s="22" t="str">
        <x:v>dudle</x:v>
      </x:c>
      <x:c r="C79" s="27" t="str">
        <x:v>N/A</x:v>
      </x:c>
      <x:c r="D79" s="22" t="str">
        <x:v>Utility classification</x:v>
      </x:c>
      <x:c r="E79" s="22" t="str">
        <x:v>PRODUCTIVITY</x:v>
      </x:c>
      <x:c r="F79" s="22" t="str">
        <x:v>Editing, analysis or reference utility</x:v>
      </x:c>
      <x:c r="G79" s="22" t="str">
        <x:v>Processing or reference utility, not independent connection evidence. Preserve original inputs and validate important output.</x:v>
      </x:c>
      <x:c r="H79" s="22" t="str">
        <x:v>Use as a utility only; functionality not audited</x:v>
      </x:c>
      <x:c r="I79" s="22" t="str">
        <x:v>Not checked</x:v>
      </x:c>
      <x:c r="J79" s="22" t="str">
        <x:v>Saved bookmark metadata only</x:v>
      </x:c>
      <x:c r="K79" s="22" t="str"/>
      <x:c r="L79" s="24" t="str"/>
      <x:c r="M79" s="24" t="str">
        <x:v>https://dudle.inf.tu-dresden.de/anonymous/</x:v>
      </x:c>
      <x:c r="N79" s="22" t="str">
        <x:v>286038953</x:v>
      </x:c>
      <x:c r="O79" s="22" t="n">
        <x:v>994</x:v>
      </x:c>
      <x:c r="P79" s="22" t="n">
        <x:v>16</x:v>
      </x:c>
      <x:c r="Q79" s="22" t="str"/>
      <x:c r="R79" s="22" t="n">
        <x:f>COUNTIF($M$6:$M$1177,M79)</x:f>
        <x:v>1</x:v>
      </x:c>
      <x:c r="S79" s="22" t="str">
        <x:v>Other / utility</x:v>
      </x:c>
      <x:c r="T79" s="22" t="str">
        <x:v>Scope only</x:v>
      </x:c>
    </x:row>
    <x:row r="80" ht="48" customHeight="1">
      <x:c r="A80" s="22" t="n">
        <x:v>75</x:v>
      </x:c>
      <x:c r="B80" s="22" t="str">
        <x:v>Airborn.io</x:v>
      </x:c>
      <x:c r="C80" s="27" t="str">
        <x:v>N/A</x:v>
      </x:c>
      <x:c r="D80" s="22" t="str">
        <x:v>Utility classification</x:v>
      </x:c>
      <x:c r="E80" s="22" t="str">
        <x:v>PRODUCTIVITY</x:v>
      </x:c>
      <x:c r="F80" s="22" t="str">
        <x:v>Editing, analysis or reference utility</x:v>
      </x:c>
      <x:c r="G80" s="22" t="str">
        <x:v>Processing or reference utility, not independent connection evidence. Preserve original inputs and validate important output.</x:v>
      </x:c>
      <x:c r="H80" s="22" t="str">
        <x:v>Use as a utility only; functionality not audited</x:v>
      </x:c>
      <x:c r="I80" s="22" t="str">
        <x:v>Not checked</x:v>
      </x:c>
      <x:c r="J80" s="22" t="str">
        <x:v>Saved bookmark metadata only</x:v>
      </x:c>
      <x:c r="K80" s="22" t="str"/>
      <x:c r="L80" s="24" t="str"/>
      <x:c r="M80" s="24" t="str">
        <x:v>https://www.airborn.io/</x:v>
      </x:c>
      <x:c r="N80" s="22" t="str">
        <x:v>268402128</x:v>
      </x:c>
      <x:c r="O80" s="22" t="n">
        <x:v>994</x:v>
      </x:c>
      <x:c r="P80" s="22" t="n">
        <x:v>17</x:v>
      </x:c>
      <x:c r="Q80" s="22" t="str"/>
      <x:c r="R80" s="22" t="n">
        <x:f>COUNTIF($M$6:$M$1177,M80)</x:f>
        <x:v>1</x:v>
      </x:c>
      <x:c r="S80" s="22" t="str">
        <x:v>Other / utility</x:v>
      </x:c>
      <x:c r="T80" s="22" t="str">
        <x:v>Scope only</x:v>
      </x:c>
    </x:row>
    <x:row r="81" ht="48" customHeight="1">
      <x:c r="A81" s="22" t="n">
        <x:v>76</x:v>
      </x:c>
      <x:c r="B81" s="22" t="str">
        <x:v>ZOOM URL Generator</x:v>
      </x:c>
      <x:c r="C81" s="27" t="str">
        <x:v>N/A</x:v>
      </x:c>
      <x:c r="D81" s="22" t="str">
        <x:v>Utility classification</x:v>
      </x:c>
      <x:c r="E81" s="22" t="str">
        <x:v>PRODUCTIVITY</x:v>
      </x:c>
      <x:c r="F81" s="22" t="str">
        <x:v>Editing, analysis or reference utility</x:v>
      </x:c>
      <x:c r="G81" s="22" t="str">
        <x:v>Processing or reference utility, not independent connection evidence. Preserve original inputs and validate important output.</x:v>
      </x:c>
      <x:c r="H81" s="22" t="str">
        <x:v>Use as a utility only; functionality not audited</x:v>
      </x:c>
      <x:c r="I81" s="22" t="str">
        <x:v>Not checked</x:v>
      </x:c>
      <x:c r="J81" s="22" t="str">
        <x:v>Saved bookmark metadata only</x:v>
      </x:c>
      <x:c r="K81" s="22" t="str"/>
      <x:c r="L81" s="24" t="str"/>
      <x:c r="M81" s="24" t="str">
        <x:v>https://skyzh.github.io/zoom-url-generator/</x:v>
      </x:c>
      <x:c r="N81" s="22" t="str">
        <x:v>286014746</x:v>
      </x:c>
      <x:c r="O81" s="22" t="n">
        <x:v>994</x:v>
      </x:c>
      <x:c r="P81" s="22" t="n">
        <x:v>18</x:v>
      </x:c>
      <x:c r="Q81" s="22" t="str"/>
      <x:c r="R81" s="22" t="n">
        <x:f>COUNTIF($M$6:$M$1177,M81)</x:f>
        <x:v>1</x:v>
      </x:c>
      <x:c r="S81" s="22" t="str">
        <x:v>Other / utility</x:v>
      </x:c>
      <x:c r="T81" s="22" t="str">
        <x:v>Scope only</x:v>
      </x:c>
    </x:row>
    <x:row r="82" ht="48" customHeight="1">
      <x:c r="A82" s="22" t="n">
        <x:v>77</x:v>
      </x:c>
      <x:c r="B82" s="22" t="str">
        <x:v>Tor2web</x:v>
      </x:c>
      <x:c r="C82" s="27" t="str">
        <x:v>N/A</x:v>
      </x:c>
      <x:c r="D82" s="22" t="str">
        <x:v>Utility classification</x:v>
      </x:c>
      <x:c r="E82" s="22" t="str">
        <x:v>PRODUCTIVITY</x:v>
      </x:c>
      <x:c r="F82" s="22" t="str">
        <x:v>Editing, analysis or reference utility</x:v>
      </x:c>
      <x:c r="G82" s="22" t="str">
        <x:v>Processing or reference utility, not independent connection evidence. Preserve original inputs and validate important output.</x:v>
      </x:c>
      <x:c r="H82" s="22" t="str">
        <x:v>Use as a utility only; functionality not audited</x:v>
      </x:c>
      <x:c r="I82" s="22" t="str">
        <x:v>Not checked</x:v>
      </x:c>
      <x:c r="J82" s="22" t="str">
        <x:v>Saved bookmark metadata only</x:v>
      </x:c>
      <x:c r="K82" s="22" t="str"/>
      <x:c r="L82" s="24" t="str"/>
      <x:c r="M82" s="24" t="str">
        <x:v>https://www.tor2web.org/</x:v>
      </x:c>
      <x:c r="N82" s="22" t="str">
        <x:v>268402608</x:v>
      </x:c>
      <x:c r="O82" s="22" t="n">
        <x:v>994</x:v>
      </x:c>
      <x:c r="P82" s="22" t="n">
        <x:v>19</x:v>
      </x:c>
      <x:c r="Q82" s="22" t="str"/>
      <x:c r="R82" s="22" t="n">
        <x:f>COUNTIF($M$6:$M$1177,M82)</x:f>
        <x:v>1</x:v>
      </x:c>
      <x:c r="S82" s="22" t="str">
        <x:v>Other / utility</x:v>
      </x:c>
      <x:c r="T82" s="22" t="str">
        <x:v>Scope only</x:v>
      </x:c>
    </x:row>
    <x:row r="83" ht="48" customHeight="1">
      <x:c r="A83" s="22" t="n">
        <x:v>78</x:v>
      </x:c>
      <x:c r="B83" s="22" t="str">
        <x:v>archive.is</x:v>
      </x:c>
      <x:c r="C83" s="31" t="str">
        <x:v>U</x:v>
      </x:c>
      <x:c r="D83" s="22" t="str">
        <x:v>Unassessed</x:v>
      </x:c>
      <x:c r="E83" s="22" t="str">
        <x:v>PRODUCTIVITY</x:v>
      </x:c>
      <x:c r="F83" s="22" t="str">
        <x:v>Editing, analysis or reference utility</x:v>
      </x:c>
      <x:c r="G83" s="22" t="str">
        <x:v>No substantive provider review supports a reliability grade for this entry.</x:v>
      </x:c>
      <x:c r="H83" s="22" t="str">
        <x:v>Verify publisher, source and current function before reliance</x:v>
      </x:c>
      <x:c r="I83" s="22" t="str">
        <x:v>Not checked</x:v>
      </x:c>
      <x:c r="J83" s="22" t="str">
        <x:v>Saved bookmark metadata only</x:v>
      </x:c>
      <x:c r="K83" s="22" t="str"/>
      <x:c r="L83" s="24" t="str"/>
      <x:c r="M83" s="24" t="str">
        <x:v>https://archive.is/</x:v>
      </x:c>
      <x:c r="N83" s="22" t="str">
        <x:v>268408883</x:v>
      </x:c>
      <x:c r="O83" s="22" t="n">
        <x:v>994</x:v>
      </x:c>
      <x:c r="P83" s="22" t="n">
        <x:v>20</x:v>
      </x:c>
      <x:c r="Q83" s="22" t="str"/>
      <x:c r="R83" s="22" t="n">
        <x:f>COUNTIF($M$6:$M$1177,M83)</x:f>
        <x:v>1</x:v>
      </x:c>
      <x:c r="S83" s="22" t="str">
        <x:v>Other / utility</x:v>
      </x:c>
      <x:c r="T83" s="22" t="str">
        <x:v>Not established</x:v>
      </x:c>
    </x:row>
    <x:row r="84" ht="54" customHeight="1">
      <x:c r="A84" s="22" t="n">
        <x:v>79</x:v>
      </x:c>
      <x:c r="B84" s="22" t="str">
        <x:v>Wayback Machine</x:v>
      </x:c>
      <x:c r="C84" s="35" t="str">
        <x:v>B</x:v>
      </x:c>
      <x:c r="D84" s="22" t="str">
        <x:v>Documented</x:v>
      </x:c>
      <x:c r="E84" s="22" t="str">
        <x:v>PRODUCTIVITY</x:v>
      </x:c>
      <x:c r="F84" s="22" t="str">
        <x:v>Dated web-capture evidence</x:v>
      </x:c>
      <x:c r="G84" s="22" t="str">
        <x:v>Useful for what a captured page displayed. Captures can be incomplete and links can move between dates; an archived claim is not independently authenticated truth.</x:v>
      </x:c>
      <x:c r="H84" s="22" t="str">
        <x:v>Corroborate before attribution</x:v>
      </x:c>
      <x:c r="I84" s="22" t="str">
        <x:v>Help readable; individual captures not inspected</x:v>
      </x:c>
      <x:c r="J84" s="22" t="str">
        <x:v>Archive documentation</x:v>
      </x:c>
      <x:c r="K84" s="22" t="str">
        <x:v>S074</x:v>
      </x:c>
      <x:c r="L84" s="24" t="str">
        <x:v>https://help.archive.org/help/using-the-wayback-machine/</x:v>
      </x:c>
      <x:c r="M84" s="24" t="str">
        <x:v>https://web.archive.org/</x:v>
      </x:c>
      <x:c r="N84" s="22" t="str">
        <x:v>268408887</x:v>
      </x:c>
      <x:c r="O84" s="22" t="n">
        <x:v>994</x:v>
      </x:c>
      <x:c r="P84" s="22" t="n">
        <x:v>21</x:v>
      </x:c>
      <x:c r="Q84" s="22" t="str">
        <x:v>2026-09-15</x:v>
      </x:c>
      <x:c r="R84" s="22" t="n">
        <x:f>COUNTIF($M$6:$M$1177,M84)</x:f>
        <x:v>1</x:v>
      </x:c>
      <x:c r="S84" s="22" t="str">
        <x:v>Contacts / records</x:v>
      </x:c>
      <x:c r="T84" s="22" t="str">
        <x:v>Scoped desk assessment</x:v>
      </x:c>
    </x:row>
    <x:row r="85" ht="48" customHeight="1">
      <x:c r="A85" s="22" t="n">
        <x:v>80</x:v>
      </x:c>
      <x:c r="B85" s="22" t="str">
        <x:v>waybackpy</x:v>
      </x:c>
      <x:c r="C85" s="27" t="str">
        <x:v>N/A</x:v>
      </x:c>
      <x:c r="D85" s="22" t="str">
        <x:v>Utility classification</x:v>
      </x:c>
      <x:c r="E85" s="22" t="str">
        <x:v>PRODUCTIVITY</x:v>
      </x:c>
      <x:c r="F85" s="22" t="str">
        <x:v>Editing, analysis or reference utility</x:v>
      </x:c>
      <x:c r="G85" s="22" t="str">
        <x:v>Processing or reference utility, not independent connection evidence. Preserve original inputs and validate important output.</x:v>
      </x:c>
      <x:c r="H85" s="22" t="str">
        <x:v>Use as a utility only; functionality not audited</x:v>
      </x:c>
      <x:c r="I85" s="22" t="str">
        <x:v>Not checked</x:v>
      </x:c>
      <x:c r="J85" s="22" t="str">
        <x:v>Saved bookmark metadata only</x:v>
      </x:c>
      <x:c r="K85" s="22" t="str"/>
      <x:c r="L85" s="24" t="str"/>
      <x:c r="M85" s="24" t="str">
        <x:v>https://pypi.org/project/waybackpy/</x:v>
      </x:c>
      <x:c r="N85" s="22" t="str">
        <x:v>304994967</x:v>
      </x:c>
      <x:c r="O85" s="22" t="n">
        <x:v>994</x:v>
      </x:c>
      <x:c r="P85" s="22" t="n">
        <x:v>22</x:v>
      </x:c>
      <x:c r="Q85" s="22" t="str"/>
      <x:c r="R85" s="22" t="n">
        <x:f>COUNTIF($M$6:$M$1177,M85)</x:f>
        <x:v>1</x:v>
      </x:c>
      <x:c r="S85" s="22" t="str">
        <x:v>Other / utility</x:v>
      </x:c>
      <x:c r="T85" s="22" t="str">
        <x:v>Scope only</x:v>
      </x:c>
    </x:row>
    <x:row r="86" ht="48" customHeight="1">
      <x:c r="A86" s="22" t="n">
        <x:v>81</x:v>
      </x:c>
      <x:c r="B86" s="22" t="str">
        <x:v>CachedPages</x:v>
      </x:c>
      <x:c r="C86" s="31" t="str">
        <x:v>U</x:v>
      </x:c>
      <x:c r="D86" s="22" t="str">
        <x:v>Unassessed</x:v>
      </x:c>
      <x:c r="E86" s="22" t="str">
        <x:v>PRODUCTIVITY</x:v>
      </x:c>
      <x:c r="F86" s="22" t="str">
        <x:v>Editing, analysis or reference utility</x:v>
      </x:c>
      <x:c r="G86" s="22" t="str">
        <x:v>No substantive provider review supports a reliability grade for this entry.</x:v>
      </x:c>
      <x:c r="H86" s="22" t="str">
        <x:v>Verify publisher, source and current function before reliance</x:v>
      </x:c>
      <x:c r="I86" s="22" t="str">
        <x:v>Not checked</x:v>
      </x:c>
      <x:c r="J86" s="22" t="str">
        <x:v>Saved bookmark metadata only</x:v>
      </x:c>
      <x:c r="K86" s="22" t="str"/>
      <x:c r="L86" s="24" t="str"/>
      <x:c r="M86" s="24" t="str">
        <x:v>http://www.cachedpages.com/</x:v>
      </x:c>
      <x:c r="N86" s="22" t="str">
        <x:v>268408888</x:v>
      </x:c>
      <x:c r="O86" s="22" t="n">
        <x:v>994</x:v>
      </x:c>
      <x:c r="P86" s="22" t="n">
        <x:v>23</x:v>
      </x:c>
      <x:c r="Q86" s="22" t="str"/>
      <x:c r="R86" s="22" t="n">
        <x:f>COUNTIF($M$6:$M$1177,M86)</x:f>
        <x:v>1</x:v>
      </x:c>
      <x:c r="S86" s="22" t="str">
        <x:v>Other / utility</x:v>
      </x:c>
      <x:c r="T86" s="22" t="str">
        <x:v>Not established</x:v>
      </x:c>
    </x:row>
    <x:row r="87" ht="48" customHeight="1">
      <x:c r="A87" s="22" t="n">
        <x:v>82</x:v>
      </x:c>
      <x:c r="B87" s="22" t="str">
        <x:v>Google Cached Pages of Any Website</x:v>
      </x:c>
      <x:c r="C87" s="31" t="str">
        <x:v>U</x:v>
      </x:c>
      <x:c r="D87" s="22" t="str">
        <x:v>Unassessed</x:v>
      </x:c>
      <x:c r="E87" s="22" t="str">
        <x:v>PRODUCTIVITY</x:v>
      </x:c>
      <x:c r="F87" s="22" t="str">
        <x:v>Editing, analysis or reference utility</x:v>
      </x:c>
      <x:c r="G87" s="22" t="str">
        <x:v>No substantive provider review supports a reliability grade for this entry.</x:v>
      </x:c>
      <x:c r="H87" s="22" t="str">
        <x:v>Verify publisher, source and current function before reliance</x:v>
      </x:c>
      <x:c r="I87" s="22" t="str">
        <x:v>Not checked</x:v>
      </x:c>
      <x:c r="J87" s="22" t="str">
        <x:v>Saved bookmark metadata only</x:v>
      </x:c>
      <x:c r="K87" s="22" t="str"/>
      <x:c r="L87" s="24" t="str"/>
      <x:c r="M87" s="24" t="str">
        <x:v>https://cachedview.com/</x:v>
      </x:c>
      <x:c r="N87" s="22" t="str">
        <x:v>290064203</x:v>
      </x:c>
      <x:c r="O87" s="22" t="n">
        <x:v>994</x:v>
      </x:c>
      <x:c r="P87" s="22" t="n">
        <x:v>24</x:v>
      </x:c>
      <x:c r="Q87" s="22" t="str"/>
      <x:c r="R87" s="22" t="n">
        <x:f>COUNTIF($M$6:$M$1177,M87)</x:f>
        <x:v>1</x:v>
      </x:c>
      <x:c r="S87" s="22" t="str">
        <x:v>Other / utility</x:v>
      </x:c>
      <x:c r="T87" s="22" t="str">
        <x:v>Not established</x:v>
      </x:c>
    </x:row>
    <x:row r="88" ht="48" customHeight="1">
      <x:c r="A88" s="22" t="n">
        <x:v>83</x:v>
      </x:c>
      <x:c r="B88" s="22" t="str">
        <x:v>Oldweb.today</x:v>
      </x:c>
      <x:c r="C88" s="31" t="str">
        <x:v>U</x:v>
      </x:c>
      <x:c r="D88" s="22" t="str">
        <x:v>Unassessed</x:v>
      </x:c>
      <x:c r="E88" s="22" t="str">
        <x:v>PRODUCTIVITY</x:v>
      </x:c>
      <x:c r="F88" s="22" t="str">
        <x:v>Editing, analysis or reference utility</x:v>
      </x:c>
      <x:c r="G88" s="22" t="str">
        <x:v>No substantive provider review supports a reliability grade for this entry.</x:v>
      </x:c>
      <x:c r="H88" s="22" t="str">
        <x:v>Verify publisher, source and current function before reliance</x:v>
      </x:c>
      <x:c r="I88" s="22" t="str">
        <x:v>Not checked</x:v>
      </x:c>
      <x:c r="J88" s="22" t="str">
        <x:v>Saved bookmark metadata only</x:v>
      </x:c>
      <x:c r="K88" s="22" t="str"/>
      <x:c r="L88" s="24" t="str"/>
      <x:c r="M88" s="24" t="str">
        <x:v>http://oldweb.today/</x:v>
      </x:c>
      <x:c r="N88" s="22" t="str">
        <x:v>268503492</x:v>
      </x:c>
      <x:c r="O88" s="22" t="n">
        <x:v>994</x:v>
      </x:c>
      <x:c r="P88" s="22" t="n">
        <x:v>25</x:v>
      </x:c>
      <x:c r="Q88" s="22" t="str"/>
      <x:c r="R88" s="22" t="n">
        <x:f>COUNTIF($M$6:$M$1177,M88)</x:f>
        <x:v>1</x:v>
      </x:c>
      <x:c r="S88" s="22" t="str">
        <x:v>Other / utility</x:v>
      </x:c>
      <x:c r="T88" s="22" t="str">
        <x:v>Not established</x:v>
      </x:c>
    </x:row>
    <x:row r="89" ht="48" customHeight="1">
      <x:c r="A89" s="22" t="n">
        <x:v>84</x:v>
      </x:c>
      <x:c r="B89" s="22" t="str">
        <x:v>Unpaywall</x:v>
      </x:c>
      <x:c r="C89" s="31" t="str">
        <x:v>U</x:v>
      </x:c>
      <x:c r="D89" s="22" t="str">
        <x:v>Unassessed</x:v>
      </x:c>
      <x:c r="E89" s="22" t="str">
        <x:v>PRODUCTIVITY</x:v>
      </x:c>
      <x:c r="F89" s="22" t="str">
        <x:v>Editing, analysis or reference utility</x:v>
      </x:c>
      <x:c r="G89" s="22" t="str">
        <x:v>No substantive provider review supports a reliability grade for this entry.</x:v>
      </x:c>
      <x:c r="H89" s="22" t="str">
        <x:v>Verify publisher, source and current function before reliance</x:v>
      </x:c>
      <x:c r="I89" s="22" t="str">
        <x:v>Not checked</x:v>
      </x:c>
      <x:c r="J89" s="22" t="str">
        <x:v>Saved bookmark metadata only</x:v>
      </x:c>
      <x:c r="K89" s="22" t="str"/>
      <x:c r="L89" s="24" t="str"/>
      <x:c r="M89" s="24" t="str">
        <x:v>https://unpaywall.org/products/extension</x:v>
      </x:c>
      <x:c r="N89" s="22" t="str">
        <x:v>290064200</x:v>
      </x:c>
      <x:c r="O89" s="22" t="n">
        <x:v>994</x:v>
      </x:c>
      <x:c r="P89" s="22" t="n">
        <x:v>26</x:v>
      </x:c>
      <x:c r="Q89" s="22" t="str"/>
      <x:c r="R89" s="22" t="n">
        <x:f>COUNTIF($M$6:$M$1177,M89)</x:f>
        <x:v>1</x:v>
      </x:c>
      <x:c r="S89" s="22" t="str">
        <x:v>Other / utility</x:v>
      </x:c>
      <x:c r="T89" s="22" t="str">
        <x:v>Not established</x:v>
      </x:c>
    </x:row>
    <x:row r="90" ht="48" customHeight="1">
      <x:c r="A90" s="22" t="n">
        <x:v>85</x:v>
      </x:c>
      <x:c r="B90" s="22" t="str">
        <x:v>DeepL</x:v>
      </x:c>
      <x:c r="C90" s="27" t="str">
        <x:v>N/A</x:v>
      </x:c>
      <x:c r="D90" s="22" t="str">
        <x:v>Utility classification</x:v>
      </x:c>
      <x:c r="E90" s="22" t="str">
        <x:v>PRODUCTIVITY</x:v>
      </x:c>
      <x:c r="F90" s="22" t="str">
        <x:v>Editing, analysis or reference utility</x:v>
      </x:c>
      <x:c r="G90" s="22" t="str">
        <x:v>Processing or reference utility, not independent connection evidence. Preserve original inputs and validate important output.</x:v>
      </x:c>
      <x:c r="H90" s="22" t="str">
        <x:v>Use as a utility only; functionality not audited</x:v>
      </x:c>
      <x:c r="I90" s="22" t="str">
        <x:v>Not checked</x:v>
      </x:c>
      <x:c r="J90" s="22" t="str">
        <x:v>Saved bookmark metadata only</x:v>
      </x:c>
      <x:c r="K90" s="22" t="str"/>
      <x:c r="L90" s="24" t="str"/>
      <x:c r="M90" s="24" t="str">
        <x:v>https://www.deepl.com/translator</x:v>
      </x:c>
      <x:c r="N90" s="22" t="str">
        <x:v>268506571</x:v>
      </x:c>
      <x:c r="O90" s="22" t="n">
        <x:v>994</x:v>
      </x:c>
      <x:c r="P90" s="22" t="n">
        <x:v>27</x:v>
      </x:c>
      <x:c r="Q90" s="22" t="str"/>
      <x:c r="R90" s="22" t="n">
        <x:f>COUNTIF($M$6:$M$1177,M90)</x:f>
        <x:v>1</x:v>
      </x:c>
      <x:c r="S90" s="22" t="str">
        <x:v>Other / utility</x:v>
      </x:c>
      <x:c r="T90" s="22" t="str">
        <x:v>Scope only</x:v>
      </x:c>
    </x:row>
    <x:row r="91" ht="48" customHeight="1">
      <x:c r="A91" s="22" t="n">
        <x:v>86</x:v>
      </x:c>
      <x:c r="B91" s="22" t="str">
        <x:v>Project CSV</x:v>
      </x:c>
      <x:c r="C91" s="27" t="str">
        <x:v>N/A</x:v>
      </x:c>
      <x:c r="D91" s="22" t="str">
        <x:v>Utility classification</x:v>
      </x:c>
      <x:c r="E91" s="22" t="str">
        <x:v>PRODUCTIVITY</x:v>
      </x:c>
      <x:c r="F91" s="22" t="str">
        <x:v>Editing, analysis or reference utility</x:v>
      </x:c>
      <x:c r="G91" s="22" t="str">
        <x:v>Processing or reference utility, not independent connection evidence. Preserve original inputs and validate important output.</x:v>
      </x:c>
      <x:c r="H91" s="22" t="str">
        <x:v>Use as a utility only; functionality not audited</x:v>
      </x:c>
      <x:c r="I91" s="22" t="str">
        <x:v>Not checked</x:v>
      </x:c>
      <x:c r="J91" s="22" t="str">
        <x:v>Saved bookmark metadata only</x:v>
      </x:c>
      <x:c r="K91" s="22" t="str"/>
      <x:c r="L91" s="24" t="str"/>
      <x:c r="M91" s="24" t="str">
        <x:v>https://projectcsv.github.io/</x:v>
      </x:c>
      <x:c r="N91" s="22" t="str">
        <x:v>286012909</x:v>
      </x:c>
      <x:c r="O91" s="22" t="n">
        <x:v>995</x:v>
      </x:c>
      <x:c r="P91" s="22" t="n">
        <x:v>28</x:v>
      </x:c>
      <x:c r="Q91" s="22" t="str"/>
      <x:c r="R91" s="22" t="n">
        <x:f>COUNTIF($M$6:$M$1177,M91)</x:f>
        <x:v>1</x:v>
      </x:c>
      <x:c r="S91" s="22" t="str">
        <x:v>Other / utility</x:v>
      </x:c>
      <x:c r="T91" s="22" t="str">
        <x:v>Scope only</x:v>
      </x:c>
    </x:row>
    <x:row r="92" ht="48" customHeight="1">
      <x:c r="A92" s="22" t="n">
        <x:v>87</x:v>
      </x:c>
      <x:c r="B92" s="22" t="str">
        <x:v>CSV to HTML</x:v>
      </x:c>
      <x:c r="C92" s="27" t="str">
        <x:v>N/A</x:v>
      </x:c>
      <x:c r="D92" s="22" t="str">
        <x:v>Utility classification</x:v>
      </x:c>
      <x:c r="E92" s="22" t="str">
        <x:v>PRODUCTIVITY</x:v>
      </x:c>
      <x:c r="F92" s="22" t="str">
        <x:v>Editing, analysis or reference utility</x:v>
      </x:c>
      <x:c r="G92" s="22" t="str">
        <x:v>Processing or reference utility, not independent connection evidence. Preserve original inputs and validate important output.</x:v>
      </x:c>
      <x:c r="H92" s="22" t="str">
        <x:v>Use as a utility only; functionality not audited</x:v>
      </x:c>
      <x:c r="I92" s="22" t="str">
        <x:v>Not checked</x:v>
      </x:c>
      <x:c r="J92" s="22" t="str">
        <x:v>Saved bookmark metadata only</x:v>
      </x:c>
      <x:c r="K92" s="22" t="str"/>
      <x:c r="L92" s="24" t="str"/>
      <x:c r="M92" s="24" t="str">
        <x:v>https://codepen.io/RYJASM/pen/LVEWgV</x:v>
      </x:c>
      <x:c r="N92" s="22" t="str">
        <x:v>286013064</x:v>
      </x:c>
      <x:c r="O92" s="22" t="n">
        <x:v>996</x:v>
      </x:c>
      <x:c r="P92" s="22" t="n">
        <x:v>29</x:v>
      </x:c>
      <x:c r="Q92" s="22" t="str"/>
      <x:c r="R92" s="22" t="n">
        <x:f>COUNTIF($M$6:$M$1177,M92)</x:f>
        <x:v>1</x:v>
      </x:c>
      <x:c r="S92" s="22" t="str">
        <x:v>Other / utility</x:v>
      </x:c>
      <x:c r="T92" s="22" t="str">
        <x:v>Scope only</x:v>
      </x:c>
    </x:row>
    <x:row r="93" ht="48" customHeight="1">
      <x:c r="A93" s="22" t="n">
        <x:v>88</x:v>
      </x:c>
      <x:c r="B93" s="22" t="str">
        <x:v>Monaco Editor</x:v>
      </x:c>
      <x:c r="C93" s="27" t="str">
        <x:v>N/A</x:v>
      </x:c>
      <x:c r="D93" s="22" t="str">
        <x:v>Utility classification</x:v>
      </x:c>
      <x:c r="E93" s="22" t="str">
        <x:v>PRODUCTIVITY</x:v>
      </x:c>
      <x:c r="F93" s="22" t="str">
        <x:v>Editing, analysis or reference utility</x:v>
      </x:c>
      <x:c r="G93" s="22" t="str">
        <x:v>Processing or reference utility, not independent connection evidence. Preserve original inputs and validate important output.</x:v>
      </x:c>
      <x:c r="H93" s="22" t="str">
        <x:v>Use as a utility only; functionality not audited</x:v>
      </x:c>
      <x:c r="I93" s="22" t="str">
        <x:v>Not checked</x:v>
      </x:c>
      <x:c r="J93" s="22" t="str">
        <x:v>Saved bookmark metadata only</x:v>
      </x:c>
      <x:c r="K93" s="22" t="str"/>
      <x:c r="L93" s="24" t="str"/>
      <x:c r="M93" s="24" t="str">
        <x:v>https://microsoft.github.io/monaco-editor/playground.html</x:v>
      </x:c>
      <x:c r="N93" s="22" t="str">
        <x:v>286013975</x:v>
      </x:c>
      <x:c r="O93" s="22" t="n">
        <x:v>996</x:v>
      </x:c>
      <x:c r="P93" s="22" t="n">
        <x:v>30</x:v>
      </x:c>
      <x:c r="Q93" s="22" t="str"/>
      <x:c r="R93" s="22" t="n">
        <x:f>COUNTIF($M$6:$M$1177,M93)</x:f>
        <x:v>1</x:v>
      </x:c>
      <x:c r="S93" s="22" t="str">
        <x:v>Other / utility</x:v>
      </x:c>
      <x:c r="T93" s="22" t="str">
        <x:v>Scope only</x:v>
      </x:c>
    </x:row>
    <x:row r="94" ht="48" customHeight="1">
      <x:c r="A94" s="22" t="n">
        <x:v>89</x:v>
      </x:c>
      <x:c r="B94" s="22" t="str">
        <x:v>Online FlowChart Editor</x:v>
      </x:c>
      <x:c r="C94" s="27" t="str">
        <x:v>N/A</x:v>
      </x:c>
      <x:c r="D94" s="22" t="str">
        <x:v>Utility classification</x:v>
      </x:c>
      <x:c r="E94" s="22" t="str">
        <x:v>PRODUCTIVITY</x:v>
      </x:c>
      <x:c r="F94" s="22" t="str">
        <x:v>Editing, analysis or reference utility</x:v>
      </x:c>
      <x:c r="G94" s="22" t="str">
        <x:v>Processing or reference utility, not independent connection evidence. Preserve original inputs and validate important output.</x:v>
      </x:c>
      <x:c r="H94" s="22" t="str">
        <x:v>Use as a utility only; functionality not audited</x:v>
      </x:c>
      <x:c r="I94" s="22" t="str">
        <x:v>Not checked</x:v>
      </x:c>
      <x:c r="J94" s="22" t="str">
        <x:v>Saved bookmark metadata only</x:v>
      </x:c>
      <x:c r="K94" s="22" t="str"/>
      <x:c r="L94" s="24" t="str"/>
      <x:c r="M94" s="24" t="str">
        <x:v>https://mermaid-js.github.io/mermaid-live-editor/</x:v>
      </x:c>
      <x:c r="N94" s="22" t="str">
        <x:v>286014152</x:v>
      </x:c>
      <x:c r="O94" s="22" t="n">
        <x:v>996</x:v>
      </x:c>
      <x:c r="P94" s="22" t="n">
        <x:v>31</x:v>
      </x:c>
      <x:c r="Q94" s="22" t="str"/>
      <x:c r="R94" s="22" t="n">
        <x:f>COUNTIF($M$6:$M$1177,M94)</x:f>
        <x:v>1</x:v>
      </x:c>
      <x:c r="S94" s="22" t="str">
        <x:v>Other / utility</x:v>
      </x:c>
      <x:c r="T94" s="22" t="str">
        <x:v>Scope only</x:v>
      </x:c>
    </x:row>
    <x:row r="95" ht="48" customHeight="1">
      <x:c r="A95" s="22" t="n">
        <x:v>90</x:v>
      </x:c>
      <x:c r="B95" s="22" t="str">
        <x:v>Markdown Editor</x:v>
      </x:c>
      <x:c r="C95" s="27" t="str">
        <x:v>N/A</x:v>
      </x:c>
      <x:c r="D95" s="22" t="str">
        <x:v>Utility classification</x:v>
      </x:c>
      <x:c r="E95" s="22" t="str">
        <x:v>PRODUCTIVITY</x:v>
      </x:c>
      <x:c r="F95" s="22" t="str">
        <x:v>Editing, analysis or reference utility</x:v>
      </x:c>
      <x:c r="G95" s="22" t="str">
        <x:v>Processing or reference utility, not independent connection evidence. Preserve original inputs and validate important output.</x:v>
      </x:c>
      <x:c r="H95" s="22" t="str">
        <x:v>Use as a utility only; functionality not audited</x:v>
      </x:c>
      <x:c r="I95" s="22" t="str">
        <x:v>Not checked</x:v>
      </x:c>
      <x:c r="J95" s="22" t="str">
        <x:v>Saved bookmark metadata only</x:v>
      </x:c>
      <x:c r="K95" s="22" t="str"/>
      <x:c r="L95" s="24" t="str"/>
      <x:c r="M95" s="24" t="str">
        <x:v>https://markdown-editor.github.io/</x:v>
      </x:c>
      <x:c r="N95" s="22" t="str">
        <x:v>286014615</x:v>
      </x:c>
      <x:c r="O95" s="22" t="n">
        <x:v>997</x:v>
      </x:c>
      <x:c r="P95" s="22" t="n">
        <x:v>32</x:v>
      </x:c>
      <x:c r="Q95" s="22" t="str"/>
      <x:c r="R95" s="22" t="n">
        <x:f>COUNTIF($M$6:$M$1177,M95)</x:f>
        <x:v>1</x:v>
      </x:c>
      <x:c r="S95" s="22" t="str">
        <x:v>Other / utility</x:v>
      </x:c>
      <x:c r="T95" s="22" t="str">
        <x:v>Scope only</x:v>
      </x:c>
    </x:row>
    <x:row r="96" ht="48" customHeight="1">
      <x:c r="A96" s="22" t="n">
        <x:v>91</x:v>
      </x:c>
      <x:c r="B96" s="22" t="str">
        <x:v>SQL Editor</x:v>
      </x:c>
      <x:c r="C96" s="27" t="str">
        <x:v>N/A</x:v>
      </x:c>
      <x:c r="D96" s="22" t="str">
        <x:v>Utility classification</x:v>
      </x:c>
      <x:c r="E96" s="22" t="str">
        <x:v>PRODUCTIVITY</x:v>
      </x:c>
      <x:c r="F96" s="22" t="str">
        <x:v>Editing, analysis or reference utility</x:v>
      </x:c>
      <x:c r="G96" s="22" t="str">
        <x:v>Processing or reference utility, not independent connection evidence. Preserve original inputs and validate important output.</x:v>
      </x:c>
      <x:c r="H96" s="22" t="str">
        <x:v>Use as a utility only; functionality not audited</x:v>
      </x:c>
      <x:c r="I96" s="22" t="str">
        <x:v>Not checked</x:v>
      </x:c>
      <x:c r="J96" s="22" t="str">
        <x:v>Saved bookmark metadata only</x:v>
      </x:c>
      <x:c r="K96" s="22" t="str"/>
      <x:c r="L96" s="24" t="str"/>
      <x:c r="M96" s="24" t="str">
        <x:v>https://www.mycompiler.io/new/sql</x:v>
      </x:c>
      <x:c r="N96" s="22" t="str">
        <x:v>268640332</x:v>
      </x:c>
      <x:c r="O96" s="22" t="n">
        <x:v>997</x:v>
      </x:c>
      <x:c r="P96" s="22" t="n">
        <x:v>33</x:v>
      </x:c>
      <x:c r="Q96" s="22" t="str"/>
      <x:c r="R96" s="22" t="n">
        <x:f>COUNTIF($M$6:$M$1177,M96)</x:f>
        <x:v>1</x:v>
      </x:c>
      <x:c r="S96" s="22" t="str">
        <x:v>Other / utility</x:v>
      </x:c>
      <x:c r="T96" s="22" t="str">
        <x:v>Scope only</x:v>
      </x:c>
    </x:row>
    <x:row r="97" ht="48" customHeight="1">
      <x:c r="A97" s="22" t="n">
        <x:v>92</x:v>
      </x:c>
      <x:c r="B97" s="22" t="str">
        <x:v>SQLite Viewer</x:v>
      </x:c>
      <x:c r="C97" s="27" t="str">
        <x:v>N/A</x:v>
      </x:c>
      <x:c r="D97" s="22" t="str">
        <x:v>Utility classification</x:v>
      </x:c>
      <x:c r="E97" s="22" t="str">
        <x:v>PRODUCTIVITY</x:v>
      </x:c>
      <x:c r="F97" s="22" t="str">
        <x:v>Editing, analysis or reference utility</x:v>
      </x:c>
      <x:c r="G97" s="22" t="str">
        <x:v>Processing or reference utility, not independent connection evidence. Preserve original inputs and validate important output.</x:v>
      </x:c>
      <x:c r="H97" s="22" t="str">
        <x:v>Use as a utility only; functionality not audited</x:v>
      </x:c>
      <x:c r="I97" s="22" t="str">
        <x:v>Not checked</x:v>
      </x:c>
      <x:c r="J97" s="22" t="str">
        <x:v>Saved bookmark metadata only</x:v>
      </x:c>
      <x:c r="K97" s="22" t="str"/>
      <x:c r="L97" s="24" t="str"/>
      <x:c r="M97" s="24" t="str">
        <x:v>https://inloop.github.io/sqlite-viewer/</x:v>
      </x:c>
      <x:c r="N97" s="22" t="str">
        <x:v>286013694</x:v>
      </x:c>
      <x:c r="O97" s="22" t="n">
        <x:v>997</x:v>
      </x:c>
      <x:c r="P97" s="22" t="n">
        <x:v>34</x:v>
      </x:c>
      <x:c r="Q97" s="22" t="str"/>
      <x:c r="R97" s="22" t="n">
        <x:f>COUNTIF($M$6:$M$1177,M97)</x:f>
        <x:v>1</x:v>
      </x:c>
      <x:c r="S97" s="22" t="str">
        <x:v>Other / utility</x:v>
      </x:c>
      <x:c r="T97" s="22" t="str">
        <x:v>Scope only</x:v>
      </x:c>
    </x:row>
    <x:row r="98" ht="48" customHeight="1">
      <x:c r="A98" s="22" t="n">
        <x:v>93</x:v>
      </x:c>
      <x:c r="B98" s="22" t="str">
        <x:v>OCR Text Extractor</x:v>
      </x:c>
      <x:c r="C98" s="27" t="str">
        <x:v>N/A</x:v>
      </x:c>
      <x:c r="D98" s="22" t="str">
        <x:v>Utility classification</x:v>
      </x:c>
      <x:c r="E98" s="22" t="str">
        <x:v>PRODUCTIVITY</x:v>
      </x:c>
      <x:c r="F98" s="22" t="str">
        <x:v>Editing, analysis or reference utility</x:v>
      </x:c>
      <x:c r="G98" s="22" t="str">
        <x:v>Processing or reference utility, not independent connection evidence. Preserve original inputs and validate important output.</x:v>
      </x:c>
      <x:c r="H98" s="22" t="str">
        <x:v>Use as a utility only; functionality not audited</x:v>
      </x:c>
      <x:c r="I98" s="22" t="str">
        <x:v>Not checked</x:v>
      </x:c>
      <x:c r="J98" s="22" t="str">
        <x:v>Saved bookmark metadata only</x:v>
      </x:c>
      <x:c r="K98" s="22" t="str"/>
      <x:c r="L98" s="24" t="str"/>
      <x:c r="M98" s="24" t="str">
        <x:v>https://osint.sh/ocr/</x:v>
      </x:c>
      <x:c r="N98" s="22" t="str">
        <x:v>286695098</x:v>
      </x:c>
      <x:c r="O98" s="22" t="n">
        <x:v>997</x:v>
      </x:c>
      <x:c r="P98" s="22" t="n">
        <x:v>35</x:v>
      </x:c>
      <x:c r="Q98" s="22" t="str"/>
      <x:c r="R98" s="22" t="n">
        <x:f>COUNTIF($M$6:$M$1177,M98)</x:f>
        <x:v>1</x:v>
      </x:c>
      <x:c r="S98" s="22" t="str">
        <x:v>Other / utility</x:v>
      </x:c>
      <x:c r="T98" s="22" t="str">
        <x:v>Scope only</x:v>
      </x:c>
    </x:row>
    <x:row r="99" ht="48" customHeight="1">
      <x:c r="A99" s="22" t="n">
        <x:v>94</x:v>
      </x:c>
      <x:c r="B99" s="22" t="str">
        <x:v>Wetranscriber</x:v>
      </x:c>
      <x:c r="C99" s="27" t="str">
        <x:v>N/A</x:v>
      </x:c>
      <x:c r="D99" s="22" t="str">
        <x:v>Utility classification</x:v>
      </x:c>
      <x:c r="E99" s="22" t="str">
        <x:v>PRODUCTIVITY</x:v>
      </x:c>
      <x:c r="F99" s="22" t="str">
        <x:v>Editing, analysis or reference utility</x:v>
      </x:c>
      <x:c r="G99" s="22" t="str">
        <x:v>Processing or reference utility, not independent connection evidence. Preserve original inputs and validate important output.</x:v>
      </x:c>
      <x:c r="H99" s="22" t="str">
        <x:v>Use as a utility only; functionality not audited</x:v>
      </x:c>
      <x:c r="I99" s="22" t="str">
        <x:v>Not checked</x:v>
      </x:c>
      <x:c r="J99" s="22" t="str">
        <x:v>Saved bookmark metadata only</x:v>
      </x:c>
      <x:c r="K99" s="22" t="str"/>
      <x:c r="L99" s="24" t="str"/>
      <x:c r="M99" s="24" t="str">
        <x:v>https://www.wetranscriber.com/</x:v>
      </x:c>
      <x:c r="N99" s="22" t="str">
        <x:v>286952918</x:v>
      </x:c>
      <x:c r="O99" s="22" t="n">
        <x:v>997</x:v>
      </x:c>
      <x:c r="P99" s="22" t="n">
        <x:v>36</x:v>
      </x:c>
      <x:c r="Q99" s="22" t="str"/>
      <x:c r="R99" s="22" t="n">
        <x:f>COUNTIF($M$6:$M$1177,M99)</x:f>
        <x:v>1</x:v>
      </x:c>
      <x:c r="S99" s="22" t="str">
        <x:v>Other / utility</x:v>
      </x:c>
      <x:c r="T99" s="22" t="str">
        <x:v>Scope only</x:v>
      </x:c>
    </x:row>
    <x:row r="100" ht="48" customHeight="1">
      <x:c r="A100" s="22" t="n">
        <x:v>95</x:v>
      </x:c>
      <x:c r="B100" s="22" t="str">
        <x:v>Tophonetics.com</x:v>
      </x:c>
      <x:c r="C100" s="27" t="str">
        <x:v>N/A</x:v>
      </x:c>
      <x:c r="D100" s="22" t="str">
        <x:v>Utility classification</x:v>
      </x:c>
      <x:c r="E100" s="22" t="str">
        <x:v>PRODUCTIVITY</x:v>
      </x:c>
      <x:c r="F100" s="22" t="str">
        <x:v>Editing, analysis or reference utility</x:v>
      </x:c>
      <x:c r="G100" s="22" t="str">
        <x:v>Processing or reference utility, not independent connection evidence. Preserve original inputs and validate important output.</x:v>
      </x:c>
      <x:c r="H100" s="22" t="str">
        <x:v>Use as a utility only; functionality not audited</x:v>
      </x:c>
      <x:c r="I100" s="22" t="str">
        <x:v>Not checked</x:v>
      </x:c>
      <x:c r="J100" s="22" t="str">
        <x:v>Saved bookmark metadata only</x:v>
      </x:c>
      <x:c r="K100" s="22" t="str"/>
      <x:c r="L100" s="24" t="str"/>
      <x:c r="M100" s="24" t="str">
        <x:v>https://tophonetics.com/</x:v>
      </x:c>
      <x:c r="N100" s="22" t="str">
        <x:v>286952920</x:v>
      </x:c>
      <x:c r="O100" s="22" t="n">
        <x:v>997</x:v>
      </x:c>
      <x:c r="P100" s="22" t="n">
        <x:v>37</x:v>
      </x:c>
      <x:c r="Q100" s="22" t="str"/>
      <x:c r="R100" s="22" t="n">
        <x:f>COUNTIF($M$6:$M$1177,M100)</x:f>
        <x:v>1</x:v>
      </x:c>
      <x:c r="S100" s="22" t="str">
        <x:v>Other / utility</x:v>
      </x:c>
      <x:c r="T100" s="22" t="str">
        <x:v>Scope only</x:v>
      </x:c>
    </x:row>
    <x:row r="101" ht="48" customHeight="1">
      <x:c r="A101" s="22" t="n">
        <x:v>96</x:v>
      </x:c>
      <x:c r="B101" s="22" t="str">
        <x:v>Google Translate</x:v>
      </x:c>
      <x:c r="C101" s="27" t="str">
        <x:v>N/A</x:v>
      </x:c>
      <x:c r="D101" s="22" t="str">
        <x:v>Utility classification</x:v>
      </x:c>
      <x:c r="E101" s="22" t="str">
        <x:v>PRODUCTIVITY</x:v>
      </x:c>
      <x:c r="F101" s="22" t="str">
        <x:v>Editing, analysis or reference utility</x:v>
      </x:c>
      <x:c r="G101" s="22" t="str">
        <x:v>Processing or reference utility, not independent connection evidence. Preserve original inputs and validate important output.</x:v>
      </x:c>
      <x:c r="H101" s="22" t="str">
        <x:v>Use as a utility only; functionality not audited</x:v>
      </x:c>
      <x:c r="I101" s="22" t="str">
        <x:v>Not checked</x:v>
      </x:c>
      <x:c r="J101" s="22" t="str">
        <x:v>Saved bookmark metadata only</x:v>
      </x:c>
      <x:c r="K101" s="22" t="str"/>
      <x:c r="L101" s="24" t="str"/>
      <x:c r="M101" s="24" t="str">
        <x:v>https://translate.google.com/</x:v>
      </x:c>
      <x:c r="N101" s="22" t="str">
        <x:v>286952921</x:v>
      </x:c>
      <x:c r="O101" s="22" t="n">
        <x:v>997</x:v>
      </x:c>
      <x:c r="P101" s="22" t="n">
        <x:v>38</x:v>
      </x:c>
      <x:c r="Q101" s="22" t="str"/>
      <x:c r="R101" s="22" t="n">
        <x:f>COUNTIF($M$6:$M$1177,M101)</x:f>
        <x:v>1</x:v>
      </x:c>
      <x:c r="S101" s="22" t="str">
        <x:v>Other / utility</x:v>
      </x:c>
      <x:c r="T101" s="22" t="str">
        <x:v>Scope only</x:v>
      </x:c>
    </x:row>
    <x:row r="102" ht="48" customHeight="1">
      <x:c r="A102" s="22" t="n">
        <x:v>97</x:v>
      </x:c>
      <x:c r="B102" s="22" t="str">
        <x:v>Multi Translate</x:v>
      </x:c>
      <x:c r="C102" s="27" t="str">
        <x:v>N/A</x:v>
      </x:c>
      <x:c r="D102" s="22" t="str">
        <x:v>Utility classification</x:v>
      </x:c>
      <x:c r="E102" s="22" t="str">
        <x:v>PRODUCTIVITY</x:v>
      </x:c>
      <x:c r="F102" s="22" t="str">
        <x:v>Editing, analysis or reference utility</x:v>
      </x:c>
      <x:c r="G102" s="22" t="str">
        <x:v>Processing or reference utility, not independent connection evidence. Preserve original inputs and validate important output.</x:v>
      </x:c>
      <x:c r="H102" s="22" t="str">
        <x:v>Use as a utility only; functionality not audited</x:v>
      </x:c>
      <x:c r="I102" s="22" t="str">
        <x:v>Not checked</x:v>
      </x:c>
      <x:c r="J102" s="22" t="str">
        <x:v>Saved bookmark metadata only</x:v>
      </x:c>
      <x:c r="K102" s="22" t="str"/>
      <x:c r="L102" s="24" t="str"/>
      <x:c r="M102" s="24" t="str">
        <x:v>https://translate.mix.pink/</x:v>
      </x:c>
      <x:c r="N102" s="22" t="str">
        <x:v>288450331</x:v>
      </x:c>
      <x:c r="O102" s="22" t="n">
        <x:v>997</x:v>
      </x:c>
      <x:c r="P102" s="22" t="n">
        <x:v>39</x:v>
      </x:c>
      <x:c r="Q102" s="22" t="str"/>
      <x:c r="R102" s="22" t="n">
        <x:f>COUNTIF($M$6:$M$1177,M102)</x:f>
        <x:v>1</x:v>
      </x:c>
      <x:c r="S102" s="22" t="str">
        <x:v>Other / utility</x:v>
      </x:c>
      <x:c r="T102" s="22" t="str">
        <x:v>Scope only</x:v>
      </x:c>
    </x:row>
    <x:row r="103" ht="48" customHeight="1">
      <x:c r="A103" s="22" t="n">
        <x:v>98</x:v>
      </x:c>
      <x:c r="B103" s="22" t="str">
        <x:v>Yandex.Translate</x:v>
      </x:c>
      <x:c r="C103" s="27" t="str">
        <x:v>N/A</x:v>
      </x:c>
      <x:c r="D103" s="22" t="str">
        <x:v>Utility classification</x:v>
      </x:c>
      <x:c r="E103" s="22" t="str">
        <x:v>PRODUCTIVITY</x:v>
      </x:c>
      <x:c r="F103" s="22" t="str">
        <x:v>Editing, analysis or reference utility</x:v>
      </x:c>
      <x:c r="G103" s="22" t="str">
        <x:v>Processing or reference utility, not independent connection evidence. Preserve original inputs and validate important output.</x:v>
      </x:c>
      <x:c r="H103" s="22" t="str">
        <x:v>Use as a utility only; functionality not audited</x:v>
      </x:c>
      <x:c r="I103" s="22" t="str">
        <x:v>Not checked</x:v>
      </x:c>
      <x:c r="J103" s="22" t="str">
        <x:v>Saved bookmark metadata only</x:v>
      </x:c>
      <x:c r="K103" s="22" t="str"/>
      <x:c r="L103" s="24" t="str"/>
      <x:c r="M103" s="24" t="str">
        <x:v>https://translate.yandex.com/</x:v>
      </x:c>
      <x:c r="N103" s="22" t="str">
        <x:v>286952922</x:v>
      </x:c>
      <x:c r="O103" s="22" t="n">
        <x:v>997</x:v>
      </x:c>
      <x:c r="P103" s="22" t="n">
        <x:v>40</x:v>
      </x:c>
      <x:c r="Q103" s="22" t="str"/>
      <x:c r="R103" s="22" t="n">
        <x:f>COUNTIF($M$6:$M$1177,M103)</x:f>
        <x:v>1</x:v>
      </x:c>
      <x:c r="S103" s="22" t="str">
        <x:v>Other / utility</x:v>
      </x:c>
      <x:c r="T103" s="22" t="str">
        <x:v>Scope only</x:v>
      </x:c>
    </x:row>
    <x:row r="104" ht="48" customHeight="1">
      <x:c r="A104" s="22" t="n">
        <x:v>99</x:v>
      </x:c>
      <x:c r="B104" s="22" t="str">
        <x:v>Bing Microsoft Translator</x:v>
      </x:c>
      <x:c r="C104" s="27" t="str">
        <x:v>N/A</x:v>
      </x:c>
      <x:c r="D104" s="22" t="str">
        <x:v>Utility classification</x:v>
      </x:c>
      <x:c r="E104" s="22" t="str">
        <x:v>PRODUCTIVITY</x:v>
      </x:c>
      <x:c r="F104" s="22" t="str">
        <x:v>Editing, analysis or reference utility</x:v>
      </x:c>
      <x:c r="G104" s="22" t="str">
        <x:v>Processing or reference utility, not independent connection evidence. Preserve original inputs and validate important output.</x:v>
      </x:c>
      <x:c r="H104" s="22" t="str">
        <x:v>Use as a utility only; functionality not audited</x:v>
      </x:c>
      <x:c r="I104" s="22" t="str">
        <x:v>Not checked</x:v>
      </x:c>
      <x:c r="J104" s="22" t="str">
        <x:v>Saved bookmark metadata only</x:v>
      </x:c>
      <x:c r="K104" s="22" t="str"/>
      <x:c r="L104" s="24" t="str"/>
      <x:c r="M104" s="24" t="str">
        <x:v>https://www.bing.com/translator</x:v>
      </x:c>
      <x:c r="N104" s="22" t="str">
        <x:v>286952968</x:v>
      </x:c>
      <x:c r="O104" s="22" t="n">
        <x:v>997</x:v>
      </x:c>
      <x:c r="P104" s="22" t="n">
        <x:v>41</x:v>
      </x:c>
      <x:c r="Q104" s="22" t="str"/>
      <x:c r="R104" s="22" t="n">
        <x:f>COUNTIF($M$6:$M$1177,M104)</x:f>
        <x:v>1</x:v>
      </x:c>
      <x:c r="S104" s="22" t="str">
        <x:v>Other / utility</x:v>
      </x:c>
      <x:c r="T104" s="22" t="str">
        <x:v>Scope only</x:v>
      </x:c>
    </x:row>
    <x:row r="105" ht="48" customHeight="1">
      <x:c r="A105" s="22" t="n">
        <x:v>100</x:v>
      </x:c>
      <x:c r="B105" s="22" t="str">
        <x:v>Reverso</x:v>
      </x:c>
      <x:c r="C105" s="27" t="str">
        <x:v>N/A</x:v>
      </x:c>
      <x:c r="D105" s="22" t="str">
        <x:v>Utility classification</x:v>
      </x:c>
      <x:c r="E105" s="22" t="str">
        <x:v>PRODUCTIVITY</x:v>
      </x:c>
      <x:c r="F105" s="22" t="str">
        <x:v>Editing, analysis or reference utility</x:v>
      </x:c>
      <x:c r="G105" s="22" t="str">
        <x:v>Processing or reference utility, not independent connection evidence. Preserve original inputs and validate important output.</x:v>
      </x:c>
      <x:c r="H105" s="22" t="str">
        <x:v>Use as a utility only; functionality not audited</x:v>
      </x:c>
      <x:c r="I105" s="22" t="str">
        <x:v>Not checked</x:v>
      </x:c>
      <x:c r="J105" s="22" t="str">
        <x:v>Saved bookmark metadata only</x:v>
      </x:c>
      <x:c r="K105" s="22" t="str"/>
      <x:c r="L105" s="24" t="str"/>
      <x:c r="M105" s="24" t="str">
        <x:v>https://www.reverso.net/text_translation.aspx?lang=EN</x:v>
      </x:c>
      <x:c r="N105" s="22" t="str">
        <x:v>286952969</x:v>
      </x:c>
      <x:c r="O105" s="22" t="n">
        <x:v>997</x:v>
      </x:c>
      <x:c r="P105" s="22" t="n">
        <x:v>42</x:v>
      </x:c>
      <x:c r="Q105" s="22" t="str"/>
      <x:c r="R105" s="22" t="n">
        <x:f>COUNTIF($M$6:$M$1177,M105)</x:f>
        <x:v>1</x:v>
      </x:c>
      <x:c r="S105" s="22" t="str">
        <x:v>Other / utility</x:v>
      </x:c>
      <x:c r="T105" s="22" t="str">
        <x:v>Scope only</x:v>
      </x:c>
    </x:row>
    <x:row r="106" ht="48" customHeight="1">
      <x:c r="A106" s="22" t="n">
        <x:v>101</x:v>
      </x:c>
      <x:c r="B106" s="22" t="str">
        <x:v>Translate</x:v>
      </x:c>
      <x:c r="C106" s="27" t="str">
        <x:v>N/A</x:v>
      </x:c>
      <x:c r="D106" s="22" t="str">
        <x:v>Utility classification</x:v>
      </x:c>
      <x:c r="E106" s="22" t="str">
        <x:v>PRODUCTIVITY</x:v>
      </x:c>
      <x:c r="F106" s="22" t="str">
        <x:v>Editing, analysis or reference utility</x:v>
      </x:c>
      <x:c r="G106" s="22" t="str">
        <x:v>Processing or reference utility, not independent connection evidence. Preserve original inputs and validate important output.</x:v>
      </x:c>
      <x:c r="H106" s="22" t="str">
        <x:v>Use as a utility only; functionality not audited</x:v>
      </x:c>
      <x:c r="I106" s="22" t="str">
        <x:v>Not checked</x:v>
      </x:c>
      <x:c r="J106" s="22" t="str">
        <x:v>Saved bookmark metadata only</x:v>
      </x:c>
      <x:c r="K106" s="22" t="str"/>
      <x:c r="L106" s="24" t="str"/>
      <x:c r="M106" s="24" t="str">
        <x:v>https://www.translatedict.com/</x:v>
      </x:c>
      <x:c r="N106" s="22" t="str">
        <x:v>286952970</x:v>
      </x:c>
      <x:c r="O106" s="22" t="n">
        <x:v>997</x:v>
      </x:c>
      <x:c r="P106" s="22" t="n">
        <x:v>43</x:v>
      </x:c>
      <x:c r="Q106" s="22" t="str"/>
      <x:c r="R106" s="22" t="n">
        <x:f>COUNTIF($M$6:$M$1177,M106)</x:f>
        <x:v>1</x:v>
      </x:c>
      <x:c r="S106" s="22" t="str">
        <x:v>Other / utility</x:v>
      </x:c>
      <x:c r="T106" s="22" t="str">
        <x:v>Scope only</x:v>
      </x:c>
    </x:row>
    <x:row r="107" ht="48" customHeight="1">
      <x:c r="A107" s="22" t="n">
        <x:v>102</x:v>
      </x:c>
      <x:c r="B107" s="22" t="str">
        <x:v>text to speech online</x:v>
      </x:c>
      <x:c r="C107" s="27" t="str">
        <x:v>N/A</x:v>
      </x:c>
      <x:c r="D107" s="22" t="str">
        <x:v>Utility classification</x:v>
      </x:c>
      <x:c r="E107" s="22" t="str">
        <x:v>PRODUCTIVITY</x:v>
      </x:c>
      <x:c r="F107" s="22" t="str">
        <x:v>Editing, analysis or reference utility</x:v>
      </x:c>
      <x:c r="G107" s="22" t="str">
        <x:v>Processing or reference utility, not independent connection evidence. Preserve original inputs and validate important output.</x:v>
      </x:c>
      <x:c r="H107" s="22" t="str">
        <x:v>Use as a utility only; functionality not audited</x:v>
      </x:c>
      <x:c r="I107" s="22" t="str">
        <x:v>Not checked</x:v>
      </x:c>
      <x:c r="J107" s="22" t="str">
        <x:v>Saved bookmark metadata only</x:v>
      </x:c>
      <x:c r="K107" s="22" t="str"/>
      <x:c r="L107" s="24" t="str"/>
      <x:c r="M107" s="24" t="str">
        <x:v>https://www.naturalreaders.com/online/</x:v>
      </x:c>
      <x:c r="N107" s="22" t="str">
        <x:v>286952972</x:v>
      </x:c>
      <x:c r="O107" s="22" t="n">
        <x:v>997</x:v>
      </x:c>
      <x:c r="P107" s="22" t="n">
        <x:v>44</x:v>
      </x:c>
      <x:c r="Q107" s="22" t="str"/>
      <x:c r="R107" s="22" t="n">
        <x:f>COUNTIF($M$6:$M$1177,M107)</x:f>
        <x:v>1</x:v>
      </x:c>
      <x:c r="S107" s="22" t="str">
        <x:v>Other / utility</x:v>
      </x:c>
      <x:c r="T107" s="22" t="str">
        <x:v>Scope only</x:v>
      </x:c>
    </x:row>
    <x:row r="108" ht="48" customHeight="1">
      <x:c r="A108" s="22" t="n">
        <x:v>103</x:v>
      </x:c>
      <x:c r="B108" s="22" t="str">
        <x:v>TTSReader</x:v>
      </x:c>
      <x:c r="C108" s="27" t="str">
        <x:v>N/A</x:v>
      </x:c>
      <x:c r="D108" s="22" t="str">
        <x:v>Utility classification</x:v>
      </x:c>
      <x:c r="E108" s="22" t="str">
        <x:v>PRODUCTIVITY</x:v>
      </x:c>
      <x:c r="F108" s="22" t="str">
        <x:v>Editing, analysis or reference utility</x:v>
      </x:c>
      <x:c r="G108" s="22" t="str">
        <x:v>Processing or reference utility, not independent connection evidence. Preserve original inputs and validate important output.</x:v>
      </x:c>
      <x:c r="H108" s="22" t="str">
        <x:v>Use as a utility only; functionality not audited</x:v>
      </x:c>
      <x:c r="I108" s="22" t="str">
        <x:v>Not checked</x:v>
      </x:c>
      <x:c r="J108" s="22" t="str">
        <x:v>Saved bookmark metadata only</x:v>
      </x:c>
      <x:c r="K108" s="22" t="str"/>
      <x:c r="L108" s="24" t="str"/>
      <x:c r="M108" s="24" t="str">
        <x:v>https://ttsreader.com/</x:v>
      </x:c>
      <x:c r="N108" s="22" t="str">
        <x:v>286953021</x:v>
      </x:c>
      <x:c r="O108" s="22" t="n">
        <x:v>997</x:v>
      </x:c>
      <x:c r="P108" s="22" t="n">
        <x:v>45</x:v>
      </x:c>
      <x:c r="Q108" s="22" t="str"/>
      <x:c r="R108" s="22" t="n">
        <x:f>COUNTIF($M$6:$M$1177,M108)</x:f>
        <x:v>1</x:v>
      </x:c>
      <x:c r="S108" s="22" t="str">
        <x:v>Other / utility</x:v>
      </x:c>
      <x:c r="T108" s="22" t="str">
        <x:v>Scope only</x:v>
      </x:c>
    </x:row>
    <x:row r="109" ht="48" customHeight="1">
      <x:c r="A109" s="22" t="n">
        <x:v>104</x:v>
      </x:c>
      <x:c r="B109" s="22" t="str">
        <x:v>Online Sequencer</x:v>
      </x:c>
      <x:c r="C109" s="27" t="str">
        <x:v>N/A</x:v>
      </x:c>
      <x:c r="D109" s="22" t="str">
        <x:v>Utility classification</x:v>
      </x:c>
      <x:c r="E109" s="22" t="str">
        <x:v>PRODUCTIVITY</x:v>
      </x:c>
      <x:c r="F109" s="22" t="str">
        <x:v>Editing, analysis or reference utility</x:v>
      </x:c>
      <x:c r="G109" s="22" t="str">
        <x:v>Processing or reference utility, not independent connection evidence. Preserve original inputs and validate important output.</x:v>
      </x:c>
      <x:c r="H109" s="22" t="str">
        <x:v>Use as a utility only; functionality not audited</x:v>
      </x:c>
      <x:c r="I109" s="22" t="str">
        <x:v>Not checked</x:v>
      </x:c>
      <x:c r="J109" s="22" t="str">
        <x:v>Saved bookmark metadata only</x:v>
      </x:c>
      <x:c r="K109" s="22" t="str"/>
      <x:c r="L109" s="24" t="str"/>
      <x:c r="M109" s="24" t="str">
        <x:v>https://onlinesequencer.net/</x:v>
      </x:c>
      <x:c r="N109" s="22" t="str">
        <x:v>286952976</x:v>
      </x:c>
      <x:c r="O109" s="22" t="n">
        <x:v>997</x:v>
      </x:c>
      <x:c r="P109" s="22" t="n">
        <x:v>46</x:v>
      </x:c>
      <x:c r="Q109" s="22" t="str"/>
      <x:c r="R109" s="22" t="n">
        <x:f>COUNTIF($M$6:$M$1177,M109)</x:f>
        <x:v>1</x:v>
      </x:c>
      <x:c r="S109" s="22" t="str">
        <x:v>Other / utility</x:v>
      </x:c>
      <x:c r="T109" s="22" t="str">
        <x:v>Scope only</x:v>
      </x:c>
    </x:row>
    <x:row r="110" ht="48" customHeight="1">
      <x:c r="A110" s="22" t="n">
        <x:v>105</x:v>
      </x:c>
      <x:c r="B110" s="22" t="str">
        <x:v>FetchRSS</x:v>
      </x:c>
      <x:c r="C110" s="27" t="str">
        <x:v>N/A</x:v>
      </x:c>
      <x:c r="D110" s="22" t="str">
        <x:v>Utility classification</x:v>
      </x:c>
      <x:c r="E110" s="22" t="str">
        <x:v>PRODUCTIVITY</x:v>
      </x:c>
      <x:c r="F110" s="22" t="str">
        <x:v>Editing, analysis or reference utility</x:v>
      </x:c>
      <x:c r="G110" s="22" t="str">
        <x:v>Processing or reference utility, not independent connection evidence. Preserve original inputs and validate important output.</x:v>
      </x:c>
      <x:c r="H110" s="22" t="str">
        <x:v>Use as a utility only; functionality not audited</x:v>
      </x:c>
      <x:c r="I110" s="22" t="str">
        <x:v>Not checked</x:v>
      </x:c>
      <x:c r="J110" s="22" t="str">
        <x:v>Saved bookmark metadata only</x:v>
      </x:c>
      <x:c r="K110" s="22" t="str"/>
      <x:c r="L110" s="24" t="str"/>
      <x:c r="M110" s="24" t="str">
        <x:v>https://fetchrss.com/</x:v>
      </x:c>
      <x:c r="N110" s="22" t="str">
        <x:v>288431467</x:v>
      </x:c>
      <x:c r="O110" s="22" t="n">
        <x:v>997</x:v>
      </x:c>
      <x:c r="P110" s="22" t="n">
        <x:v>47</x:v>
      </x:c>
      <x:c r="Q110" s="22" t="str"/>
      <x:c r="R110" s="22" t="n">
        <x:f>COUNTIF($M$6:$M$1177,M110)</x:f>
        <x:v>1</x:v>
      </x:c>
      <x:c r="S110" s="22" t="str">
        <x:v>Other / utility</x:v>
      </x:c>
      <x:c r="T110" s="22" t="str">
        <x:v>Scope only</x:v>
      </x:c>
    </x:row>
    <x:row r="111" ht="48" customHeight="1">
      <x:c r="A111" s="22" t="n">
        <x:v>106</x:v>
      </x:c>
      <x:c r="B111" s="22" t="str">
        <x:v>Sci-hub</x:v>
      </x:c>
      <x:c r="C111" s="31" t="str">
        <x:v>U</x:v>
      </x:c>
      <x:c r="D111" s="22" t="str">
        <x:v>Unassessed</x:v>
      </x:c>
      <x:c r="E111" s="22" t="str">
        <x:v>PRODUCTIVITY</x:v>
      </x:c>
      <x:c r="F111" s="22" t="str">
        <x:v>Editing, analysis or reference utility</x:v>
      </x:c>
      <x:c r="G111" s="22" t="str">
        <x:v>No substantive provider review supports a reliability grade for this entry.</x:v>
      </x:c>
      <x:c r="H111" s="22" t="str">
        <x:v>Verify publisher, source and current function before reliance</x:v>
      </x:c>
      <x:c r="I111" s="22" t="str">
        <x:v>Not checked</x:v>
      </x:c>
      <x:c r="J111" s="22" t="str">
        <x:v>Saved bookmark metadata only</x:v>
      </x:c>
      <x:c r="K111" s="22" t="str"/>
      <x:c r="L111" s="24" t="str"/>
      <x:c r="M111" s="24" t="str">
        <x:v>https://sci-hub.st/</x:v>
      </x:c>
      <x:c r="N111" s="22" t="str">
        <x:v>290064217</x:v>
      </x:c>
      <x:c r="O111" s="22" t="n">
        <x:v>997</x:v>
      </x:c>
      <x:c r="P111" s="22" t="n">
        <x:v>48</x:v>
      </x:c>
      <x:c r="Q111" s="22" t="str"/>
      <x:c r="R111" s="22" t="n">
        <x:f>COUNTIF($M$6:$M$1177,M111)</x:f>
        <x:v>1</x:v>
      </x:c>
      <x:c r="S111" s="22" t="str">
        <x:v>Other / utility</x:v>
      </x:c>
      <x:c r="T111" s="22" t="str">
        <x:v>Not established</x:v>
      </x:c>
    </x:row>
    <x:row r="112" ht="48" customHeight="1">
      <x:c r="A112" s="22" t="n">
        <x:v>107</x:v>
      </x:c>
      <x:c r="B112" s="22" t="str">
        <x:v>Libgen.fun</x:v>
      </x:c>
      <x:c r="C112" s="31" t="str">
        <x:v>U</x:v>
      </x:c>
      <x:c r="D112" s="22" t="str">
        <x:v>Unassessed</x:v>
      </x:c>
      <x:c r="E112" s="22" t="str">
        <x:v>PRODUCTIVITY</x:v>
      </x:c>
      <x:c r="F112" s="22" t="str">
        <x:v>Editing, analysis or reference utility</x:v>
      </x:c>
      <x:c r="G112" s="22" t="str">
        <x:v>No substantive provider review supports a reliability grade for this entry.</x:v>
      </x:c>
      <x:c r="H112" s="22" t="str">
        <x:v>Verify publisher, source and current function before reliance</x:v>
      </x:c>
      <x:c r="I112" s="22" t="str">
        <x:v>Not checked</x:v>
      </x:c>
      <x:c r="J112" s="22" t="str">
        <x:v>Saved bookmark metadata only</x:v>
      </x:c>
      <x:c r="K112" s="22" t="str"/>
      <x:c r="L112" s="24" t="str"/>
      <x:c r="M112" s="24" t="str">
        <x:v>https://libgen.fun/</x:v>
      </x:c>
      <x:c r="N112" s="22" t="str">
        <x:v>290064224</x:v>
      </x:c>
      <x:c r="O112" s="22" t="n">
        <x:v>997</x:v>
      </x:c>
      <x:c r="P112" s="22" t="n">
        <x:v>49</x:v>
      </x:c>
      <x:c r="Q112" s="22" t="str"/>
      <x:c r="R112" s="22" t="n">
        <x:f>COUNTIF($M$6:$M$1177,M112)</x:f>
        <x:v>1</x:v>
      </x:c>
      <x:c r="S112" s="22" t="str">
        <x:v>Other / utility</x:v>
      </x:c>
      <x:c r="T112" s="22" t="str">
        <x:v>Not established</x:v>
      </x:c>
    </x:row>
    <x:row r="113" ht="48" customHeight="1">
      <x:c r="A113" s="22" t="n">
        <x:v>108</x:v>
      </x:c>
      <x:c r="B113" s="22" t="str">
        <x:v>Z-lib.org</x:v>
      </x:c>
      <x:c r="C113" s="31" t="str">
        <x:v>U</x:v>
      </x:c>
      <x:c r="D113" s="22" t="str">
        <x:v>Unassessed</x:v>
      </x:c>
      <x:c r="E113" s="22" t="str">
        <x:v>PRODUCTIVITY</x:v>
      </x:c>
      <x:c r="F113" s="22" t="str">
        <x:v>Editing, analysis or reference utility</x:v>
      </x:c>
      <x:c r="G113" s="22" t="str">
        <x:v>No substantive provider review supports a reliability grade for this entry.</x:v>
      </x:c>
      <x:c r="H113" s="22" t="str">
        <x:v>Verify publisher, source and current function before reliance</x:v>
      </x:c>
      <x:c r="I113" s="22" t="str">
        <x:v>Not checked</x:v>
      </x:c>
      <x:c r="J113" s="22" t="str">
        <x:v>Saved bookmark metadata only</x:v>
      </x:c>
      <x:c r="K113" s="22" t="str"/>
      <x:c r="L113" s="24" t="str"/>
      <x:c r="M113" s="24" t="str">
        <x:v>https://z-lib.org/</x:v>
      </x:c>
      <x:c r="N113" s="22" t="str">
        <x:v>290064228</x:v>
      </x:c>
      <x:c r="O113" s="22" t="n">
        <x:v>997</x:v>
      </x:c>
      <x:c r="P113" s="22" t="n">
        <x:v>50</x:v>
      </x:c>
      <x:c r="Q113" s="22" t="str"/>
      <x:c r="R113" s="22" t="n">
        <x:f>COUNTIF($M$6:$M$1177,M113)</x:f>
        <x:v>1</x:v>
      </x:c>
      <x:c r="S113" s="22" t="str">
        <x:v>Other / utility</x:v>
      </x:c>
      <x:c r="T113" s="22" t="str">
        <x:v>Not established</x:v>
      </x:c>
    </x:row>
    <x:row r="114" ht="48" customHeight="1">
      <x:c r="A114" s="22" t="n">
        <x:v>109</x:v>
      </x:c>
      <x:c r="B114" s="22" t="str">
        <x:v>PDF Drive</x:v>
      </x:c>
      <x:c r="C114" s="31" t="str">
        <x:v>U</x:v>
      </x:c>
      <x:c r="D114" s="22" t="str">
        <x:v>Unassessed</x:v>
      </x:c>
      <x:c r="E114" s="22" t="str">
        <x:v>PRODUCTIVITY</x:v>
      </x:c>
      <x:c r="F114" s="22" t="str">
        <x:v>Editing, analysis or reference utility</x:v>
      </x:c>
      <x:c r="G114" s="22" t="str">
        <x:v>No substantive provider review supports a reliability grade for this entry.</x:v>
      </x:c>
      <x:c r="H114" s="22" t="str">
        <x:v>Verify publisher, source and current function before reliance</x:v>
      </x:c>
      <x:c r="I114" s="22" t="str">
        <x:v>Not checked</x:v>
      </x:c>
      <x:c r="J114" s="22" t="str">
        <x:v>Saved bookmark metadata only</x:v>
      </x:c>
      <x:c r="K114" s="22" t="str"/>
      <x:c r="L114" s="24" t="str"/>
      <x:c r="M114" s="24" t="str">
        <x:v>https://www.pdfdrive.com/</x:v>
      </x:c>
      <x:c r="N114" s="22" t="str">
        <x:v>290064302</x:v>
      </x:c>
      <x:c r="O114" s="22" t="n">
        <x:v>997</x:v>
      </x:c>
      <x:c r="P114" s="22" t="n">
        <x:v>51</x:v>
      </x:c>
      <x:c r="Q114" s="22" t="str"/>
      <x:c r="R114" s="22" t="n">
        <x:f>COUNTIF($M$6:$M$1177,M114)</x:f>
        <x:v>1</x:v>
      </x:c>
      <x:c r="S114" s="22" t="str">
        <x:v>Other / utility</x:v>
      </x:c>
      <x:c r="T114" s="22" t="str">
        <x:v>Not established</x:v>
      </x:c>
    </x:row>
    <x:row r="115" ht="48" customHeight="1">
      <x:c r="A115" s="22" t="n">
        <x:v>110</x:v>
      </x:c>
      <x:c r="B115" s="22" t="str">
        <x:v>arXiv.org</x:v>
      </x:c>
      <x:c r="C115" s="31" t="str">
        <x:v>U</x:v>
      </x:c>
      <x:c r="D115" s="22" t="str">
        <x:v>Unassessed</x:v>
      </x:c>
      <x:c r="E115" s="22" t="str">
        <x:v>PRODUCTIVITY</x:v>
      </x:c>
      <x:c r="F115" s="22" t="str">
        <x:v>Editing, analysis or reference utility</x:v>
      </x:c>
      <x:c r="G115" s="22" t="str">
        <x:v>No substantive provider review supports a reliability grade for this entry.</x:v>
      </x:c>
      <x:c r="H115" s="22" t="str">
        <x:v>Verify publisher, source and current function before reliance</x:v>
      </x:c>
      <x:c r="I115" s="22" t="str">
        <x:v>Not checked</x:v>
      </x:c>
      <x:c r="J115" s="22" t="str">
        <x:v>Saved bookmark metadata only</x:v>
      </x:c>
      <x:c r="K115" s="22" t="str"/>
      <x:c r="L115" s="24" t="str"/>
      <x:c r="M115" s="24" t="str">
        <x:v>https://arxiv.org/</x:v>
      </x:c>
      <x:c r="N115" s="22" t="str">
        <x:v>290064377</x:v>
      </x:c>
      <x:c r="O115" s="22" t="n">
        <x:v>997</x:v>
      </x:c>
      <x:c r="P115" s="22" t="n">
        <x:v>52</x:v>
      </x:c>
      <x:c r="Q115" s="22" t="str"/>
      <x:c r="R115" s="22" t="n">
        <x:f>COUNTIF($M$6:$M$1177,M115)</x:f>
        <x:v>1</x:v>
      </x:c>
      <x:c r="S115" s="22" t="str">
        <x:v>Other / utility</x:v>
      </x:c>
      <x:c r="T115" s="22" t="str">
        <x:v>Not established</x:v>
      </x:c>
    </x:row>
    <x:row r="116" ht="48" customHeight="1">
      <x:c r="A116" s="22" t="n">
        <x:v>111</x:v>
      </x:c>
      <x:c r="B116" s="22" t="str">
        <x:v>bioRxiv.org</x:v>
      </x:c>
      <x:c r="C116" s="31" t="str">
        <x:v>U</x:v>
      </x:c>
      <x:c r="D116" s="22" t="str">
        <x:v>Unassessed</x:v>
      </x:c>
      <x:c r="E116" s="22" t="str">
        <x:v>PRODUCTIVITY</x:v>
      </x:c>
      <x:c r="F116" s="22" t="str">
        <x:v>Editing, analysis or reference utility</x:v>
      </x:c>
      <x:c r="G116" s="22" t="str">
        <x:v>No substantive provider review supports a reliability grade for this entry.</x:v>
      </x:c>
      <x:c r="H116" s="22" t="str">
        <x:v>Verify publisher, source and current function before reliance</x:v>
      </x:c>
      <x:c r="I116" s="22" t="str">
        <x:v>Not checked</x:v>
      </x:c>
      <x:c r="J116" s="22" t="str">
        <x:v>Saved bookmark metadata only</x:v>
      </x:c>
      <x:c r="K116" s="22" t="str"/>
      <x:c r="L116" s="24" t="str"/>
      <x:c r="M116" s="24" t="str">
        <x:v>https://www.biorxiv.org/</x:v>
      </x:c>
      <x:c r="N116" s="22" t="str">
        <x:v>290064381</x:v>
      </x:c>
      <x:c r="O116" s="22" t="n">
        <x:v>997</x:v>
      </x:c>
      <x:c r="P116" s="22" t="n">
        <x:v>53</x:v>
      </x:c>
      <x:c r="Q116" s="22" t="str"/>
      <x:c r="R116" s="22" t="n">
        <x:f>COUNTIF($M$6:$M$1177,M116)</x:f>
        <x:v>1</x:v>
      </x:c>
      <x:c r="S116" s="22" t="str">
        <x:v>Other / utility</x:v>
      </x:c>
      <x:c r="T116" s="22" t="str">
        <x:v>Not established</x:v>
      </x:c>
    </x:row>
    <x:row r="117" ht="48" customHeight="1">
      <x:c r="A117" s="22" t="n">
        <x:v>112</x:v>
      </x:c>
      <x:c r="B117" s="22" t="str">
        <x:v>Project Gutenberg</x:v>
      </x:c>
      <x:c r="C117" s="31" t="str">
        <x:v>U</x:v>
      </x:c>
      <x:c r="D117" s="22" t="str">
        <x:v>Unassessed</x:v>
      </x:c>
      <x:c r="E117" s="22" t="str">
        <x:v>PRODUCTIVITY</x:v>
      </x:c>
      <x:c r="F117" s="22" t="str">
        <x:v>Editing, analysis or reference utility</x:v>
      </x:c>
      <x:c r="G117" s="22" t="str">
        <x:v>No substantive provider review supports a reliability grade for this entry.</x:v>
      </x:c>
      <x:c r="H117" s="22" t="str">
        <x:v>Verify publisher, source and current function before reliance</x:v>
      </x:c>
      <x:c r="I117" s="22" t="str">
        <x:v>Not checked</x:v>
      </x:c>
      <x:c r="J117" s="22" t="str">
        <x:v>Saved bookmark metadata only</x:v>
      </x:c>
      <x:c r="K117" s="22" t="str"/>
      <x:c r="L117" s="24" t="str"/>
      <x:c r="M117" s="24" t="str">
        <x:v>https://www.gutenberg.org/</x:v>
      </x:c>
      <x:c r="N117" s="22" t="str">
        <x:v>290064430</x:v>
      </x:c>
      <x:c r="O117" s="22" t="n">
        <x:v>997</x:v>
      </x:c>
      <x:c r="P117" s="22" t="n">
        <x:v>54</x:v>
      </x:c>
      <x:c r="Q117" s="22" t="str"/>
      <x:c r="R117" s="22" t="n">
        <x:f>COUNTIF($M$6:$M$1177,M117)</x:f>
        <x:v>1</x:v>
      </x:c>
      <x:c r="S117" s="22" t="str">
        <x:v>Other / utility</x:v>
      </x:c>
      <x:c r="T117" s="22" t="str">
        <x:v>Not established</x:v>
      </x:c>
    </x:row>
    <x:row r="118" ht="48" customHeight="1">
      <x:c r="A118" s="22" t="n">
        <x:v>113</x:v>
      </x:c>
      <x:c r="B118" s="22" t="str">
        <x:v>Trantor.is</x:v>
      </x:c>
      <x:c r="C118" s="31" t="str">
        <x:v>U</x:v>
      </x:c>
      <x:c r="D118" s="22" t="str">
        <x:v>Unassessed</x:v>
      </x:c>
      <x:c r="E118" s="22" t="str">
        <x:v>PRODUCTIVITY</x:v>
      </x:c>
      <x:c r="F118" s="22" t="str">
        <x:v>Editing, analysis or reference utility</x:v>
      </x:c>
      <x:c r="G118" s="22" t="str">
        <x:v>No substantive provider review supports a reliability grade for this entry.</x:v>
      </x:c>
      <x:c r="H118" s="22" t="str">
        <x:v>Verify publisher, source and current function before reliance</x:v>
      </x:c>
      <x:c r="I118" s="22" t="str">
        <x:v>Not checked</x:v>
      </x:c>
      <x:c r="J118" s="22" t="str">
        <x:v>Saved bookmark metadata only</x:v>
      </x:c>
      <x:c r="K118" s="22" t="str"/>
      <x:c r="L118" s="24" t="str"/>
      <x:c r="M118" s="24" t="str">
        <x:v>https://trantor.is/</x:v>
      </x:c>
      <x:c r="N118" s="22" t="str">
        <x:v>290064436</x:v>
      </x:c>
      <x:c r="O118" s="22" t="n">
        <x:v>997</x:v>
      </x:c>
      <x:c r="P118" s="22" t="n">
        <x:v>55</x:v>
      </x:c>
      <x:c r="Q118" s="22" t="str"/>
      <x:c r="R118" s="22" t="n">
        <x:f>COUNTIF($M$6:$M$1177,M118)</x:f>
        <x:v>1</x:v>
      </x:c>
      <x:c r="S118" s="22" t="str">
        <x:v>Other / utility</x:v>
      </x:c>
      <x:c r="T118" s="22" t="str">
        <x:v>Not established</x:v>
      </x:c>
    </x:row>
    <x:row r="119" ht="48" customHeight="1">
      <x:c r="A119" s="22" t="n">
        <x:v>114</x:v>
      </x:c>
      <x:c r="B119" s="22" t="str">
        <x:v>Shadowlibraries.github.io</x:v>
      </x:c>
      <x:c r="C119" s="31" t="str">
        <x:v>U</x:v>
      </x:c>
      <x:c r="D119" s="22" t="str">
        <x:v>Unassessed</x:v>
      </x:c>
      <x:c r="E119" s="22" t="str">
        <x:v>PRODUCTIVITY</x:v>
      </x:c>
      <x:c r="F119" s="22" t="str">
        <x:v>Editing, analysis or reference utility</x:v>
      </x:c>
      <x:c r="G119" s="22" t="str">
        <x:v>No substantive provider review supports a reliability grade for this entry.</x:v>
      </x:c>
      <x:c r="H119" s="22" t="str">
        <x:v>Verify publisher, source and current function before reliance</x:v>
      </x:c>
      <x:c r="I119" s="22" t="str">
        <x:v>Not checked</x:v>
      </x:c>
      <x:c r="J119" s="22" t="str">
        <x:v>Saved bookmark metadata only</x:v>
      </x:c>
      <x:c r="K119" s="22" t="str"/>
      <x:c r="L119" s="24" t="str"/>
      <x:c r="M119" s="24" t="str">
        <x:v>https://shadowlibraries.github.io/</x:v>
      </x:c>
      <x:c r="N119" s="22" t="str">
        <x:v>290064483</x:v>
      </x:c>
      <x:c r="O119" s="22" t="n">
        <x:v>997</x:v>
      </x:c>
      <x:c r="P119" s="22" t="n">
        <x:v>56</x:v>
      </x:c>
      <x:c r="Q119" s="22" t="str"/>
      <x:c r="R119" s="22" t="n">
        <x:f>COUNTIF($M$6:$M$1177,M119)</x:f>
        <x:v>1</x:v>
      </x:c>
      <x:c r="S119" s="22" t="str">
        <x:v>Other / utility</x:v>
      </x:c>
      <x:c r="T119" s="22" t="str">
        <x:v>Not established</x:v>
      </x:c>
    </x:row>
    <x:row r="120" ht="48" customHeight="1">
      <x:c r="A120" s="22" t="n">
        <x:v>115</x:v>
      </x:c>
      <x:c r="B120" s="22" t="str">
        <x:v>Editor.typely.com</x:v>
      </x:c>
      <x:c r="C120" s="31" t="str">
        <x:v>U</x:v>
      </x:c>
      <x:c r="D120" s="22" t="str">
        <x:v>Unassessed</x:v>
      </x:c>
      <x:c r="E120" s="22" t="str">
        <x:v>PRODUCTIVITY</x:v>
      </x:c>
      <x:c r="F120" s="22" t="str">
        <x:v>Editing, analysis or reference utility</x:v>
      </x:c>
      <x:c r="G120" s="22" t="str">
        <x:v>No substantive provider review supports a reliability grade for this entry.</x:v>
      </x:c>
      <x:c r="H120" s="22" t="str">
        <x:v>Verify publisher, source and current function before reliance</x:v>
      </x:c>
      <x:c r="I120" s="22" t="str">
        <x:v>Not checked</x:v>
      </x:c>
      <x:c r="J120" s="22" t="str">
        <x:v>Saved bookmark metadata only</x:v>
      </x:c>
      <x:c r="K120" s="22" t="str"/>
      <x:c r="L120" s="24" t="str"/>
      <x:c r="M120" s="24" t="str">
        <x:v>https://editor.typely.com/</x:v>
      </x:c>
      <x:c r="N120" s="22" t="str">
        <x:v>297339727</x:v>
      </x:c>
      <x:c r="O120" s="22" t="n">
        <x:v>997</x:v>
      </x:c>
      <x:c r="P120" s="22" t="n">
        <x:v>57</x:v>
      </x:c>
      <x:c r="Q120" s="22" t="str"/>
      <x:c r="R120" s="22" t="n">
        <x:f>COUNTIF($M$6:$M$1177,M120)</x:f>
        <x:v>1</x:v>
      </x:c>
      <x:c r="S120" s="22" t="str">
        <x:v>Other / utility</x:v>
      </x:c>
      <x:c r="T120" s="22" t="str">
        <x:v>Not established</x:v>
      </x:c>
    </x:row>
    <x:row r="121" ht="48" customHeight="1">
      <x:c r="A121" s="22" t="n">
        <x:v>116</x:v>
      </x:c>
      <x:c r="B121" s="22" t="str">
        <x:v>MEGA</x:v>
      </x:c>
      <x:c r="C121" s="27" t="str">
        <x:v>N/A</x:v>
      </x:c>
      <x:c r="D121" s="22" t="str">
        <x:v>Utility classification</x:v>
      </x:c>
      <x:c r="E121" s="22" t="str">
        <x:v>FILE UPLOAD</x:v>
      </x:c>
      <x:c r="F121" s="22" t="str">
        <x:v>File transfer / hosting utility</x:v>
      </x:c>
      <x:c r="G121" s="22" t="str">
        <x:v>Hosting does not authenticate file contents. Review access, retention and disclosure settings before using sensitive material.</x:v>
      </x:c>
      <x:c r="H121" s="22" t="str">
        <x:v>Use as a utility only; functionality not audited</x:v>
      </x:c>
      <x:c r="I121" s="22" t="str">
        <x:v>Not checked</x:v>
      </x:c>
      <x:c r="J121" s="22" t="str">
        <x:v>Saved bookmark metadata only</x:v>
      </x:c>
      <x:c r="K121" s="22" t="str"/>
      <x:c r="L121" s="24" t="str"/>
      <x:c r="M121" s="24" t="str">
        <x:v>https://mega.io/</x:v>
      </x:c>
      <x:c r="N121" s="22" t="str">
        <x:v>297339623</x:v>
      </x:c>
      <x:c r="O121" s="22" t="n">
        <x:v>997</x:v>
      </x:c>
      <x:c r="P121" s="22" t="n">
        <x:v>1</x:v>
      </x:c>
      <x:c r="Q121" s="22" t="str"/>
      <x:c r="R121" s="22" t="n">
        <x:f>COUNTIF($M$6:$M$1177,M121)</x:f>
        <x:v>1</x:v>
      </x:c>
      <x:c r="S121" s="22" t="str">
        <x:v>Other / utility</x:v>
      </x:c>
      <x:c r="T121" s="22" t="str">
        <x:v>Scope only</x:v>
      </x:c>
    </x:row>
    <x:row r="122" ht="48" customHeight="1">
      <x:c r="A122" s="22" t="n">
        <x:v>117</x:v>
      </x:c>
      <x:c r="B122" s="22" t="str">
        <x:v>transfer.sh</x:v>
      </x:c>
      <x:c r="C122" s="27" t="str">
        <x:v>N/A</x:v>
      </x:c>
      <x:c r="D122" s="22" t="str">
        <x:v>Utility classification</x:v>
      </x:c>
      <x:c r="E122" s="22" t="str">
        <x:v>FILE UPLOAD</x:v>
      </x:c>
      <x:c r="F122" s="22" t="str">
        <x:v>File transfer / hosting utility</x:v>
      </x:c>
      <x:c r="G122" s="22" t="str">
        <x:v>Hosting does not authenticate file contents. Review access, retention and disclosure settings before using sensitive material.</x:v>
      </x:c>
      <x:c r="H122" s="22" t="str">
        <x:v>Use as a utility only; functionality not audited</x:v>
      </x:c>
      <x:c r="I122" s="22" t="str">
        <x:v>Not checked</x:v>
      </x:c>
      <x:c r="J122" s="22" t="str">
        <x:v>Saved bookmark metadata only</x:v>
      </x:c>
      <x:c r="K122" s="22" t="str"/>
      <x:c r="L122" s="24" t="str"/>
      <x:c r="M122" s="24" t="str">
        <x:v>https://transfer.sh/</x:v>
      </x:c>
      <x:c r="N122" s="22" t="str">
        <x:v>304995494</x:v>
      </x:c>
      <x:c r="O122" s="22" t="n">
        <x:v>997</x:v>
      </x:c>
      <x:c r="P122" s="22" t="n">
        <x:v>2</x:v>
      </x:c>
      <x:c r="Q122" s="22" t="str"/>
      <x:c r="R122" s="22" t="n">
        <x:f>COUNTIF($M$6:$M$1177,M122)</x:f>
        <x:v>1</x:v>
      </x:c>
      <x:c r="S122" s="22" t="str">
        <x:v>Other / utility</x:v>
      </x:c>
      <x:c r="T122" s="22" t="str">
        <x:v>Scope only</x:v>
      </x:c>
    </x:row>
    <x:row r="123" ht="48" customHeight="1">
      <x:c r="A123" s="22" t="n">
        <x:v>118</x:v>
      </x:c>
      <x:c r="B123" s="22" t="str">
        <x:v>Send</x:v>
      </x:c>
      <x:c r="C123" s="27" t="str">
        <x:v>N/A</x:v>
      </x:c>
      <x:c r="D123" s="22" t="str">
        <x:v>Utility classification</x:v>
      </x:c>
      <x:c r="E123" s="22" t="str">
        <x:v>FILE UPLOAD</x:v>
      </x:c>
      <x:c r="F123" s="22" t="str">
        <x:v>File transfer / hosting utility</x:v>
      </x:c>
      <x:c r="G123" s="22" t="str">
        <x:v>Hosting does not authenticate file contents. Review access, retention and disclosure settings before using sensitive material.</x:v>
      </x:c>
      <x:c r="H123" s="22" t="str">
        <x:v>Use as a utility only; functionality not audited</x:v>
      </x:c>
      <x:c r="I123" s="22" t="str">
        <x:v>Not checked</x:v>
      </x:c>
      <x:c r="J123" s="22" t="str">
        <x:v>Saved bookmark metadata only</x:v>
      </x:c>
      <x:c r="K123" s="22" t="str"/>
      <x:c r="L123" s="24" t="str"/>
      <x:c r="M123" s="24" t="str">
        <x:v>https://send.actionsack.com/</x:v>
      </x:c>
      <x:c r="N123" s="22" t="str">
        <x:v>304994983</x:v>
      </x:c>
      <x:c r="O123" s="22" t="n">
        <x:v>997</x:v>
      </x:c>
      <x:c r="P123" s="22" t="n">
        <x:v>3</x:v>
      </x:c>
      <x:c r="Q123" s="22" t="str"/>
      <x:c r="R123" s="22" t="n">
        <x:f>COUNTIF($M$6:$M$1177,M123)</x:f>
        <x:v>1</x:v>
      </x:c>
      <x:c r="S123" s="22" t="str">
        <x:v>Other / utility</x:v>
      </x:c>
      <x:c r="T123" s="22" t="str">
        <x:v>Scope only</x:v>
      </x:c>
    </x:row>
    <x:row r="124" ht="48" customHeight="1">
      <x:c r="A124" s="22" t="n">
        <x:v>119</x:v>
      </x:c>
      <x:c r="B124" s="22" t="str">
        <x:v>Keep.sh</x:v>
      </x:c>
      <x:c r="C124" s="27" t="str">
        <x:v>N/A</x:v>
      </x:c>
      <x:c r="D124" s="22" t="str">
        <x:v>Utility classification</x:v>
      </x:c>
      <x:c r="E124" s="22" t="str">
        <x:v>FILE UPLOAD</x:v>
      </x:c>
      <x:c r="F124" s="22" t="str">
        <x:v>File transfer / hosting utility</x:v>
      </x:c>
      <x:c r="G124" s="22" t="str">
        <x:v>Hosting does not authenticate file contents. Review access, retention and disclosure settings before using sensitive material.</x:v>
      </x:c>
      <x:c r="H124" s="22" t="str">
        <x:v>Use as a utility only; functionality not audited</x:v>
      </x:c>
      <x:c r="I124" s="22" t="str">
        <x:v>Not checked</x:v>
      </x:c>
      <x:c r="J124" s="22" t="str">
        <x:v>Saved bookmark metadata only</x:v>
      </x:c>
      <x:c r="K124" s="22" t="str"/>
      <x:c r="L124" s="24" t="str"/>
      <x:c r="M124" s="24" t="str">
        <x:v>https://keep.sh/</x:v>
      </x:c>
      <x:c r="N124" s="22" t="str">
        <x:v>318660363</x:v>
      </x:c>
      <x:c r="O124" s="22" t="n">
        <x:v>997</x:v>
      </x:c>
      <x:c r="P124" s="22" t="n">
        <x:v>4</x:v>
      </x:c>
      <x:c r="Q124" s="22" t="str"/>
      <x:c r="R124" s="22" t="n">
        <x:f>COUNTIF($M$6:$M$1177,M124)</x:f>
        <x:v>1</x:v>
      </x:c>
      <x:c r="S124" s="22" t="str">
        <x:v>Other / utility</x:v>
      </x:c>
      <x:c r="T124" s="22" t="str">
        <x:v>Scope only</x:v>
      </x:c>
    </x:row>
    <x:row r="125" ht="48" customHeight="1">
      <x:c r="A125" s="22" t="n">
        <x:v>120</x:v>
      </x:c>
      <x:c r="B125" s="22" t="str">
        <x:v>Upload | Disroot</x:v>
      </x:c>
      <x:c r="C125" s="27" t="str">
        <x:v>N/A</x:v>
      </x:c>
      <x:c r="D125" s="22" t="str">
        <x:v>Utility classification</x:v>
      </x:c>
      <x:c r="E125" s="22" t="str">
        <x:v>FILE UPLOAD</x:v>
      </x:c>
      <x:c r="F125" s="22" t="str">
        <x:v>File transfer / hosting utility</x:v>
      </x:c>
      <x:c r="G125" s="22" t="str">
        <x:v>Hosting does not authenticate file contents. Review access, retention and disclosure settings before using sensitive material.</x:v>
      </x:c>
      <x:c r="H125" s="22" t="str">
        <x:v>Use as a utility only; functionality not audited</x:v>
      </x:c>
      <x:c r="I125" s="22" t="str">
        <x:v>Not checked</x:v>
      </x:c>
      <x:c r="J125" s="22" t="str">
        <x:v>Saved bookmark metadata only</x:v>
      </x:c>
      <x:c r="K125" s="22" t="str"/>
      <x:c r="L125" s="24" t="str"/>
      <x:c r="M125" s="24" t="str">
        <x:v>https://disroot.org/en/services/upload</x:v>
      </x:c>
      <x:c r="N125" s="22" t="str">
        <x:v>268402250</x:v>
      </x:c>
      <x:c r="O125" s="22" t="n">
        <x:v>997</x:v>
      </x:c>
      <x:c r="P125" s="22" t="n">
        <x:v>5</x:v>
      </x:c>
      <x:c r="Q125" s="22" t="str"/>
      <x:c r="R125" s="22" t="n">
        <x:f>COUNTIF($M$6:$M$1177,M125)</x:f>
        <x:v>1</x:v>
      </x:c>
      <x:c r="S125" s="22" t="str">
        <x:v>Other / utility</x:v>
      </x:c>
      <x:c r="T125" s="22" t="str">
        <x:v>Scope only</x:v>
      </x:c>
    </x:row>
    <x:row r="126" ht="48" customHeight="1">
      <x:c r="A126" s="22" t="n">
        <x:v>121</x:v>
      </x:c>
      <x:c r="B126" s="22" t="str">
        <x:v>BlackHole</x:v>
      </x:c>
      <x:c r="C126" s="27" t="str">
        <x:v>N/A</x:v>
      </x:c>
      <x:c r="D126" s="22" t="str">
        <x:v>Utility classification</x:v>
      </x:c>
      <x:c r="E126" s="22" t="str">
        <x:v>FILE UPLOAD</x:v>
      </x:c>
      <x:c r="F126" s="22" t="str">
        <x:v>File transfer / hosting utility</x:v>
      </x:c>
      <x:c r="G126" s="22" t="str">
        <x:v>Hosting does not authenticate file contents. Review access, retention and disclosure settings before using sensitive material.</x:v>
      </x:c>
      <x:c r="H126" s="22" t="str">
        <x:v>Use as a utility only; functionality not audited</x:v>
      </x:c>
      <x:c r="I126" s="22" t="str">
        <x:v>Not checked</x:v>
      </x:c>
      <x:c r="J126" s="22" t="str">
        <x:v>Saved bookmark metadata only</x:v>
      </x:c>
      <x:c r="K126" s="22" t="str"/>
      <x:c r="L126" s="24" t="str"/>
      <x:c r="M126" s="24" t="str">
        <x:v>https://blackhole.run/</x:v>
      </x:c>
      <x:c r="N126" s="22" t="str">
        <x:v>297339626</x:v>
      </x:c>
      <x:c r="O126" s="22" t="n">
        <x:v>997</x:v>
      </x:c>
      <x:c r="P126" s="22" t="n">
        <x:v>6</x:v>
      </x:c>
      <x:c r="Q126" s="22" t="str"/>
      <x:c r="R126" s="22" t="n">
        <x:f>COUNTIF($M$6:$M$1177,M126)</x:f>
        <x:v>1</x:v>
      </x:c>
      <x:c r="S126" s="22" t="str">
        <x:v>Other / utility</x:v>
      </x:c>
      <x:c r="T126" s="22" t="str">
        <x:v>Scope only</x:v>
      </x:c>
    </x:row>
    <x:row r="127" ht="54" customHeight="1">
      <x:c r="A127" s="22" t="n">
        <x:v>122</x:v>
      </x:c>
      <x:c r="B127" s="22" t="str">
        <x:v>CyberChef</x:v>
      </x:c>
      <x:c r="C127" s="27" t="str">
        <x:v>N/A</x:v>
      </x:c>
      <x:c r="D127" s="22" t="str">
        <x:v>Documented</x:v>
      </x:c>
      <x:c r="E127" s="22" t="str">
        <x:v>TOOLSET</x:v>
      </x:c>
      <x:c r="F127" s="22" t="str">
        <x:v>Data transformation utility</x:v>
      </x:c>
      <x:c r="G127" s="22" t="str">
        <x:v>Documented parsing and transformation tool, not an external evidence source. Keep original bytes and record the exact recipe; some operations make network requests.</x:v>
      </x:c>
      <x:c r="H127" s="22" t="str">
        <x:v>Preserve input and recipe; validate critical output</x:v>
      </x:c>
      <x:c r="I127" s="22" t="str">
        <x:v>Interface and help readable; operations not run</x:v>
      </x:c>
      <x:c r="J127" s="22" t="str">
        <x:v>Maintainer documentation</x:v>
      </x:c>
      <x:c r="K127" s="22" t="str">
        <x:v>S072</x:v>
      </x:c>
      <x:c r="L127" s="24" t="str">
        <x:v>https://gchq.github.io/CyberChef/</x:v>
      </x:c>
      <x:c r="M127" s="24" t="str">
        <x:v>https://gchq.github.io/CyberChef/</x:v>
      </x:c>
      <x:c r="N127" s="22" t="str">
        <x:v>268637085</x:v>
      </x:c>
      <x:c r="O127" s="22" t="n">
        <x:v>997</x:v>
      </x:c>
      <x:c r="P127" s="22" t="n">
        <x:v>1</x:v>
      </x:c>
      <x:c r="Q127" s="22" t="str">
        <x:v>2026-09-15</x:v>
      </x:c>
      <x:c r="R127" s="22" t="n">
        <x:f>COUNTIF($M$6:$M$1177,M127)</x:f>
        <x:v>1</x:v>
      </x:c>
      <x:c r="S127" s="22" t="str">
        <x:v>Other / utility</x:v>
      </x:c>
      <x:c r="T127" s="22" t="str">
        <x:v>Scoped desk assessment</x:v>
      </x:c>
    </x:row>
    <x:row r="128" ht="48" customHeight="1">
      <x:c r="A128" s="22" t="n">
        <x:v>123</x:v>
      </x:c>
      <x:c r="B128" s="22" t="str">
        <x:v>mitaka</x:v>
      </x:c>
      <x:c r="C128" s="27" t="str">
        <x:v>N/A</x:v>
      </x:c>
      <x:c r="D128" s="22" t="str">
        <x:v>Utility classification</x:v>
      </x:c>
      <x:c r="E128" s="22" t="str">
        <x:v>TOOLSET</x:v>
      </x:c>
      <x:c r="F128" s="22" t="str">
        <x:v>Data processing / analysis utility</x:v>
      </x:c>
      <x:c r="G128" s="22" t="str">
        <x:v>Processing or reference utility, not independent connection evidence. Preserve original inputs and validate important output.</x:v>
      </x:c>
      <x:c r="H128" s="22" t="str">
        <x:v>Use as a utility only; functionality not audited</x:v>
      </x:c>
      <x:c r="I128" s="22" t="str">
        <x:v>Not checked</x:v>
      </x:c>
      <x:c r="J128" s="22" t="str">
        <x:v>Saved bookmark metadata only</x:v>
      </x:c>
      <x:c r="K128" s="22" t="str"/>
      <x:c r="L128" s="24" t="str"/>
      <x:c r="M128" s="24" t="str">
        <x:v>https://github.com/ninoseki/mitaka</x:v>
      </x:c>
      <x:c r="N128" s="22" t="str">
        <x:v>289970276</x:v>
      </x:c>
      <x:c r="O128" s="22" t="n">
        <x:v>997</x:v>
      </x:c>
      <x:c r="P128" s="22" t="n">
        <x:v>2</x:v>
      </x:c>
      <x:c r="Q128" s="22" t="str"/>
      <x:c r="R128" s="22" t="n">
        <x:f>COUNTIF($M$6:$M$1177,M128)</x:f>
        <x:v>1</x:v>
      </x:c>
      <x:c r="S128" s="22" t="str">
        <x:v>Other / utility</x:v>
      </x:c>
      <x:c r="T128" s="22" t="str">
        <x:v>Scope only</x:v>
      </x:c>
    </x:row>
    <x:row r="129" ht="48" customHeight="1">
      <x:c r="A129" s="22" t="n">
        <x:v>124</x:v>
      </x:c>
      <x:c r="B129" s="22" t="str">
        <x:v>Frack</x:v>
      </x:c>
      <x:c r="C129" s="27" t="str">
        <x:v>N/A</x:v>
      </x:c>
      <x:c r="D129" s="22" t="str">
        <x:v>Utility classification</x:v>
      </x:c>
      <x:c r="E129" s="22" t="str">
        <x:v>TOOLSET</x:v>
      </x:c>
      <x:c r="F129" s="22" t="str">
        <x:v>Data processing / analysis utility</x:v>
      </x:c>
      <x:c r="G129" s="22" t="str">
        <x:v>Processing or reference utility, not independent connection evidence. Preserve original inputs and validate important output.</x:v>
      </x:c>
      <x:c r="H129" s="22" t="str">
        <x:v>Use as a utility only; functionality not audited</x:v>
      </x:c>
      <x:c r="I129" s="22" t="str">
        <x:v>Not checked</x:v>
      </x:c>
      <x:c r="J129" s="22" t="str">
        <x:v>Saved bookmark metadata only</x:v>
      </x:c>
      <x:c r="K129" s="22" t="str"/>
      <x:c r="L129" s="24" t="str"/>
      <x:c r="M129" s="24" t="str">
        <x:v>https://github.com/sensepost/Frack</x:v>
      </x:c>
      <x:c r="N129" s="22" t="str">
        <x:v>309551540</x:v>
      </x:c>
      <x:c r="O129" s="22" t="n">
        <x:v>997</x:v>
      </x:c>
      <x:c r="P129" s="22" t="n">
        <x:v>3</x:v>
      </x:c>
      <x:c r="Q129" s="22" t="str"/>
      <x:c r="R129" s="22" t="n">
        <x:f>COUNTIF($M$6:$M$1177,M129)</x:f>
        <x:v>1</x:v>
      </x:c>
      <x:c r="S129" s="22" t="str">
        <x:v>Other / utility</x:v>
      </x:c>
      <x:c r="T129" s="22" t="str">
        <x:v>Scope only</x:v>
      </x:c>
    </x:row>
    <x:row r="130" ht="48" customHeight="1">
      <x:c r="A130" s="22" t="n">
        <x:v>125</x:v>
      </x:c>
      <x:c r="B130" s="22" t="str">
        <x:v>pywhat</x:v>
      </x:c>
      <x:c r="C130" s="27" t="str">
        <x:v>N/A</x:v>
      </x:c>
      <x:c r="D130" s="22" t="str">
        <x:v>Utility classification</x:v>
      </x:c>
      <x:c r="E130" s="22" t="str">
        <x:v>TOOLSET</x:v>
      </x:c>
      <x:c r="F130" s="22" t="str">
        <x:v>Data processing / analysis utility</x:v>
      </x:c>
      <x:c r="G130" s="22" t="str">
        <x:v>Processing or reference utility, not independent connection evidence. Preserve original inputs and validate important output.</x:v>
      </x:c>
      <x:c r="H130" s="22" t="str">
        <x:v>Use as a utility only; functionality not audited</x:v>
      </x:c>
      <x:c r="I130" s="22" t="str">
        <x:v>Not checked</x:v>
      </x:c>
      <x:c r="J130" s="22" t="str">
        <x:v>Saved bookmark metadata only</x:v>
      </x:c>
      <x:c r="K130" s="22" t="str"/>
      <x:c r="L130" s="24" t="str"/>
      <x:c r="M130" s="24" t="str">
        <x:v>https://pypi.org/project/pywhat/</x:v>
      </x:c>
      <x:c r="N130" s="22" t="str">
        <x:v>286013108</x:v>
      </x:c>
      <x:c r="O130" s="22" t="n">
        <x:v>998</x:v>
      </x:c>
      <x:c r="P130" s="22" t="n">
        <x:v>4</x:v>
      </x:c>
      <x:c r="Q130" s="22" t="str"/>
      <x:c r="R130" s="22" t="n">
        <x:f>COUNTIF($M$6:$M$1177,M130)</x:f>
        <x:v>1</x:v>
      </x:c>
      <x:c r="S130" s="22" t="str">
        <x:v>Other / utility</x:v>
      </x:c>
      <x:c r="T130" s="22" t="str">
        <x:v>Scope only</x:v>
      </x:c>
    </x:row>
    <x:row r="131" ht="48" customHeight="1">
      <x:c r="A131" s="22" t="n">
        <x:v>126</x:v>
      </x:c>
      <x:c r="B131" s="22" t="str">
        <x:v>theHarvester</x:v>
      </x:c>
      <x:c r="C131" s="31" t="str">
        <x:v>U</x:v>
      </x:c>
      <x:c r="D131" s="22" t="str">
        <x:v>Unassessed</x:v>
      </x:c>
      <x:c r="E131" s="22" t="str">
        <x:v>TOOLSET</x:v>
      </x:c>
      <x:c r="F131" s="22" t="str">
        <x:v>Data processing / analysis utility</x:v>
      </x:c>
      <x:c r="G131" s="22" t="str">
        <x:v>No substantive provider review supports a reliability grade for this entry.</x:v>
      </x:c>
      <x:c r="H131" s="22" t="str">
        <x:v>Verify publisher, source and current function before reliance</x:v>
      </x:c>
      <x:c r="I131" s="22" t="str">
        <x:v>Not checked</x:v>
      </x:c>
      <x:c r="J131" s="22" t="str">
        <x:v>Saved bookmark metadata only</x:v>
      </x:c>
      <x:c r="K131" s="22" t="str"/>
      <x:c r="L131" s="24" t="str"/>
      <x:c r="M131" s="24" t="str">
        <x:v>https://pypi.org/project/theHarvester/</x:v>
      </x:c>
      <x:c r="N131" s="22" t="str">
        <x:v>268399076</x:v>
      </x:c>
      <x:c r="O131" s="22" t="n">
        <x:v>998</x:v>
      </x:c>
      <x:c r="P131" s="22" t="n">
        <x:v>5</x:v>
      </x:c>
      <x:c r="Q131" s="22" t="str"/>
      <x:c r="R131" s="22" t="n">
        <x:f>COUNTIF($M$6:$M$1177,M131)</x:f>
        <x:v>2</x:v>
      </x:c>
      <x:c r="S131" s="22" t="str">
        <x:v>Other / utility</x:v>
      </x:c>
      <x:c r="T131" s="22" t="str">
        <x:v>Not established</x:v>
      </x:c>
    </x:row>
    <x:row r="132" ht="48" customHeight="1">
      <x:c r="A132" s="22" t="n">
        <x:v>127</x:v>
      </x:c>
      <x:c r="B132" s="22" t="str">
        <x:v>Online Tools</x:v>
      </x:c>
      <x:c r="C132" s="27" t="str">
        <x:v>N/A</x:v>
      </x:c>
      <x:c r="D132" s="22" t="str">
        <x:v>Utility classification</x:v>
      </x:c>
      <x:c r="E132" s="22" t="str">
        <x:v>TOOLSET</x:v>
      </x:c>
      <x:c r="F132" s="22" t="str">
        <x:v>Data processing / analysis utility</x:v>
      </x:c>
      <x:c r="G132" s="22" t="str">
        <x:v>Processing or reference utility, not independent connection evidence. Preserve original inputs and validate important output.</x:v>
      </x:c>
      <x:c r="H132" s="22" t="str">
        <x:v>Use as a utility only; functionality not audited</x:v>
      </x:c>
      <x:c r="I132" s="22" t="str">
        <x:v>Not checked</x:v>
      </x:c>
      <x:c r="J132" s="22" t="str">
        <x:v>Saved bookmark metadata only</x:v>
      </x:c>
      <x:c r="K132" s="22" t="str"/>
      <x:c r="L132" s="24" t="str"/>
      <x:c r="M132" s="24" t="str">
        <x:v>https://emn178.github.io/online-tools/</x:v>
      </x:c>
      <x:c r="N132" s="22" t="str">
        <x:v>268640690</x:v>
      </x:c>
      <x:c r="O132" s="22" t="n">
        <x:v>1001</x:v>
      </x:c>
      <x:c r="P132" s="22" t="n">
        <x:v>6</x:v>
      </x:c>
      <x:c r="Q132" s="22" t="str"/>
      <x:c r="R132" s="22" t="n">
        <x:f>COUNTIF($M$6:$M$1177,M132)</x:f>
        <x:v>1</x:v>
      </x:c>
      <x:c r="S132" s="22" t="str">
        <x:v>Other / utility</x:v>
      </x:c>
      <x:c r="T132" s="22" t="str">
        <x:v>Scope only</x:v>
      </x:c>
    </x:row>
    <x:row r="133" ht="48" customHeight="1">
      <x:c r="A133" s="22" t="n">
        <x:v>128</x:v>
      </x:c>
      <x:c r="B133" s="22" t="str">
        <x:v>Graphviz Online</x:v>
      </x:c>
      <x:c r="C133" s="27" t="str">
        <x:v>N/A</x:v>
      </x:c>
      <x:c r="D133" s="22" t="str">
        <x:v>Utility classification</x:v>
      </x:c>
      <x:c r="E133" s="22" t="str">
        <x:v>TOOLSET</x:v>
      </x:c>
      <x:c r="F133" s="22" t="str">
        <x:v>Data processing / analysis utility</x:v>
      </x:c>
      <x:c r="G133" s="22" t="str">
        <x:v>Processing or reference utility, not independent connection evidence. Preserve original inputs and validate important output.</x:v>
      </x:c>
      <x:c r="H133" s="22" t="str">
        <x:v>Use as a utility only; functionality not audited</x:v>
      </x:c>
      <x:c r="I133" s="22" t="str">
        <x:v>Not checked</x:v>
      </x:c>
      <x:c r="J133" s="22" t="str">
        <x:v>Saved bookmark metadata only</x:v>
      </x:c>
      <x:c r="K133" s="22" t="str"/>
      <x:c r="L133" s="24" t="str"/>
      <x:c r="M133" s="24" t="str">
        <x:v>https://dreampuf.github.io/GraphvizOnline/</x:v>
      </x:c>
      <x:c r="N133" s="22" t="str">
        <x:v>268640801</x:v>
      </x:c>
      <x:c r="O133" s="22" t="n">
        <x:v>1001</x:v>
      </x:c>
      <x:c r="P133" s="22" t="n">
        <x:v>7</x:v>
      </x:c>
      <x:c r="Q133" s="22" t="str"/>
      <x:c r="R133" s="22" t="n">
        <x:f>COUNTIF($M$6:$M$1177,M133)</x:f>
        <x:v>1</x:v>
      </x:c>
      <x:c r="S133" s="22" t="str">
        <x:v>Other / utility</x:v>
      </x:c>
      <x:c r="T133" s="22" t="str">
        <x:v>Scope only</x:v>
      </x:c>
    </x:row>
    <x:row r="134" ht="48" customHeight="1">
      <x:c r="A134" s="22" t="n">
        <x:v>129</x:v>
      </x:c>
      <x:c r="B134" s="22" t="str">
        <x:v>CodePen</x:v>
      </x:c>
      <x:c r="C134" s="27" t="str">
        <x:v>N/A</x:v>
      </x:c>
      <x:c r="D134" s="22" t="str">
        <x:v>Utility classification</x:v>
      </x:c>
      <x:c r="E134" s="22" t="str">
        <x:v>TOOLSET</x:v>
      </x:c>
      <x:c r="F134" s="22" t="str">
        <x:v>Data processing / analysis utility</x:v>
      </x:c>
      <x:c r="G134" s="22" t="str">
        <x:v>Processing or reference utility, not independent connection evidence. Preserve original inputs and validate important output.</x:v>
      </x:c>
      <x:c r="H134" s="22" t="str">
        <x:v>Use as a utility only; functionality not audited</x:v>
      </x:c>
      <x:c r="I134" s="22" t="str">
        <x:v>Not checked</x:v>
      </x:c>
      <x:c r="J134" s="22" t="str">
        <x:v>Saved bookmark metadata only</x:v>
      </x:c>
      <x:c r="K134" s="22" t="str"/>
      <x:c r="L134" s="24" t="str"/>
      <x:c r="M134" s="24" t="str">
        <x:v>https://codepen.io/</x:v>
      </x:c>
      <x:c r="N134" s="22" t="str">
        <x:v>268637238</x:v>
      </x:c>
      <x:c r="O134" s="22" t="n">
        <x:v>1001</x:v>
      </x:c>
      <x:c r="P134" s="22" t="n">
        <x:v>8</x:v>
      </x:c>
      <x:c r="Q134" s="22" t="str"/>
      <x:c r="R134" s="22" t="n">
        <x:f>COUNTIF($M$6:$M$1177,M134)</x:f>
        <x:v>1</x:v>
      </x:c>
      <x:c r="S134" s="22" t="str">
        <x:v>Other / utility</x:v>
      </x:c>
      <x:c r="T134" s="22" t="str">
        <x:v>Scope only</x:v>
      </x:c>
    </x:row>
    <x:row r="135" ht="48" customHeight="1">
      <x:c r="A135" s="22" t="n">
        <x:v>130</x:v>
      </x:c>
      <x:c r="B135" s="22" t="str">
        <x:v>Diceware Generator</x:v>
      </x:c>
      <x:c r="C135" s="27" t="str">
        <x:v>N/A</x:v>
      </x:c>
      <x:c r="D135" s="22" t="str">
        <x:v>Utility classification</x:v>
      </x:c>
      <x:c r="E135" s="22" t="str">
        <x:v>TOOLSET</x:v>
      </x:c>
      <x:c r="F135" s="22" t="str">
        <x:v>Data processing / analysis utility</x:v>
      </x:c>
      <x:c r="G135" s="22" t="str">
        <x:v>Processing or reference utility, not independent connection evidence. Preserve original inputs and validate important output.</x:v>
      </x:c>
      <x:c r="H135" s="22" t="str">
        <x:v>Use as a utility only; functionality not audited</x:v>
      </x:c>
      <x:c r="I135" s="22" t="str">
        <x:v>Not checked</x:v>
      </x:c>
      <x:c r="J135" s="22" t="str">
        <x:v>Saved bookmark metadata only</x:v>
      </x:c>
      <x:c r="K135" s="22" t="str"/>
      <x:c r="L135" s="24" t="str"/>
      <x:c r="M135" s="24" t="str">
        <x:v>https://www.rempe.us/diceware/#eff</x:v>
      </x:c>
      <x:c r="N135" s="22" t="str">
        <x:v>268640943</x:v>
      </x:c>
      <x:c r="O135" s="22" t="n">
        <x:v>1001</x:v>
      </x:c>
      <x:c r="P135" s="22" t="n">
        <x:v>9</x:v>
      </x:c>
      <x:c r="Q135" s="22" t="str"/>
      <x:c r="R135" s="22" t="n">
        <x:f>COUNTIF($M$6:$M$1177,M135)</x:f>
        <x:v>1</x:v>
      </x:c>
      <x:c r="S135" s="22" t="str">
        <x:v>Other / utility</x:v>
      </x:c>
      <x:c r="T135" s="22" t="str">
        <x:v>Scope only</x:v>
      </x:c>
    </x:row>
    <x:row r="136" ht="48" customHeight="1">
      <x:c r="A136" s="22" t="n">
        <x:v>131</x:v>
      </x:c>
      <x:c r="B136" s="22" t="str">
        <x:v>Checkphish.ai</x:v>
      </x:c>
      <x:c r="C136" s="31" t="str">
        <x:v>U</x:v>
      </x:c>
      <x:c r="D136" s="22" t="str">
        <x:v>Unassessed</x:v>
      </x:c>
      <x:c r="E136" s="22" t="str">
        <x:v>TOOLSET</x:v>
      </x:c>
      <x:c r="F136" s="22" t="str">
        <x:v>Data processing / analysis utility</x:v>
      </x:c>
      <x:c r="G136" s="22" t="str">
        <x:v>No substantive provider review supports a reliability grade for this entry.</x:v>
      </x:c>
      <x:c r="H136" s="22" t="str">
        <x:v>Verify publisher, source and current function before reliance</x:v>
      </x:c>
      <x:c r="I136" s="22" t="str">
        <x:v>Not checked</x:v>
      </x:c>
      <x:c r="J136" s="22" t="str">
        <x:v>Saved bookmark metadata only</x:v>
      </x:c>
      <x:c r="K136" s="22" t="str"/>
      <x:c r="L136" s="24" t="str"/>
      <x:c r="M136" s="24" t="str">
        <x:v>https://checkphish.ai/</x:v>
      </x:c>
      <x:c r="N136" s="22" t="str">
        <x:v>288253649</x:v>
      </x:c>
      <x:c r="O136" s="22" t="n">
        <x:v>1001</x:v>
      </x:c>
      <x:c r="P136" s="22" t="n">
        <x:v>10</x:v>
      </x:c>
      <x:c r="Q136" s="22" t="str"/>
      <x:c r="R136" s="22" t="n">
        <x:f>COUNTIF($M$6:$M$1177,M136)</x:f>
        <x:v>1</x:v>
      </x:c>
      <x:c r="S136" s="22" t="str">
        <x:v>Other / utility</x:v>
      </x:c>
      <x:c r="T136" s="22" t="str">
        <x:v>Not established</x:v>
      </x:c>
    </x:row>
    <x:row r="137" ht="48" customHeight="1">
      <x:c r="A137" s="22" t="n">
        <x:v>132</x:v>
      </x:c>
      <x:c r="B137" s="22" t="str">
        <x:v>x86 and x64 Intel Assembler</x:v>
      </x:c>
      <x:c r="C137" s="27" t="str">
        <x:v>N/A</x:v>
      </x:c>
      <x:c r="D137" s="22" t="str">
        <x:v>Utility classification</x:v>
      </x:c>
      <x:c r="E137" s="22" t="str">
        <x:v>TOOLSET</x:v>
      </x:c>
      <x:c r="F137" s="22" t="str">
        <x:v>Data processing / analysis utility</x:v>
      </x:c>
      <x:c r="G137" s="22" t="str">
        <x:v>Processing or reference utility, not independent connection evidence. Preserve original inputs and validate important output.</x:v>
      </x:c>
      <x:c r="H137" s="22" t="str">
        <x:v>Use as a utility only; functionality not audited</x:v>
      </x:c>
      <x:c r="I137" s="22" t="str">
        <x:v>Not checked</x:v>
      </x:c>
      <x:c r="J137" s="22" t="str">
        <x:v>Saved bookmark metadata only</x:v>
      </x:c>
      <x:c r="K137" s="22" t="str"/>
      <x:c r="L137" s="24" t="str"/>
      <x:c r="M137" s="24" t="str">
        <x:v>https://defuse.ca/online-x86-assembler.htm</x:v>
      </x:c>
      <x:c r="N137" s="22" t="str">
        <x:v>268637067</x:v>
      </x:c>
      <x:c r="O137" s="22" t="n">
        <x:v>1001</x:v>
      </x:c>
      <x:c r="P137" s="22" t="n">
        <x:v>11</x:v>
      </x:c>
      <x:c r="Q137" s="22" t="str"/>
      <x:c r="R137" s="22" t="n">
        <x:f>COUNTIF($M$6:$M$1177,M137)</x:f>
        <x:v>1</x:v>
      </x:c>
      <x:c r="S137" s="22" t="str">
        <x:v>Other / utility</x:v>
      </x:c>
      <x:c r="T137" s="22" t="str">
        <x:v>Scope only</x:v>
      </x:c>
    </x:row>
    <x:row r="138" ht="48" customHeight="1">
      <x:c r="A138" s="22" t="n">
        <x:v>133</x:v>
      </x:c>
      <x:c r="B138" s="22" t="str">
        <x:v>Big Number Calculator</x:v>
      </x:c>
      <x:c r="C138" s="27" t="str">
        <x:v>N/A</x:v>
      </x:c>
      <x:c r="D138" s="22" t="str">
        <x:v>Utility classification</x:v>
      </x:c>
      <x:c r="E138" s="22" t="str">
        <x:v>TOOLSET</x:v>
      </x:c>
      <x:c r="F138" s="22" t="str">
        <x:v>Data processing / analysis utility</x:v>
      </x:c>
      <x:c r="G138" s="22" t="str">
        <x:v>Processing or reference utility, not independent connection evidence. Preserve original inputs and validate important output.</x:v>
      </x:c>
      <x:c r="H138" s="22" t="str">
        <x:v>Use as a utility only; functionality not audited</x:v>
      </x:c>
      <x:c r="I138" s="22" t="str">
        <x:v>Not checked</x:v>
      </x:c>
      <x:c r="J138" s="22" t="str">
        <x:v>Saved bookmark metadata only</x:v>
      </x:c>
      <x:c r="K138" s="22" t="str"/>
      <x:c r="L138" s="24" t="str"/>
      <x:c r="M138" s="24" t="str">
        <x:v>https://defuse.ca/big-number-calculator.htm</x:v>
      </x:c>
      <x:c r="N138" s="22" t="str">
        <x:v>268637071</x:v>
      </x:c>
      <x:c r="O138" s="22" t="n">
        <x:v>1001</x:v>
      </x:c>
      <x:c r="P138" s="22" t="n">
        <x:v>12</x:v>
      </x:c>
      <x:c r="Q138" s="22" t="str"/>
      <x:c r="R138" s="22" t="n">
        <x:f>COUNTIF($M$6:$M$1177,M138)</x:f>
        <x:v>1</x:v>
      </x:c>
      <x:c r="S138" s="22" t="str">
        <x:v>Other / utility</x:v>
      </x:c>
      <x:c r="T138" s="22" t="str">
        <x:v>Scope only</x:v>
      </x:c>
    </x:row>
    <x:row r="139" ht="48" customHeight="1">
      <x:c r="A139" s="22" t="n">
        <x:v>134</x:v>
      </x:c>
      <x:c r="B139" s="22" t="str">
        <x:v>Text and File Hash Calculator</x:v>
      </x:c>
      <x:c r="C139" s="27" t="str">
        <x:v>N/A</x:v>
      </x:c>
      <x:c r="D139" s="22" t="str">
        <x:v>Utility classification</x:v>
      </x:c>
      <x:c r="E139" s="22" t="str">
        <x:v>TOOLSET</x:v>
      </x:c>
      <x:c r="F139" s="22" t="str">
        <x:v>Data processing / analysis utility</x:v>
      </x:c>
      <x:c r="G139" s="22" t="str">
        <x:v>Processing or reference utility, not independent connection evidence. Preserve original inputs and validate important output.</x:v>
      </x:c>
      <x:c r="H139" s="22" t="str">
        <x:v>Use as a utility only; functionality not audited</x:v>
      </x:c>
      <x:c r="I139" s="22" t="str">
        <x:v>Not checked</x:v>
      </x:c>
      <x:c r="J139" s="22" t="str">
        <x:v>Saved bookmark metadata only</x:v>
      </x:c>
      <x:c r="K139" s="22" t="str"/>
      <x:c r="L139" s="24" t="str"/>
      <x:c r="M139" s="24" t="str">
        <x:v>https://defuse.ca/checksums.htm</x:v>
      </x:c>
      <x:c r="N139" s="22" t="str">
        <x:v>268637072</x:v>
      </x:c>
      <x:c r="O139" s="22" t="n">
        <x:v>1001</x:v>
      </x:c>
      <x:c r="P139" s="22" t="n">
        <x:v>13</x:v>
      </x:c>
      <x:c r="Q139" s="22" t="str"/>
      <x:c r="R139" s="22" t="n">
        <x:f>COUNTIF($M$6:$M$1177,M139)</x:f>
        <x:v>1</x:v>
      </x:c>
      <x:c r="S139" s="22" t="str">
        <x:v>Other / utility</x:v>
      </x:c>
      <x:c r="T139" s="22" t="str">
        <x:v>Scope only</x:v>
      </x:c>
    </x:row>
    <x:row r="140" ht="48" customHeight="1">
      <x:c r="A140" s="22" t="n">
        <x:v>135</x:v>
      </x:c>
      <x:c r="B140" s="22" t="str">
        <x:v>HTML Sanitizer Tool</x:v>
      </x:c>
      <x:c r="C140" s="27" t="str">
        <x:v>N/A</x:v>
      </x:c>
      <x:c r="D140" s="22" t="str">
        <x:v>Utility classification</x:v>
      </x:c>
      <x:c r="E140" s="22" t="str">
        <x:v>TOOLSET</x:v>
      </x:c>
      <x:c r="F140" s="22" t="str">
        <x:v>Data processing / analysis utility</x:v>
      </x:c>
      <x:c r="G140" s="22" t="str">
        <x:v>Processing or reference utility, not independent connection evidence. Preserve original inputs and validate important output.</x:v>
      </x:c>
      <x:c r="H140" s="22" t="str">
        <x:v>Use as a utility only; functionality not audited</x:v>
      </x:c>
      <x:c r="I140" s="22" t="str">
        <x:v>Not checked</x:v>
      </x:c>
      <x:c r="J140" s="22" t="str">
        <x:v>Saved bookmark metadata only</x:v>
      </x:c>
      <x:c r="K140" s="22" t="str"/>
      <x:c r="L140" s="24" t="str"/>
      <x:c r="M140" s="24" t="str">
        <x:v>https://defuse.ca/html-sanitize.htm</x:v>
      </x:c>
      <x:c r="N140" s="22" t="str">
        <x:v>268637082</x:v>
      </x:c>
      <x:c r="O140" s="22" t="n">
        <x:v>1001</x:v>
      </x:c>
      <x:c r="P140" s="22" t="n">
        <x:v>14</x:v>
      </x:c>
      <x:c r="Q140" s="22" t="str"/>
      <x:c r="R140" s="22" t="n">
        <x:f>COUNTIF($M$6:$M$1177,M140)</x:f>
        <x:v>1</x:v>
      </x:c>
      <x:c r="S140" s="22" t="str">
        <x:v>Other / utility</x:v>
      </x:c>
      <x:c r="T140" s="22" t="str">
        <x:v>Scope only</x:v>
      </x:c>
    </x:row>
    <x:row r="141" ht="48" customHeight="1">
      <x:c r="A141" s="22" t="n">
        <x:v>136</x:v>
      </x:c>
      <x:c r="B141" s="22" t="str">
        <x:v>URL Decoder/Encoder</x:v>
      </x:c>
      <x:c r="C141" s="27" t="str">
        <x:v>N/A</x:v>
      </x:c>
      <x:c r="D141" s="22" t="str">
        <x:v>Utility classification</x:v>
      </x:c>
      <x:c r="E141" s="22" t="str">
        <x:v>TOOLSET</x:v>
      </x:c>
      <x:c r="F141" s="22" t="str">
        <x:v>Data processing / analysis utility</x:v>
      </x:c>
      <x:c r="G141" s="22" t="str">
        <x:v>Processing or reference utility, not independent connection evidence. Preserve original inputs and validate important output.</x:v>
      </x:c>
      <x:c r="H141" s="22" t="str">
        <x:v>Use as a utility only; functionality not audited</x:v>
      </x:c>
      <x:c r="I141" s="22" t="str">
        <x:v>Not checked</x:v>
      </x:c>
      <x:c r="J141" s="22" t="str">
        <x:v>Saved bookmark metadata only</x:v>
      </x:c>
      <x:c r="K141" s="22" t="str"/>
      <x:c r="L141" s="24" t="str"/>
      <x:c r="M141" s="24" t="str">
        <x:v>https://meyerweb.com/eric/tools/dencoder/</x:v>
      </x:c>
      <x:c r="N141" s="22" t="str">
        <x:v>268637231</x:v>
      </x:c>
      <x:c r="O141" s="22" t="n">
        <x:v>1001</x:v>
      </x:c>
      <x:c r="P141" s="22" t="n">
        <x:v>15</x:v>
      </x:c>
      <x:c r="Q141" s="22" t="str"/>
      <x:c r="R141" s="22" t="n">
        <x:f>COUNTIF($M$6:$M$1177,M141)</x:f>
        <x:v>1</x:v>
      </x:c>
      <x:c r="S141" s="22" t="str">
        <x:v>Other / utility</x:v>
      </x:c>
      <x:c r="T141" s="22" t="str">
        <x:v>Scope only</x:v>
      </x:c>
    </x:row>
    <x:row r="142" ht="48" customHeight="1">
      <x:c r="A142" s="22" t="n">
        <x:v>137</x:v>
      </x:c>
      <x:c r="B142" s="22" t="str">
        <x:v>ODA - The Online Disassembler</x:v>
      </x:c>
      <x:c r="C142" s="27" t="str">
        <x:v>N/A</x:v>
      </x:c>
      <x:c r="D142" s="22" t="str">
        <x:v>Utility classification</x:v>
      </x:c>
      <x:c r="E142" s="22" t="str">
        <x:v>TOOLSET</x:v>
      </x:c>
      <x:c r="F142" s="22" t="str">
        <x:v>Data processing / analysis utility</x:v>
      </x:c>
      <x:c r="G142" s="22" t="str">
        <x:v>Processing or reference utility, not independent connection evidence. Preserve original inputs and validate important output.</x:v>
      </x:c>
      <x:c r="H142" s="22" t="str">
        <x:v>Use as a utility only; functionality not audited</x:v>
      </x:c>
      <x:c r="I142" s="22" t="str">
        <x:v>Not checked</x:v>
      </x:c>
      <x:c r="J142" s="22" t="str">
        <x:v>Saved bookmark metadata only</x:v>
      </x:c>
      <x:c r="K142" s="22" t="str"/>
      <x:c r="L142" s="24" t="str"/>
      <x:c r="M142" s="24" t="str">
        <x:v>https://onlinedisassembler.com/odaweb/</x:v>
      </x:c>
      <x:c r="N142" s="22" t="str">
        <x:v>268637242</x:v>
      </x:c>
      <x:c r="O142" s="22" t="n">
        <x:v>1001</x:v>
      </x:c>
      <x:c r="P142" s="22" t="n">
        <x:v>16</x:v>
      </x:c>
      <x:c r="Q142" s="22" t="str"/>
      <x:c r="R142" s="22" t="n">
        <x:f>COUNTIF($M$6:$M$1177,M142)</x:f>
        <x:v>1</x:v>
      </x:c>
      <x:c r="S142" s="22" t="str">
        <x:v>Other / utility</x:v>
      </x:c>
      <x:c r="T142" s="22" t="str">
        <x:v>Scope only</x:v>
      </x:c>
    </x:row>
    <x:row r="143" ht="48" customHeight="1">
      <x:c r="A143" s="22" t="n">
        <x:v>138</x:v>
      </x:c>
      <x:c r="B143" s="22" t="str">
        <x:v>Disasm.pro</x:v>
      </x:c>
      <x:c r="C143" s="27" t="str">
        <x:v>N/A</x:v>
      </x:c>
      <x:c r="D143" s="22" t="str">
        <x:v>Utility classification</x:v>
      </x:c>
      <x:c r="E143" s="22" t="str">
        <x:v>TOOLSET</x:v>
      </x:c>
      <x:c r="F143" s="22" t="str">
        <x:v>Data processing / analysis utility</x:v>
      </x:c>
      <x:c r="G143" s="22" t="str">
        <x:v>Processing or reference utility, not independent connection evidence. Preserve original inputs and validate important output.</x:v>
      </x:c>
      <x:c r="H143" s="22" t="str">
        <x:v>Use as a utility only; functionality not audited</x:v>
      </x:c>
      <x:c r="I143" s="22" t="str">
        <x:v>Not checked</x:v>
      </x:c>
      <x:c r="J143" s="22" t="str">
        <x:v>Saved bookmark metadata only</x:v>
      </x:c>
      <x:c r="K143" s="22" t="str"/>
      <x:c r="L143" s="24" t="str"/>
      <x:c r="M143" s="24" t="str">
        <x:v>https://disasm.pro/</x:v>
      </x:c>
      <x:c r="N143" s="22" t="str">
        <x:v>268637307</x:v>
      </x:c>
      <x:c r="O143" s="22" t="n">
        <x:v>1001</x:v>
      </x:c>
      <x:c r="P143" s="22" t="n">
        <x:v>17</x:v>
      </x:c>
      <x:c r="Q143" s="22" t="str"/>
      <x:c r="R143" s="22" t="n">
        <x:f>COUNTIF($M$6:$M$1177,M143)</x:f>
        <x:v>1</x:v>
      </x:c>
      <x:c r="S143" s="22" t="str">
        <x:v>Other / utility</x:v>
      </x:c>
      <x:c r="T143" s="22" t="str">
        <x:v>Scope only</x:v>
      </x:c>
    </x:row>
    <x:row r="144" ht="48" customHeight="1">
      <x:c r="A144" s="22" t="n">
        <x:v>139</x:v>
      </x:c>
      <x:c r="B144" s="22" t="str">
        <x:v>Fotor</x:v>
      </x:c>
      <x:c r="C144" s="27" t="str">
        <x:v>N/A</x:v>
      </x:c>
      <x:c r="D144" s="22" t="str">
        <x:v>Utility classification</x:v>
      </x:c>
      <x:c r="E144" s="22" t="str">
        <x:v>TOOLSET</x:v>
      </x:c>
      <x:c r="F144" s="22" t="str">
        <x:v>Data processing / analysis utility</x:v>
      </x:c>
      <x:c r="G144" s="22" t="str">
        <x:v>Processing or reference utility, not independent connection evidence. Preserve original inputs and validate important output.</x:v>
      </x:c>
      <x:c r="H144" s="22" t="str">
        <x:v>Use as a utility only; functionality not audited</x:v>
      </x:c>
      <x:c r="I144" s="22" t="str">
        <x:v>Not checked</x:v>
      </x:c>
      <x:c r="J144" s="22" t="str">
        <x:v>Saved bookmark metadata only</x:v>
      </x:c>
      <x:c r="K144" s="22" t="str"/>
      <x:c r="L144" s="24" t="str"/>
      <x:c r="M144" s="24" t="str">
        <x:v>https://www.fotor.com/photo-editor-app/editor/basic</x:v>
      </x:c>
      <x:c r="N144" s="22" t="str">
        <x:v>268637323</x:v>
      </x:c>
      <x:c r="O144" s="22" t="n">
        <x:v>1001</x:v>
      </x:c>
      <x:c r="P144" s="22" t="n">
        <x:v>18</x:v>
      </x:c>
      <x:c r="Q144" s="22" t="str"/>
      <x:c r="R144" s="22" t="n">
        <x:f>COUNTIF($M$6:$M$1177,M144)</x:f>
        <x:v>1</x:v>
      </x:c>
      <x:c r="S144" s="22" t="str">
        <x:v>Other / utility</x:v>
      </x:c>
      <x:c r="T144" s="22" t="str">
        <x:v>Scope only</x:v>
      </x:c>
    </x:row>
    <x:row r="145" ht="48" customHeight="1">
      <x:c r="A145" s="22" t="n">
        <x:v>140</x:v>
      </x:c>
      <x:c r="B145" s="22" t="str">
        <x:v>Decompiler.com</x:v>
      </x:c>
      <x:c r="C145" s="27" t="str">
        <x:v>N/A</x:v>
      </x:c>
      <x:c r="D145" s="22" t="str">
        <x:v>Utility classification</x:v>
      </x:c>
      <x:c r="E145" s="22" t="str">
        <x:v>TOOLSET</x:v>
      </x:c>
      <x:c r="F145" s="22" t="str">
        <x:v>Data processing / analysis utility</x:v>
      </x:c>
      <x:c r="G145" s="22" t="str">
        <x:v>Processing or reference utility, not independent connection evidence. Preserve original inputs and validate important output.</x:v>
      </x:c>
      <x:c r="H145" s="22" t="str">
        <x:v>Use as a utility only; functionality not audited</x:v>
      </x:c>
      <x:c r="I145" s="22" t="str">
        <x:v>Not checked</x:v>
      </x:c>
      <x:c r="J145" s="22" t="str">
        <x:v>Saved bookmark metadata only</x:v>
      </x:c>
      <x:c r="K145" s="22" t="str"/>
      <x:c r="L145" s="24" t="str"/>
      <x:c r="M145" s="24" t="str">
        <x:v>http://www.decompiler.com/</x:v>
      </x:c>
      <x:c r="N145" s="22" t="str">
        <x:v>268637326</x:v>
      </x:c>
      <x:c r="O145" s="22" t="n">
        <x:v>1001</x:v>
      </x:c>
      <x:c r="P145" s="22" t="n">
        <x:v>19</x:v>
      </x:c>
      <x:c r="Q145" s="22" t="str"/>
      <x:c r="R145" s="22" t="n">
        <x:f>COUNTIF($M$6:$M$1177,M145)</x:f>
        <x:v>1</x:v>
      </x:c>
      <x:c r="S145" s="22" t="str">
        <x:v>Other / utility</x:v>
      </x:c>
      <x:c r="T145" s="22" t="str">
        <x:v>Scope only</x:v>
      </x:c>
    </x:row>
    <x:row r="146" ht="48" customHeight="1">
      <x:c r="A146" s="22" t="n">
        <x:v>141</x:v>
      </x:c>
      <x:c r="B146" s="22" t="str">
        <x:v>Google Colaboratory</x:v>
      </x:c>
      <x:c r="C146" s="27" t="str">
        <x:v>N/A</x:v>
      </x:c>
      <x:c r="D146" s="22" t="str">
        <x:v>Utility classification</x:v>
      </x:c>
      <x:c r="E146" s="22" t="str">
        <x:v>TOOLSET</x:v>
      </x:c>
      <x:c r="F146" s="22" t="str">
        <x:v>Data processing / analysis utility</x:v>
      </x:c>
      <x:c r="G146" s="22" t="str">
        <x:v>Processing or reference utility, not independent connection evidence. Preserve original inputs and validate important output.</x:v>
      </x:c>
      <x:c r="H146" s="22" t="str">
        <x:v>Use as a utility only; functionality not audited</x:v>
      </x:c>
      <x:c r="I146" s="22" t="str">
        <x:v>Not checked</x:v>
      </x:c>
      <x:c r="J146" s="22" t="str">
        <x:v>Saved bookmark metadata only</x:v>
      </x:c>
      <x:c r="K146" s="22" t="str"/>
      <x:c r="L146" s="24" t="str"/>
      <x:c r="M146" s="24" t="str">
        <x:v>https://colab.research.google.com/notebooks/intro.ipynb</x:v>
      </x:c>
      <x:c r="N146" s="22" t="str">
        <x:v>268637376</x:v>
      </x:c>
      <x:c r="O146" s="22" t="n">
        <x:v>1001</x:v>
      </x:c>
      <x:c r="P146" s="22" t="n">
        <x:v>20</x:v>
      </x:c>
      <x:c r="Q146" s="22" t="str"/>
      <x:c r="R146" s="22" t="n">
        <x:f>COUNTIF($M$6:$M$1177,M146)</x:f>
        <x:v>1</x:v>
      </x:c>
      <x:c r="S146" s="22" t="str">
        <x:v>Other / utility</x:v>
      </x:c>
      <x:c r="T146" s="22" t="str">
        <x:v>Scope only</x:v>
      </x:c>
    </x:row>
    <x:row r="147" ht="48" customHeight="1">
      <x:c r="A147" s="22" t="n">
        <x:v>142</x:v>
      </x:c>
      <x:c r="B147" s="22" t="str">
        <x:v>Compiler Explorer</x:v>
      </x:c>
      <x:c r="C147" s="27" t="str">
        <x:v>N/A</x:v>
      </x:c>
      <x:c r="D147" s="22" t="str">
        <x:v>Utility classification</x:v>
      </x:c>
      <x:c r="E147" s="22" t="str">
        <x:v>TOOLSET</x:v>
      </x:c>
      <x:c r="F147" s="22" t="str">
        <x:v>Data processing / analysis utility</x:v>
      </x:c>
      <x:c r="G147" s="22" t="str">
        <x:v>Processing or reference utility, not independent connection evidence. Preserve original inputs and validate important output.</x:v>
      </x:c>
      <x:c r="H147" s="22" t="str">
        <x:v>Use as a utility only; functionality not audited</x:v>
      </x:c>
      <x:c r="I147" s="22" t="str">
        <x:v>Not checked</x:v>
      </x:c>
      <x:c r="J147" s="22" t="str">
        <x:v>Saved bookmark metadata only</x:v>
      </x:c>
      <x:c r="K147" s="22" t="str"/>
      <x:c r="L147" s="24" t="str"/>
      <x:c r="M147" s="24" t="str">
        <x:v>https://godbolt.org/</x:v>
      </x:c>
      <x:c r="N147" s="22" t="str">
        <x:v>268637378</x:v>
      </x:c>
      <x:c r="O147" s="22" t="n">
        <x:v>1001</x:v>
      </x:c>
      <x:c r="P147" s="22" t="n">
        <x:v>21</x:v>
      </x:c>
      <x:c r="Q147" s="22" t="str"/>
      <x:c r="R147" s="22" t="n">
        <x:f>COUNTIF($M$6:$M$1177,M147)</x:f>
        <x:v>1</x:v>
      </x:c>
      <x:c r="S147" s="22" t="str">
        <x:v>Other / utility</x:v>
      </x:c>
      <x:c r="T147" s="22" t="str">
        <x:v>Scope only</x:v>
      </x:c>
    </x:row>
    <x:row r="148" ht="48" customHeight="1">
      <x:c r="A148" s="22" t="n">
        <x:v>143</x:v>
      </x:c>
      <x:c r="B148" s="22" t="str">
        <x:v>HTML editor</x:v>
      </x:c>
      <x:c r="C148" s="27" t="str">
        <x:v>N/A</x:v>
      </x:c>
      <x:c r="D148" s="22" t="str">
        <x:v>Utility classification</x:v>
      </x:c>
      <x:c r="E148" s="22" t="str">
        <x:v>TOOLSET</x:v>
      </x:c>
      <x:c r="F148" s="22" t="str">
        <x:v>Data processing / analysis utility</x:v>
      </x:c>
      <x:c r="G148" s="22" t="str">
        <x:v>Processing or reference utility, not independent connection evidence. Preserve original inputs and validate important output.</x:v>
      </x:c>
      <x:c r="H148" s="22" t="str">
        <x:v>Use as a utility only; functionality not audited</x:v>
      </x:c>
      <x:c r="I148" s="22" t="str">
        <x:v>Not checked</x:v>
      </x:c>
      <x:c r="J148" s="22" t="str">
        <x:v>Saved bookmark metadata only</x:v>
      </x:c>
      <x:c r="K148" s="22" t="str"/>
      <x:c r="L148" s="24" t="str"/>
      <x:c r="M148" s="24" t="str">
        <x:v>https://onlinehtmleditor.dev/</x:v>
      </x:c>
      <x:c r="N148" s="22" t="str">
        <x:v>268640284</x:v>
      </x:c>
      <x:c r="O148" s="22" t="n">
        <x:v>1001</x:v>
      </x:c>
      <x:c r="P148" s="22" t="n">
        <x:v>22</x:v>
      </x:c>
      <x:c r="Q148" s="22" t="str"/>
      <x:c r="R148" s="22" t="n">
        <x:f>COUNTIF($M$6:$M$1177,M148)</x:f>
        <x:v>1</x:v>
      </x:c>
      <x:c r="S148" s="22" t="str">
        <x:v>Other / utility</x:v>
      </x:c>
      <x:c r="T148" s="22" t="str">
        <x:v>Scope only</x:v>
      </x:c>
    </x:row>
    <x:row r="149" ht="48" customHeight="1">
      <x:c r="A149" s="22" t="n">
        <x:v>144</x:v>
      </x:c>
      <x:c r="B149" s="22" t="str">
        <x:v>Online Color Picker</x:v>
      </x:c>
      <x:c r="C149" s="27" t="str">
        <x:v>N/A</x:v>
      </x:c>
      <x:c r="D149" s="22" t="str">
        <x:v>Utility classification</x:v>
      </x:c>
      <x:c r="E149" s="22" t="str">
        <x:v>TOOLSET</x:v>
      </x:c>
      <x:c r="F149" s="22" t="str">
        <x:v>Data processing / analysis utility</x:v>
      </x:c>
      <x:c r="G149" s="22" t="str">
        <x:v>Processing or reference utility, not independent connection evidence. Preserve original inputs and validate important output.</x:v>
      </x:c>
      <x:c r="H149" s="22" t="str">
        <x:v>Use as a utility only; functionality not audited</x:v>
      </x:c>
      <x:c r="I149" s="22" t="str">
        <x:v>Not checked</x:v>
      </x:c>
      <x:c r="J149" s="22" t="str">
        <x:v>Saved bookmark metadata only</x:v>
      </x:c>
      <x:c r="K149" s="22" t="str"/>
      <x:c r="L149" s="24" t="str"/>
      <x:c r="M149" s="24" t="str">
        <x:v>https://colorpicker.me/</x:v>
      </x:c>
      <x:c r="N149" s="22" t="str">
        <x:v>268637453</x:v>
      </x:c>
      <x:c r="O149" s="22" t="n">
        <x:v>1001</x:v>
      </x:c>
      <x:c r="P149" s="22" t="n">
        <x:v>23</x:v>
      </x:c>
      <x:c r="Q149" s="22" t="str"/>
      <x:c r="R149" s="22" t="n">
        <x:f>COUNTIF($M$6:$M$1177,M149)</x:f>
        <x:v>1</x:v>
      </x:c>
      <x:c r="S149" s="22" t="str">
        <x:v>Other / utility</x:v>
      </x:c>
      <x:c r="T149" s="22" t="str">
        <x:v>Scope only</x:v>
      </x:c>
    </x:row>
    <x:row r="150" ht="48" customHeight="1">
      <x:c r="A150" s="22" t="n">
        <x:v>145</x:v>
      </x:c>
      <x:c r="B150" s="22" t="str">
        <x:v>Convert text to image file</x:v>
      </x:c>
      <x:c r="C150" s="27" t="str">
        <x:v>N/A</x:v>
      </x:c>
      <x:c r="D150" s="22" t="str">
        <x:v>Utility classification</x:v>
      </x:c>
      <x:c r="E150" s="22" t="str">
        <x:v>TOOLSET</x:v>
      </x:c>
      <x:c r="F150" s="22" t="str">
        <x:v>Data processing / analysis utility</x:v>
      </x:c>
      <x:c r="G150" s="22" t="str">
        <x:v>Processing or reference utility, not independent connection evidence. Preserve original inputs and validate important output.</x:v>
      </x:c>
      <x:c r="H150" s="22" t="str">
        <x:v>Use as a utility only; functionality not audited</x:v>
      </x:c>
      <x:c r="I150" s="22" t="str">
        <x:v>Not checked</x:v>
      </x:c>
      <x:c r="J150" s="22" t="str">
        <x:v>Saved bookmark metadata only</x:v>
      </x:c>
      <x:c r="K150" s="22" t="str"/>
      <x:c r="L150" s="24" t="str"/>
      <x:c r="M150" s="24" t="str">
        <x:v>https://text2image.com/en/</x:v>
      </x:c>
      <x:c r="N150" s="22" t="str">
        <x:v>268640273</x:v>
      </x:c>
      <x:c r="O150" s="22" t="n">
        <x:v>1001</x:v>
      </x:c>
      <x:c r="P150" s="22" t="n">
        <x:v>24</x:v>
      </x:c>
      <x:c r="Q150" s="22" t="str"/>
      <x:c r="R150" s="22" t="n">
        <x:f>COUNTIF($M$6:$M$1177,M150)</x:f>
        <x:v>1</x:v>
      </x:c>
      <x:c r="S150" s="22" t="str">
        <x:v>Other / utility</x:v>
      </x:c>
      <x:c r="T150" s="22" t="str">
        <x:v>Scope only</x:v>
      </x:c>
    </x:row>
    <x:row r="151" ht="48" customHeight="1">
      <x:c r="A151" s="22" t="n">
        <x:v>146</x:v>
      </x:c>
      <x:c r="B151" s="22" t="str">
        <x:v>relational algebra calculator</x:v>
      </x:c>
      <x:c r="C151" s="27" t="str">
        <x:v>N/A</x:v>
      </x:c>
      <x:c r="D151" s="22" t="str">
        <x:v>Utility classification</x:v>
      </x:c>
      <x:c r="E151" s="22" t="str">
        <x:v>TOOLSET</x:v>
      </x:c>
      <x:c r="F151" s="22" t="str">
        <x:v>Data processing / analysis utility</x:v>
      </x:c>
      <x:c r="G151" s="22" t="str">
        <x:v>Processing or reference utility, not independent connection evidence. Preserve original inputs and validate important output.</x:v>
      </x:c>
      <x:c r="H151" s="22" t="str">
        <x:v>Use as a utility only; functionality not audited</x:v>
      </x:c>
      <x:c r="I151" s="22" t="str">
        <x:v>Not checked</x:v>
      </x:c>
      <x:c r="J151" s="22" t="str">
        <x:v>Saved bookmark metadata only</x:v>
      </x:c>
      <x:c r="K151" s="22" t="str"/>
      <x:c r="L151" s="24" t="str"/>
      <x:c r="M151" s="24" t="str">
        <x:v>https://dbis-uibk.github.io/relax/calc/local/uibk/local/0</x:v>
      </x:c>
      <x:c r="N151" s="22" t="str">
        <x:v>268640853</x:v>
      </x:c>
      <x:c r="O151" s="22" t="n">
        <x:v>1001</x:v>
      </x:c>
      <x:c r="P151" s="22" t="n">
        <x:v>25</x:v>
      </x:c>
      <x:c r="Q151" s="22" t="str"/>
      <x:c r="R151" s="22" t="n">
        <x:f>COUNTIF($M$6:$M$1177,M151)</x:f>
        <x:v>1</x:v>
      </x:c>
      <x:c r="S151" s="22" t="str">
        <x:v>Other / utility</x:v>
      </x:c>
      <x:c r="T151" s="22" t="str">
        <x:v>Scope only</x:v>
      </x:c>
    </x:row>
    <x:row r="152" ht="48" customHeight="1">
      <x:c r="A152" s="22" t="n">
        <x:v>147</x:v>
      </x:c>
      <x:c r="B152" s="22" t="str">
        <x:v>Data Structure : Infix Postfix Prefix - Converter &amp; Evaluator</x:v>
      </x:c>
      <x:c r="C152" s="27" t="str">
        <x:v>N/A</x:v>
      </x:c>
      <x:c r="D152" s="22" t="str">
        <x:v>Utility classification</x:v>
      </x:c>
      <x:c r="E152" s="22" t="str">
        <x:v>TOOLSET</x:v>
      </x:c>
      <x:c r="F152" s="22" t="str">
        <x:v>Data processing / analysis utility</x:v>
      </x:c>
      <x:c r="G152" s="22" t="str">
        <x:v>Processing or reference utility, not independent connection evidence. Preserve original inputs and validate important output.</x:v>
      </x:c>
      <x:c r="H152" s="22" t="str">
        <x:v>Use as a utility only; functionality not audited</x:v>
      </x:c>
      <x:c r="I152" s="22" t="str">
        <x:v>Not checked</x:v>
      </x:c>
      <x:c r="J152" s="22" t="str">
        <x:v>Saved bookmark metadata only</x:v>
      </x:c>
      <x:c r="K152" s="22" t="str"/>
      <x:c r="L152" s="24" t="str"/>
      <x:c r="M152" s="24" t="str">
        <x:v>https://raj457036.github.io/Simple-Tools/prefixAndPostfixConvertor.html</x:v>
      </x:c>
      <x:c r="N152" s="22" t="str">
        <x:v>268640856</x:v>
      </x:c>
      <x:c r="O152" s="22" t="n">
        <x:v>1001</x:v>
      </x:c>
      <x:c r="P152" s="22" t="n">
        <x:v>26</x:v>
      </x:c>
      <x:c r="Q152" s="22" t="str"/>
      <x:c r="R152" s="22" t="n">
        <x:f>COUNTIF($M$6:$M$1177,M152)</x:f>
        <x:v>1</x:v>
      </x:c>
      <x:c r="S152" s="22" t="str">
        <x:v>Other / utility</x:v>
      </x:c>
      <x:c r="T152" s="22" t="str">
        <x:v>Scope only</x:v>
      </x:c>
    </x:row>
    <x:row r="153" ht="48" customHeight="1">
      <x:c r="A153" s="22" t="n">
        <x:v>148</x:v>
      </x:c>
      <x:c r="B153" s="22" t="str">
        <x:v>RSA encryption, decryption and prime calculator</x:v>
      </x:c>
      <x:c r="C153" s="27" t="str">
        <x:v>N/A</x:v>
      </x:c>
      <x:c r="D153" s="22" t="str">
        <x:v>Utility classification</x:v>
      </x:c>
      <x:c r="E153" s="22" t="str">
        <x:v>TOOLSET</x:v>
      </x:c>
      <x:c r="F153" s="22" t="str">
        <x:v>Data processing / analysis utility</x:v>
      </x:c>
      <x:c r="G153" s="22" t="str">
        <x:v>Processing or reference utility, not independent connection evidence. Preserve original inputs and validate important output.</x:v>
      </x:c>
      <x:c r="H153" s="22" t="str">
        <x:v>Use as a utility only; functionality not audited</x:v>
      </x:c>
      <x:c r="I153" s="22" t="str">
        <x:v>Not checked</x:v>
      </x:c>
      <x:c r="J153" s="22" t="str">
        <x:v>Saved bookmark metadata only</x:v>
      </x:c>
      <x:c r="K153" s="22" t="str"/>
      <x:c r="L153" s="24" t="str"/>
      <x:c r="M153" s="24" t="str">
        <x:v>https://canihavesomecoffee.github.io/js-rsa-tool/</x:v>
      </x:c>
      <x:c r="N153" s="22" t="str">
        <x:v>268640892</x:v>
      </x:c>
      <x:c r="O153" s="22" t="n">
        <x:v>1001</x:v>
      </x:c>
      <x:c r="P153" s="22" t="n">
        <x:v>27</x:v>
      </x:c>
      <x:c r="Q153" s="22" t="str"/>
      <x:c r="R153" s="22" t="n">
        <x:f>COUNTIF($M$6:$M$1177,M153)</x:f>
        <x:v>1</x:v>
      </x:c>
      <x:c r="S153" s="22" t="str">
        <x:v>Other / utility</x:v>
      </x:c>
      <x:c r="T153" s="22" t="str">
        <x:v>Scope only</x:v>
      </x:c>
    </x:row>
    <x:row r="154" ht="48" customHeight="1">
      <x:c r="A154" s="22" t="n">
        <x:v>149</x:v>
      </x:c>
      <x:c r="B154" s="22" t="str">
        <x:v>Tools.digitalmethods.net</x:v>
      </x:c>
      <x:c r="C154" s="31" t="str">
        <x:v>U</x:v>
      </x:c>
      <x:c r="D154" s="22" t="str">
        <x:v>Unassessed</x:v>
      </x:c>
      <x:c r="E154" s="22" t="str">
        <x:v>TOOLSET</x:v>
      </x:c>
      <x:c r="F154" s="22" t="str">
        <x:v>Data processing / analysis utility</x:v>
      </x:c>
      <x:c r="G154" s="22" t="str">
        <x:v>No substantive provider review supports a reliability grade for this entry.</x:v>
      </x:c>
      <x:c r="H154" s="22" t="str">
        <x:v>Verify publisher, source and current function before reliance</x:v>
      </x:c>
      <x:c r="I154" s="22" t="str">
        <x:v>Not checked</x:v>
      </x:c>
      <x:c r="J154" s="22" t="str">
        <x:v>Saved bookmark metadata only</x:v>
      </x:c>
      <x:c r="K154" s="22" t="str"/>
      <x:c r="L154" s="24" t="str"/>
      <x:c r="M154" s="24" t="str">
        <x:v>https://tools.digitalmethods.net/beta/searchEngineScraper/</x:v>
      </x:c>
      <x:c r="N154" s="22" t="str">
        <x:v>286826063</x:v>
      </x:c>
      <x:c r="O154" s="22" t="n">
        <x:v>1001</x:v>
      </x:c>
      <x:c r="P154" s="22" t="n">
        <x:v>28</x:v>
      </x:c>
      <x:c r="Q154" s="22" t="str"/>
      <x:c r="R154" s="22" t="n">
        <x:f>COUNTIF($M$6:$M$1177,M154)</x:f>
        <x:v>1</x:v>
      </x:c>
      <x:c r="S154" s="22" t="str">
        <x:v>Other / utility</x:v>
      </x:c>
      <x:c r="T154" s="22" t="str">
        <x:v>Not established</x:v>
      </x:c>
    </x:row>
    <x:row r="155" ht="48" customHeight="1">
      <x:c r="A155" s="22" t="n">
        <x:v>150</x:v>
      </x:c>
      <x:c r="B155" s="22" t="str">
        <x:v>Steganography Online</x:v>
      </x:c>
      <x:c r="C155" s="27" t="str">
        <x:v>N/A</x:v>
      </x:c>
      <x:c r="D155" s="22" t="str">
        <x:v>Utility classification</x:v>
      </x:c>
      <x:c r="E155" s="22" t="str">
        <x:v>TOOLSET</x:v>
      </x:c>
      <x:c r="F155" s="22" t="str">
        <x:v>Data processing / analysis utility</x:v>
      </x:c>
      <x:c r="G155" s="22" t="str">
        <x:v>Processing or reference utility, not independent connection evidence. Preserve original inputs and validate important output.</x:v>
      </x:c>
      <x:c r="H155" s="22" t="str">
        <x:v>Use as a utility only; functionality not audited</x:v>
      </x:c>
      <x:c r="I155" s="22" t="str">
        <x:v>Not checked</x:v>
      </x:c>
      <x:c r="J155" s="22" t="str">
        <x:v>Saved bookmark metadata only</x:v>
      </x:c>
      <x:c r="K155" s="22" t="str"/>
      <x:c r="L155" s="24" t="str"/>
      <x:c r="M155" s="24" t="str">
        <x:v>https://stylesuxx.github.io/steganography/</x:v>
      </x:c>
      <x:c r="N155" s="22" t="str">
        <x:v>268640692</x:v>
      </x:c>
      <x:c r="O155" s="22" t="n">
        <x:v>1001</x:v>
      </x:c>
      <x:c r="P155" s="22" t="n">
        <x:v>29</x:v>
      </x:c>
      <x:c r="Q155" s="22" t="str"/>
      <x:c r="R155" s="22" t="n">
        <x:f>COUNTIF($M$6:$M$1177,M155)</x:f>
        <x:v>1</x:v>
      </x:c>
      <x:c r="S155" s="22" t="str">
        <x:v>Other / utility</x:v>
      </x:c>
      <x:c r="T155" s="22" t="str">
        <x:v>Scope only</x:v>
      </x:c>
    </x:row>
    <x:row r="156" ht="48" customHeight="1">
      <x:c r="A156" s="22" t="n">
        <x:v>151</x:v>
      </x:c>
      <x:c r="B156" s="22" t="str">
        <x:v>Torrent to Magnet</x:v>
      </x:c>
      <x:c r="C156" s="27" t="str">
        <x:v>N/A</x:v>
      </x:c>
      <x:c r="D156" s="22" t="str">
        <x:v>Utility classification</x:v>
      </x:c>
      <x:c r="E156" s="22" t="str">
        <x:v>TOOLSET</x:v>
      </x:c>
      <x:c r="F156" s="22" t="str">
        <x:v>Data processing / analysis utility</x:v>
      </x:c>
      <x:c r="G156" s="22" t="str">
        <x:v>Processing or reference utility, not independent connection evidence. Preserve original inputs and validate important output.</x:v>
      </x:c>
      <x:c r="H156" s="22" t="str">
        <x:v>Use as a utility only; functionality not audited</x:v>
      </x:c>
      <x:c r="I156" s="22" t="str">
        <x:v>Not checked</x:v>
      </x:c>
      <x:c r="J156" s="22" t="str">
        <x:v>Saved bookmark metadata only</x:v>
      </x:c>
      <x:c r="K156" s="22" t="str"/>
      <x:c r="L156" s="24" t="str"/>
      <x:c r="M156" s="24" t="str">
        <x:v>https://nutbread.github.io/t2m/</x:v>
      </x:c>
      <x:c r="N156" s="22" t="str">
        <x:v>286012877</x:v>
      </x:c>
      <x:c r="O156" s="22" t="n">
        <x:v>1001</x:v>
      </x:c>
      <x:c r="P156" s="22" t="n">
        <x:v>30</x:v>
      </x:c>
      <x:c r="Q156" s="22" t="str"/>
      <x:c r="R156" s="22" t="n">
        <x:f>COUNTIF($M$6:$M$1177,M156)</x:f>
        <x:v>1</x:v>
      </x:c>
      <x:c r="S156" s="22" t="str">
        <x:v>Other / utility</x:v>
      </x:c>
      <x:c r="T156" s="22" t="str">
        <x:v>Scope only</x:v>
      </x:c>
    </x:row>
    <x:row r="157" ht="48" customHeight="1">
      <x:c r="A157" s="22" t="n">
        <x:v>152</x:v>
      </x:c>
      <x:c r="B157" s="22" t="str">
        <x:v>Anonymous YouTube Playlists</x:v>
      </x:c>
      <x:c r="C157" s="27" t="str">
        <x:v>N/A</x:v>
      </x:c>
      <x:c r="D157" s="22" t="str">
        <x:v>Utility classification</x:v>
      </x:c>
      <x:c r="E157" s="22" t="str">
        <x:v>TOOLSET</x:v>
      </x:c>
      <x:c r="F157" s="22" t="str">
        <x:v>Data processing / analysis utility</x:v>
      </x:c>
      <x:c r="G157" s="22" t="str">
        <x:v>Processing or reference utility, not independent connection evidence. Preserve original inputs and validate important output.</x:v>
      </x:c>
      <x:c r="H157" s="22" t="str">
        <x:v>Use as a utility only; functionality not audited</x:v>
      </x:c>
      <x:c r="I157" s="22" t="str">
        <x:v>Not checked</x:v>
      </x:c>
      <x:c r="J157" s="22" t="str">
        <x:v>Saved bookmark metadata only</x:v>
      </x:c>
      <x:c r="K157" s="22" t="str"/>
      <x:c r="L157" s="24" t="str"/>
      <x:c r="M157" s="24" t="str">
        <x:v>https://neverducky.github.io/anonymous-youtube-playlists/</x:v>
      </x:c>
      <x:c r="N157" s="22" t="str">
        <x:v>286013045</x:v>
      </x:c>
      <x:c r="O157" s="22" t="n">
        <x:v>1001</x:v>
      </x:c>
      <x:c r="P157" s="22" t="n">
        <x:v>31</x:v>
      </x:c>
      <x:c r="Q157" s="22" t="str"/>
      <x:c r="R157" s="22" t="n">
        <x:f>COUNTIF($M$6:$M$1177,M157)</x:f>
        <x:v>1</x:v>
      </x:c>
      <x:c r="S157" s="22" t="str">
        <x:v>Other / utility</x:v>
      </x:c>
      <x:c r="T157" s="22" t="str">
        <x:v>Scope only</x:v>
      </x:c>
    </x:row>
    <x:row r="158" ht="48" customHeight="1">
      <x:c r="A158" s="22" t="n">
        <x:v>153</x:v>
      </x:c>
      <x:c r="B158" s="22" t="str">
        <x:v>Vega Editor</x:v>
      </x:c>
      <x:c r="C158" s="27" t="str">
        <x:v>N/A</x:v>
      </x:c>
      <x:c r="D158" s="22" t="str">
        <x:v>Utility classification</x:v>
      </x:c>
      <x:c r="E158" s="22" t="str">
        <x:v>TOOLSET</x:v>
      </x:c>
      <x:c r="F158" s="22" t="str">
        <x:v>Data processing / analysis utility</x:v>
      </x:c>
      <x:c r="G158" s="22" t="str">
        <x:v>Processing or reference utility, not independent connection evidence. Preserve original inputs and validate important output.</x:v>
      </x:c>
      <x:c r="H158" s="22" t="str">
        <x:v>Use as a utility only; functionality not audited</x:v>
      </x:c>
      <x:c r="I158" s="22" t="str">
        <x:v>Not checked</x:v>
      </x:c>
      <x:c r="J158" s="22" t="str">
        <x:v>Saved bookmark metadata only</x:v>
      </x:c>
      <x:c r="K158" s="22" t="str"/>
      <x:c r="L158" s="24" t="str"/>
      <x:c r="M158" s="24" t="str">
        <x:v>https://vega.github.io/editor/#/</x:v>
      </x:c>
      <x:c r="N158" s="22" t="str">
        <x:v>286014207</x:v>
      </x:c>
      <x:c r="O158" s="22" t="n">
        <x:v>1001</x:v>
      </x:c>
      <x:c r="P158" s="22" t="n">
        <x:v>32</x:v>
      </x:c>
      <x:c r="Q158" s="22" t="str"/>
      <x:c r="R158" s="22" t="n">
        <x:f>COUNTIF($M$6:$M$1177,M158)</x:f>
        <x:v>1</x:v>
      </x:c>
      <x:c r="S158" s="22" t="str">
        <x:v>Other / utility</x:v>
      </x:c>
      <x:c r="T158" s="22" t="str">
        <x:v>Scope only</x:v>
      </x:c>
    </x:row>
    <x:row r="159" ht="48" customHeight="1">
      <x:c r="A159" s="22" t="n">
        <x:v>154</x:v>
      </x:c>
      <x:c r="B159" s="22" t="str">
        <x:v>DISA Code Template Generator</x:v>
      </x:c>
      <x:c r="C159" s="27" t="str">
        <x:v>N/A</x:v>
      </x:c>
      <x:c r="D159" s="22" t="str">
        <x:v>Utility classification</x:v>
      </x:c>
      <x:c r="E159" s="22" t="str">
        <x:v>TOOLSET</x:v>
      </x:c>
      <x:c r="F159" s="22" t="str">
        <x:v>Data processing / analysis utility</x:v>
      </x:c>
      <x:c r="G159" s="22" t="str">
        <x:v>Processing or reference utility, not independent connection evidence. Preserve original inputs and validate important output.</x:v>
      </x:c>
      <x:c r="H159" s="22" t="str">
        <x:v>Use as a utility only; functionality not audited</x:v>
      </x:c>
      <x:c r="I159" s="22" t="str">
        <x:v>Not checked</x:v>
      </x:c>
      <x:c r="J159" s="22" t="str">
        <x:v>Saved bookmark metadata only</x:v>
      </x:c>
      <x:c r="K159" s="22" t="str"/>
      <x:c r="L159" s="24" t="str"/>
      <x:c r="M159" s="24" t="str">
        <x:v>https://duncanford.github.io/disa-code-generator</x:v>
      </x:c>
      <x:c r="N159" s="22" t="str">
        <x:v>286014749</x:v>
      </x:c>
      <x:c r="O159" s="22" t="n">
        <x:v>1001</x:v>
      </x:c>
      <x:c r="P159" s="22" t="n">
        <x:v>33</x:v>
      </x:c>
      <x:c r="Q159" s="22" t="str"/>
      <x:c r="R159" s="22" t="n">
        <x:f>COUNTIF($M$6:$M$1177,M159)</x:f>
        <x:v>1</x:v>
      </x:c>
      <x:c r="S159" s="22" t="str">
        <x:v>Other / utility</x:v>
      </x:c>
      <x:c r="T159" s="22" t="str">
        <x:v>Scope only</x:v>
      </x:c>
    </x:row>
    <x:row r="160" ht="48" customHeight="1">
      <x:c r="A160" s="22" t="n">
        <x:v>155</x:v>
      </x:c>
      <x:c r="B160" s="22" t="str">
        <x:v>Canary Tokens</x:v>
      </x:c>
      <x:c r="C160" s="27" t="str">
        <x:v>N/A</x:v>
      </x:c>
      <x:c r="D160" s="22" t="str">
        <x:v>Utility classification</x:v>
      </x:c>
      <x:c r="E160" s="22" t="str">
        <x:v>TOOLSET</x:v>
      </x:c>
      <x:c r="F160" s="22" t="str">
        <x:v>Data processing / analysis utility</x:v>
      </x:c>
      <x:c r="G160" s="22" t="str">
        <x:v>Processing or reference utility, not independent connection evidence. Preserve original inputs and validate important output.</x:v>
      </x:c>
      <x:c r="H160" s="22" t="str">
        <x:v>Use as a utility only; functionality not audited</x:v>
      </x:c>
      <x:c r="I160" s="22" t="str">
        <x:v>Not checked</x:v>
      </x:c>
      <x:c r="J160" s="22" t="str">
        <x:v>Saved bookmark metadata only</x:v>
      </x:c>
      <x:c r="K160" s="22" t="str"/>
      <x:c r="L160" s="24" t="str"/>
      <x:c r="M160" s="24" t="str">
        <x:v>http://canarytokens.org/generate</x:v>
      </x:c>
      <x:c r="N160" s="22" t="str">
        <x:v>286809554</x:v>
      </x:c>
      <x:c r="O160" s="22" t="n">
        <x:v>1001</x:v>
      </x:c>
      <x:c r="P160" s="22" t="n">
        <x:v>34</x:v>
      </x:c>
      <x:c r="Q160" s="22" t="str"/>
      <x:c r="R160" s="22" t="n">
        <x:f>COUNTIF($M$6:$M$1177,M160)</x:f>
        <x:v>1</x:v>
      </x:c>
      <x:c r="S160" s="22" t="str">
        <x:v>Other / utility</x:v>
      </x:c>
      <x:c r="T160" s="22" t="str">
        <x:v>Scope only</x:v>
      </x:c>
    </x:row>
    <x:row r="161" ht="48" customHeight="1">
      <x:c r="A161" s="22" t="n">
        <x:v>156</x:v>
      </x:c>
      <x:c r="B161" s="22" t="str">
        <x:v>explainshell.com</x:v>
      </x:c>
      <x:c r="C161" s="27" t="str">
        <x:v>N/A</x:v>
      </x:c>
      <x:c r="D161" s="22" t="str">
        <x:v>Utility classification</x:v>
      </x:c>
      <x:c r="E161" s="22" t="str">
        <x:v>TOOLSET</x:v>
      </x:c>
      <x:c r="F161" s="22" t="str">
        <x:v>Data processing / analysis utility</x:v>
      </x:c>
      <x:c r="G161" s="22" t="str">
        <x:v>Processing or reference utility, not independent connection evidence. Preserve original inputs and validate important output.</x:v>
      </x:c>
      <x:c r="H161" s="22" t="str">
        <x:v>Use as a utility only; functionality not audited</x:v>
      </x:c>
      <x:c r="I161" s="22" t="str">
        <x:v>Not checked</x:v>
      </x:c>
      <x:c r="J161" s="22" t="str">
        <x:v>Saved bookmark metadata only</x:v>
      </x:c>
      <x:c r="K161" s="22" t="str"/>
      <x:c r="L161" s="24" t="str"/>
      <x:c r="M161" s="24" t="str">
        <x:v>https://explainshell.com/</x:v>
      </x:c>
      <x:c r="N161" s="22" t="str">
        <x:v>286819056</x:v>
      </x:c>
      <x:c r="O161" s="22" t="n">
        <x:v>1001</x:v>
      </x:c>
      <x:c r="P161" s="22" t="n">
        <x:v>35</x:v>
      </x:c>
      <x:c r="Q161" s="22" t="str"/>
      <x:c r="R161" s="22" t="n">
        <x:f>COUNTIF($M$6:$M$1177,M161)</x:f>
        <x:v>1</x:v>
      </x:c>
      <x:c r="S161" s="22" t="str">
        <x:v>Other / utility</x:v>
      </x:c>
      <x:c r="T161" s="22" t="str">
        <x:v>Scope only</x:v>
      </x:c>
    </x:row>
    <x:row r="162" ht="48" customHeight="1">
      <x:c r="A162" s="22" t="n">
        <x:v>157</x:v>
      </x:c>
      <x:c r="B162" s="22" t="str">
        <x:v>Google Colaboratory</x:v>
      </x:c>
      <x:c r="C162" s="27" t="str">
        <x:v>N/A</x:v>
      </x:c>
      <x:c r="D162" s="22" t="str">
        <x:v>Utility classification</x:v>
      </x:c>
      <x:c r="E162" s="22" t="str">
        <x:v>TOOLSET</x:v>
      </x:c>
      <x:c r="F162" s="22" t="str">
        <x:v>Data processing / analysis utility</x:v>
      </x:c>
      <x:c r="G162" s="22" t="str">
        <x:v>Processing or reference utility, not independent connection evidence. Preserve original inputs and validate important output.</x:v>
      </x:c>
      <x:c r="H162" s="22" t="str">
        <x:v>Use as a utility only; functionality not audited</x:v>
      </x:c>
      <x:c r="I162" s="22" t="str">
        <x:v>Not checked</x:v>
      </x:c>
      <x:c r="J162" s="22" t="str">
        <x:v>Saved bookmark metadata only</x:v>
      </x:c>
      <x:c r="K162" s="22" t="str"/>
      <x:c r="L162" s="24" t="str"/>
      <x:c r="M162" s="24" t="str">
        <x:v>https://colab.research.google.com/</x:v>
      </x:c>
      <x:c r="N162" s="22" t="str">
        <x:v>287000393</x:v>
      </x:c>
      <x:c r="O162" s="22" t="n">
        <x:v>1001</x:v>
      </x:c>
      <x:c r="P162" s="22" t="n">
        <x:v>36</x:v>
      </x:c>
      <x:c r="Q162" s="22" t="str"/>
      <x:c r="R162" s="22" t="n">
        <x:f>COUNTIF($M$6:$M$1177,M162)</x:f>
        <x:v>1</x:v>
      </x:c>
      <x:c r="S162" s="22" t="str">
        <x:v>Other / utility</x:v>
      </x:c>
      <x:c r="T162" s="22" t="str">
        <x:v>Scope only</x:v>
      </x:c>
    </x:row>
    <x:row r="163" ht="48" customHeight="1">
      <x:c r="A163" s="22" t="n">
        <x:v>158</x:v>
      </x:c>
      <x:c r="B163" s="22" t="str">
        <x:v>osint-cli-tool-skeleton</x:v>
      </x:c>
      <x:c r="C163" s="27" t="str">
        <x:v>N/A</x:v>
      </x:c>
      <x:c r="D163" s="22" t="str">
        <x:v>Utility classification</x:v>
      </x:c>
      <x:c r="E163" s="22" t="str">
        <x:v>TOOLSET</x:v>
      </x:c>
      <x:c r="F163" s="22" t="str">
        <x:v>Data processing / analysis utility</x:v>
      </x:c>
      <x:c r="G163" s="22" t="str">
        <x:v>Processing or reference utility, not independent connection evidence. Preserve original inputs and validate important output.</x:v>
      </x:c>
      <x:c r="H163" s="22" t="str">
        <x:v>Use as a utility only; functionality not audited</x:v>
      </x:c>
      <x:c r="I163" s="22" t="str">
        <x:v>Not checked</x:v>
      </x:c>
      <x:c r="J163" s="22" t="str">
        <x:v>Saved bookmark metadata only</x:v>
      </x:c>
      <x:c r="K163" s="22" t="str"/>
      <x:c r="L163" s="24" t="str"/>
      <x:c r="M163" s="24" t="str">
        <x:v>https://pypi.org/project/osint-cli-tool-skeleton/</x:v>
      </x:c>
      <x:c r="N163" s="22" t="str">
        <x:v>304994973</x:v>
      </x:c>
      <x:c r="O163" s="22" t="n">
        <x:v>1001</x:v>
      </x:c>
      <x:c r="P163" s="22" t="n">
        <x:v>37</x:v>
      </x:c>
      <x:c r="Q163" s="22" t="str"/>
      <x:c r="R163" s="22" t="n">
        <x:f>COUNTIF($M$6:$M$1177,M163)</x:f>
        <x:v>1</x:v>
      </x:c>
      <x:c r="S163" s="22" t="str">
        <x:v>Other / utility</x:v>
      </x:c>
      <x:c r="T163" s="22" t="str">
        <x:v>Scope only</x:v>
      </x:c>
    </x:row>
    <x:row r="164" ht="48" customHeight="1">
      <x:c r="A164" s="22" t="n">
        <x:v>159</x:v>
      </x:c>
      <x:c r="B164" s="22" t="str">
        <x:v>CrackStation</x:v>
      </x:c>
      <x:c r="C164" s="27" t="str">
        <x:v>N/A</x:v>
      </x:c>
      <x:c r="D164" s="22" t="str">
        <x:v>Utility classification</x:v>
      </x:c>
      <x:c r="E164" s="22" t="str">
        <x:v>HASH RECOVERY</x:v>
      </x:c>
      <x:c r="F164" s="22" t="str">
        <x:v>Authorized hash-analysis utility</x:v>
      </x:c>
      <x:c r="G164" s="22" t="str">
        <x:v>Technical analysis only, not identity evidence. Use only authorized inputs; no recovery service was executed.</x:v>
      </x:c>
      <x:c r="H164" s="22" t="str">
        <x:v>Use as a utility only; functionality not audited</x:v>
      </x:c>
      <x:c r="I164" s="22" t="str">
        <x:v>Not checked</x:v>
      </x:c>
      <x:c r="J164" s="22" t="str">
        <x:v>Saved bookmark metadata only</x:v>
      </x:c>
      <x:c r="K164" s="22" t="str"/>
      <x:c r="L164" s="24" t="str"/>
      <x:c r="M164" s="24" t="str">
        <x:v>https://crackstation.net/</x:v>
      </x:c>
      <x:c r="N164" s="22" t="str">
        <x:v>268636959</x:v>
      </x:c>
      <x:c r="O164" s="22" t="n">
        <x:v>1001</x:v>
      </x:c>
      <x:c r="P164" s="22" t="n">
        <x:v>1</x:v>
      </x:c>
      <x:c r="Q164" s="22" t="str"/>
      <x:c r="R164" s="22" t="n">
        <x:f>COUNTIF($M$6:$M$1177,M164)</x:f>
        <x:v>1</x:v>
      </x:c>
      <x:c r="S164" s="22" t="str">
        <x:v>Other / utility</x:v>
      </x:c>
      <x:c r="T164" s="22" t="str">
        <x:v>Scope only</x:v>
      </x:c>
    </x:row>
    <x:row r="165" ht="48" customHeight="1">
      <x:c r="A165" s="22" t="n">
        <x:v>160</x:v>
      </x:c>
      <x:c r="B165" s="22" t="str">
        <x:v>Hashmob Community</x:v>
      </x:c>
      <x:c r="C165" s="27" t="str">
        <x:v>N/A</x:v>
      </x:c>
      <x:c r="D165" s="22" t="str">
        <x:v>Utility classification</x:v>
      </x:c>
      <x:c r="E165" s="22" t="str">
        <x:v>HASH RECOVERY</x:v>
      </x:c>
      <x:c r="F165" s="22" t="str">
        <x:v>Authorized hash-analysis utility</x:v>
      </x:c>
      <x:c r="G165" s="22" t="str">
        <x:v>Technical analysis only, not identity evidence. Use only authorized inputs; no recovery service was executed.</x:v>
      </x:c>
      <x:c r="H165" s="22" t="str">
        <x:v>Use as a utility only; functionality not audited</x:v>
      </x:c>
      <x:c r="I165" s="22" t="str">
        <x:v>Not checked</x:v>
      </x:c>
      <x:c r="J165" s="22" t="str">
        <x:v>Saved bookmark metadata only</x:v>
      </x:c>
      <x:c r="K165" s="22" t="str"/>
      <x:c r="L165" s="24" t="str"/>
      <x:c r="M165" s="24" t="str">
        <x:v>https://hashmob.net/search</x:v>
      </x:c>
      <x:c r="N165" s="22" t="str">
        <x:v>287036648</x:v>
      </x:c>
      <x:c r="O165" s="22" t="n">
        <x:v>1001</x:v>
      </x:c>
      <x:c r="P165" s="22" t="n">
        <x:v>2</x:v>
      </x:c>
      <x:c r="Q165" s="22" t="str"/>
      <x:c r="R165" s="22" t="n">
        <x:f>COUNTIF($M$6:$M$1177,M165)</x:f>
        <x:v>1</x:v>
      </x:c>
      <x:c r="S165" s="22" t="str">
        <x:v>Other / utility</x:v>
      </x:c>
      <x:c r="T165" s="22" t="str">
        <x:v>Scope only</x:v>
      </x:c>
    </x:row>
    <x:row r="166" ht="48" customHeight="1">
      <x:c r="A166" s="22" t="n">
        <x:v>161</x:v>
      </x:c>
      <x:c r="B166" s="22" t="str">
        <x:v>Hashes.com</x:v>
      </x:c>
      <x:c r="C166" s="27" t="str">
        <x:v>N/A</x:v>
      </x:c>
      <x:c r="D166" s="22" t="str">
        <x:v>Utility classification</x:v>
      </x:c>
      <x:c r="E166" s="22" t="str">
        <x:v>HASH RECOVERY</x:v>
      </x:c>
      <x:c r="F166" s="22" t="str">
        <x:v>Authorized hash-analysis utility</x:v>
      </x:c>
      <x:c r="G166" s="22" t="str">
        <x:v>Technical analysis only, not identity evidence. Use only authorized inputs; no recovery service was executed.</x:v>
      </x:c>
      <x:c r="H166" s="22" t="str">
        <x:v>Use as a utility only; functionality not audited</x:v>
      </x:c>
      <x:c r="I166" s="22" t="str">
        <x:v>Not checked</x:v>
      </x:c>
      <x:c r="J166" s="22" t="str">
        <x:v>Saved bookmark metadata only</x:v>
      </x:c>
      <x:c r="K166" s="22" t="str"/>
      <x:c r="L166" s="24" t="str"/>
      <x:c r="M166" s="24" t="str">
        <x:v>https://hashes.com/en/decrypt/hash</x:v>
      </x:c>
      <x:c r="N166" s="22" t="str">
        <x:v>268636961</x:v>
      </x:c>
      <x:c r="O166" s="22" t="n">
        <x:v>1001</x:v>
      </x:c>
      <x:c r="P166" s="22" t="n">
        <x:v>3</x:v>
      </x:c>
      <x:c r="Q166" s="22" t="str"/>
      <x:c r="R166" s="22" t="n">
        <x:f>COUNTIF($M$6:$M$1177,M166)</x:f>
        <x:v>1</x:v>
      </x:c>
      <x:c r="S166" s="22" t="str">
        <x:v>Other / utility</x:v>
      </x:c>
      <x:c r="T166" s="22" t="str">
        <x:v>Scope only</x:v>
      </x:c>
    </x:row>
    <x:row r="167" ht="48" customHeight="1">
      <x:c r="A167" s="22" t="n">
        <x:v>162</x:v>
      </x:c>
      <x:c r="B167" s="22" t="str">
        <x:v>Online Password Hash Crack</x:v>
      </x:c>
      <x:c r="C167" s="27" t="str">
        <x:v>N/A</x:v>
      </x:c>
      <x:c r="D167" s="22" t="str">
        <x:v>Utility classification</x:v>
      </x:c>
      <x:c r="E167" s="22" t="str">
        <x:v>HASH RECOVERY</x:v>
      </x:c>
      <x:c r="F167" s="22" t="str">
        <x:v>Authorized hash-analysis utility</x:v>
      </x:c>
      <x:c r="G167" s="22" t="str">
        <x:v>Technical analysis only, not identity evidence. Use only authorized inputs; no recovery service was executed.</x:v>
      </x:c>
      <x:c r="H167" s="22" t="str">
        <x:v>Use as a utility only; functionality not audited</x:v>
      </x:c>
      <x:c r="I167" s="22" t="str">
        <x:v>Not checked</x:v>
      </x:c>
      <x:c r="J167" s="22" t="str">
        <x:v>Saved bookmark metadata only</x:v>
      </x:c>
      <x:c r="K167" s="22" t="str"/>
      <x:c r="L167" s="24" t="str"/>
      <x:c r="M167" s="24" t="str">
        <x:v>https://www.onlinehashcrack.com/</x:v>
      </x:c>
      <x:c r="N167" s="22" t="str">
        <x:v>291675494</x:v>
      </x:c>
      <x:c r="O167" s="22" t="n">
        <x:v>1001</x:v>
      </x:c>
      <x:c r="P167" s="22" t="n">
        <x:v>4</x:v>
      </x:c>
      <x:c r="Q167" s="22" t="str"/>
      <x:c r="R167" s="22" t="n">
        <x:f>COUNTIF($M$6:$M$1177,M167)</x:f>
        <x:v>1</x:v>
      </x:c>
      <x:c r="S167" s="22" t="str">
        <x:v>Other / utility</x:v>
      </x:c>
      <x:c r="T167" s="22" t="str">
        <x:v>Scope only</x:v>
      </x:c>
    </x:row>
    <x:row r="168" ht="48" customHeight="1">
      <x:c r="A168" s="22" t="n">
        <x:v>163</x:v>
      </x:c>
      <x:c r="B168" s="22" t="str">
        <x:v>Md5 Decrypt &amp; Encrypt</x:v>
      </x:c>
      <x:c r="C168" s="27" t="str">
        <x:v>N/A</x:v>
      </x:c>
      <x:c r="D168" s="22" t="str">
        <x:v>Utility classification</x:v>
      </x:c>
      <x:c r="E168" s="22" t="str">
        <x:v>HASH RECOVERY</x:v>
      </x:c>
      <x:c r="F168" s="22" t="str">
        <x:v>Authorized hash-analysis utility</x:v>
      </x:c>
      <x:c r="G168" s="22" t="str">
        <x:v>Technical analysis only, not identity evidence. Use only authorized inputs; no recovery service was executed.</x:v>
      </x:c>
      <x:c r="H168" s="22" t="str">
        <x:v>Use as a utility only; functionality not audited</x:v>
      </x:c>
      <x:c r="I168" s="22" t="str">
        <x:v>Not checked</x:v>
      </x:c>
      <x:c r="J168" s="22" t="str">
        <x:v>Saved bookmark metadata only</x:v>
      </x:c>
      <x:c r="K168" s="22" t="str"/>
      <x:c r="L168" s="24" t="str"/>
      <x:c r="M168" s="24" t="str">
        <x:v>https://md5decrypt.net/en/</x:v>
      </x:c>
      <x:c r="N168" s="22" t="str">
        <x:v>291675619</x:v>
      </x:c>
      <x:c r="O168" s="22" t="n">
        <x:v>1001</x:v>
      </x:c>
      <x:c r="P168" s="22" t="n">
        <x:v>5</x:v>
      </x:c>
      <x:c r="Q168" s="22" t="str"/>
      <x:c r="R168" s="22" t="n">
        <x:f>COUNTIF($M$6:$M$1177,M168)</x:f>
        <x:v>1</x:v>
      </x:c>
      <x:c r="S168" s="22" t="str">
        <x:v>Other / utility</x:v>
      </x:c>
      <x:c r="T168" s="22" t="str">
        <x:v>Scope only</x:v>
      </x:c>
    </x:row>
    <x:row r="169" ht="48" customHeight="1">
      <x:c r="A169" s="22" t="n">
        <x:v>164</x:v>
      </x:c>
      <x:c r="B169" s="22" t="str">
        <x:v>MD5 reverse lookup</x:v>
      </x:c>
      <x:c r="C169" s="27" t="str">
        <x:v>N/A</x:v>
      </x:c>
      <x:c r="D169" s="22" t="str">
        <x:v>Utility classification</x:v>
      </x:c>
      <x:c r="E169" s="22" t="str">
        <x:v>HASH RECOVERY</x:v>
      </x:c>
      <x:c r="F169" s="22" t="str">
        <x:v>Authorized hash-analysis utility</x:v>
      </x:c>
      <x:c r="G169" s="22" t="str">
        <x:v>Technical analysis only, not identity evidence. Use only authorized inputs; no recovery service was executed.</x:v>
      </x:c>
      <x:c r="H169" s="22" t="str">
        <x:v>Use as a utility only; functionality not audited</x:v>
      </x:c>
      <x:c r="I169" s="22" t="str">
        <x:v>Not checked</x:v>
      </x:c>
      <x:c r="J169" s="22" t="str">
        <x:v>Saved bookmark metadata only</x:v>
      </x:c>
      <x:c r="K169" s="22" t="str"/>
      <x:c r="L169" s="24" t="str"/>
      <x:c r="M169" s="24" t="str">
        <x:v>https://md5.gromweb.com/</x:v>
      </x:c>
      <x:c r="N169" s="22" t="str">
        <x:v>291678499</x:v>
      </x:c>
      <x:c r="O169" s="22" t="n">
        <x:v>1001</x:v>
      </x:c>
      <x:c r="P169" s="22" t="n">
        <x:v>6</x:v>
      </x:c>
      <x:c r="Q169" s="22" t="str"/>
      <x:c r="R169" s="22" t="n">
        <x:f>COUNTIF($M$6:$M$1177,M169)</x:f>
        <x:v>1</x:v>
      </x:c>
      <x:c r="S169" s="22" t="str">
        <x:v>Other / utility</x:v>
      </x:c>
      <x:c r="T169" s="22" t="str">
        <x:v>Scope only</x:v>
      </x:c>
    </x:row>
    <x:row r="170" ht="48" customHeight="1">
      <x:c r="A170" s="22" t="n">
        <x:v>165</x:v>
      </x:c>
      <x:c r="B170" s="22" t="str">
        <x:v>Ultimate Hashing</x:v>
      </x:c>
      <x:c r="C170" s="27" t="str">
        <x:v>N/A</x:v>
      </x:c>
      <x:c r="D170" s="22" t="str">
        <x:v>Utility classification</x:v>
      </x:c>
      <x:c r="E170" s="22" t="str">
        <x:v>HASH RECOVERY</x:v>
      </x:c>
      <x:c r="F170" s="22" t="str">
        <x:v>Authorized hash-analysis utility</x:v>
      </x:c>
      <x:c r="G170" s="22" t="str">
        <x:v>Technical analysis only, not identity evidence. Use only authorized inputs; no recovery service was executed.</x:v>
      </x:c>
      <x:c r="H170" s="22" t="str">
        <x:v>Use as a utility only; functionality not audited</x:v>
      </x:c>
      <x:c r="I170" s="22" t="str">
        <x:v>Not checked</x:v>
      </x:c>
      <x:c r="J170" s="22" t="str">
        <x:v>Saved bookmark metadata only</x:v>
      </x:c>
      <x:c r="K170" s="22" t="str"/>
      <x:c r="L170" s="24" t="str"/>
      <x:c r="M170" s="24" t="str">
        <x:v>https://md5hashing.net/</x:v>
      </x:c>
      <x:c r="N170" s="22" t="str">
        <x:v>291678532</x:v>
      </x:c>
      <x:c r="O170" s="22" t="n">
        <x:v>1001</x:v>
      </x:c>
      <x:c r="P170" s="22" t="n">
        <x:v>7</x:v>
      </x:c>
      <x:c r="Q170" s="22" t="str"/>
      <x:c r="R170" s="22" t="n">
        <x:f>COUNTIF($M$6:$M$1177,M170)</x:f>
        <x:v>1</x:v>
      </x:c>
      <x:c r="S170" s="22" t="str">
        <x:v>Other / utility</x:v>
      </x:c>
      <x:c r="T170" s="22" t="str">
        <x:v>Scope only</x:v>
      </x:c>
    </x:row>
    <x:row r="171" ht="48" customHeight="1">
      <x:c r="A171" s="22" t="n">
        <x:v>166</x:v>
      </x:c>
      <x:c r="B171" s="22" t="str">
        <x:v>Hashes.org</x:v>
      </x:c>
      <x:c r="C171" s="27" t="str">
        <x:v>N/A</x:v>
      </x:c>
      <x:c r="D171" s="22" t="str">
        <x:v>Utility classification</x:v>
      </x:c>
      <x:c r="E171" s="22" t="str">
        <x:v>HASH RECOVERY</x:v>
      </x:c>
      <x:c r="F171" s="22" t="str">
        <x:v>Authorized hash-analysis utility</x:v>
      </x:c>
      <x:c r="G171" s="22" t="str">
        <x:v>Technical analysis only, not identity evidence. Use only authorized inputs; no recovery service was executed.</x:v>
      </x:c>
      <x:c r="H171" s="22" t="str">
        <x:v>Use as a utility only; functionality not audited</x:v>
      </x:c>
      <x:c r="I171" s="22" t="str">
        <x:v>Not checked</x:v>
      </x:c>
      <x:c r="J171" s="22" t="str">
        <x:v>Saved bookmark metadata only</x:v>
      </x:c>
      <x:c r="K171" s="22" t="str"/>
      <x:c r="L171" s="24" t="str"/>
      <x:c r="M171" s="24" t="str">
        <x:v>https://hashes.org/search.php</x:v>
      </x:c>
      <x:c r="N171" s="22" t="str">
        <x:v>268636964</x:v>
      </x:c>
      <x:c r="O171" s="22" t="n">
        <x:v>1001</x:v>
      </x:c>
      <x:c r="P171" s="22" t="n">
        <x:v>8</x:v>
      </x:c>
      <x:c r="Q171" s="22" t="str"/>
      <x:c r="R171" s="22" t="n">
        <x:f>COUNTIF($M$6:$M$1177,M171)</x:f>
        <x:v>1</x:v>
      </x:c>
      <x:c r="S171" s="22" t="str">
        <x:v>Other / utility</x:v>
      </x:c>
      <x:c r="T171" s="22" t="str">
        <x:v>Scope only</x:v>
      </x:c>
    </x:row>
    <x:row r="172" ht="48" customHeight="1">
      <x:c r="A172" s="22" t="n">
        <x:v>167</x:v>
      </x:c>
      <x:c r="B172" s="22" t="str">
        <x:v>Media-downloader.net</x:v>
      </x:c>
      <x:c r="C172" s="27" t="str">
        <x:v>N/A</x:v>
      </x:c>
      <x:c r="D172" s="22" t="str">
        <x:v>Utility classification</x:v>
      </x:c>
      <x:c r="E172" s="22" t="str">
        <x:v>DOWNLOADER</x:v>
      </x:c>
      <x:c r="F172" s="22" t="str">
        <x:v>Collection / export utility</x:v>
      </x:c>
      <x:c r="G172" s="22" t="str">
        <x:v>An export does not authenticate authorship or completeness. Preserve source URLs, timestamps and original files.</x:v>
      </x:c>
      <x:c r="H172" s="22" t="str">
        <x:v>Use as a utility only; functionality not audited</x:v>
      </x:c>
      <x:c r="I172" s="22" t="str">
        <x:v>Not checked</x:v>
      </x:c>
      <x:c r="J172" s="22" t="str">
        <x:v>Saved bookmark metadata only</x:v>
      </x:c>
      <x:c r="K172" s="22" t="str"/>
      <x:c r="L172" s="24" t="str"/>
      <x:c r="M172" s="24" t="str">
        <x:v>https://media-downloader.net/</x:v>
      </x:c>
      <x:c r="N172" s="22" t="str">
        <x:v>268640462</x:v>
      </x:c>
      <x:c r="O172" s="22" t="n">
        <x:v>1001</x:v>
      </x:c>
      <x:c r="P172" s="22" t="n">
        <x:v>1</x:v>
      </x:c>
      <x:c r="Q172" s="22" t="str"/>
      <x:c r="R172" s="22" t="n">
        <x:f>COUNTIF($M$6:$M$1177,M172)</x:f>
        <x:v>1</x:v>
      </x:c>
      <x:c r="S172" s="22" t="str">
        <x:v>Other / utility</x:v>
      </x:c>
      <x:c r="T172" s="22" t="str">
        <x:v>Scope only</x:v>
      </x:c>
    </x:row>
    <x:row r="173" ht="48" customHeight="1">
      <x:c r="A173" s="22" t="n">
        <x:v>168</x:v>
      </x:c>
      <x:c r="B173" s="22" t="str">
        <x:v>Imgur Album Downloader</x:v>
      </x:c>
      <x:c r="C173" s="27" t="str">
        <x:v>N/A</x:v>
      </x:c>
      <x:c r="D173" s="22" t="str">
        <x:v>Utility classification</x:v>
      </x:c>
      <x:c r="E173" s="22" t="str">
        <x:v>DOWNLOADER</x:v>
      </x:c>
      <x:c r="F173" s="22" t="str">
        <x:v>Collection / export utility</x:v>
      </x:c>
      <x:c r="G173" s="22" t="str">
        <x:v>An export does not authenticate authorship or completeness. Preserve source URLs, timestamps and original files.</x:v>
      </x:c>
      <x:c r="H173" s="22" t="str">
        <x:v>Use as a utility only; functionality not audited</x:v>
      </x:c>
      <x:c r="I173" s="22" t="str">
        <x:v>Not checked</x:v>
      </x:c>
      <x:c r="J173" s="22" t="str">
        <x:v>Saved bookmark metadata only</x:v>
      </x:c>
      <x:c r="K173" s="22" t="str"/>
      <x:c r="L173" s="24" t="str"/>
      <x:c r="M173" s="24" t="str">
        <x:v>https://dschep.github.io/imgur-album-downloader/#/</x:v>
      </x:c>
      <x:c r="N173" s="22" t="str">
        <x:v>268640562</x:v>
      </x:c>
      <x:c r="O173" s="22" t="n">
        <x:v>1001</x:v>
      </x:c>
      <x:c r="P173" s="22" t="n">
        <x:v>2</x:v>
      </x:c>
      <x:c r="Q173" s="22" t="str"/>
      <x:c r="R173" s="22" t="n">
        <x:f>COUNTIF($M$6:$M$1177,M173)</x:f>
        <x:v>1</x:v>
      </x:c>
      <x:c r="S173" s="22" t="str">
        <x:v>Other / utility</x:v>
      </x:c>
      <x:c r="T173" s="22" t="str">
        <x:v>Scope only</x:v>
      </x:c>
    </x:row>
    <x:row r="174" ht="48" customHeight="1">
      <x:c r="A174" s="22" t="n">
        <x:v>169</x:v>
      </x:c>
      <x:c r="B174" s="22" t="str">
        <x:v>Export Comments</x:v>
      </x:c>
      <x:c r="C174" s="27" t="str">
        <x:v>N/A</x:v>
      </x:c>
      <x:c r="D174" s="22" t="str">
        <x:v>Utility classification</x:v>
      </x:c>
      <x:c r="E174" s="22" t="str">
        <x:v>DOWNLOADER</x:v>
      </x:c>
      <x:c r="F174" s="22" t="str">
        <x:v>Collection / export utility</x:v>
      </x:c>
      <x:c r="G174" s="22" t="str">
        <x:v>An export does not authenticate authorship or completeness. Preserve source URLs, timestamps and original files.</x:v>
      </x:c>
      <x:c r="H174" s="22" t="str">
        <x:v>Use as a utility only; functionality not audited</x:v>
      </x:c>
      <x:c r="I174" s="22" t="str">
        <x:v>Not checked</x:v>
      </x:c>
      <x:c r="J174" s="22" t="str">
        <x:v>Saved bookmark metadata only</x:v>
      </x:c>
      <x:c r="K174" s="22" t="str"/>
      <x:c r="L174" s="24" t="str"/>
      <x:c r="M174" s="24" t="str">
        <x:v>https://exportcomments.com/</x:v>
      </x:c>
      <x:c r="N174" s="22" t="str">
        <x:v>268643735</x:v>
      </x:c>
      <x:c r="O174" s="22" t="n">
        <x:v>1001</x:v>
      </x:c>
      <x:c r="P174" s="22" t="n">
        <x:v>3</x:v>
      </x:c>
      <x:c r="Q174" s="22" t="str"/>
      <x:c r="R174" s="22" t="n">
        <x:f>COUNTIF($M$6:$M$1177,M174)</x:f>
        <x:v>1</x:v>
      </x:c>
      <x:c r="S174" s="22" t="str">
        <x:v>Other / utility</x:v>
      </x:c>
      <x:c r="T174" s="22" t="str">
        <x:v>Scope only</x:v>
      </x:c>
    </x:row>
    <x:row r="175" ht="48" customHeight="1">
      <x:c r="A175" s="22" t="n">
        <x:v>170</x:v>
      </x:c>
      <x:c r="B175" s="22" t="str">
        <x:v>Image Extractor</x:v>
      </x:c>
      <x:c r="C175" s="27" t="str">
        <x:v>N/A</x:v>
      </x:c>
      <x:c r="D175" s="22" t="str">
        <x:v>Utility classification</x:v>
      </x:c>
      <x:c r="E175" s="22" t="str">
        <x:v>DOWNLOADER</x:v>
      </x:c>
      <x:c r="F175" s="22" t="str">
        <x:v>Collection / export utility</x:v>
      </x:c>
      <x:c r="G175" s="22" t="str">
        <x:v>An export does not authenticate authorship or completeness. Preserve source URLs, timestamps and original files.</x:v>
      </x:c>
      <x:c r="H175" s="22" t="str">
        <x:v>Use as a utility only; functionality not audited</x:v>
      </x:c>
      <x:c r="I175" s="22" t="str">
        <x:v>Not checked</x:v>
      </x:c>
      <x:c r="J175" s="22" t="str">
        <x:v>Saved bookmark metadata only</x:v>
      </x:c>
      <x:c r="K175" s="22" t="str"/>
      <x:c r="L175" s="24" t="str"/>
      <x:c r="M175" s="24" t="str">
        <x:v>https://extract.pics/</x:v>
      </x:c>
      <x:c r="N175" s="22" t="str">
        <x:v>288384313</x:v>
      </x:c>
      <x:c r="O175" s="22" t="n">
        <x:v>1001</x:v>
      </x:c>
      <x:c r="P175" s="22" t="n">
        <x:v>4</x:v>
      </x:c>
      <x:c r="Q175" s="22" t="str"/>
      <x:c r="R175" s="22" t="n">
        <x:f>COUNTIF($M$6:$M$1177,M175)</x:f>
        <x:v>1</x:v>
      </x:c>
      <x:c r="S175" s="22" t="str">
        <x:v>Other / utility</x:v>
      </x:c>
      <x:c r="T175" s="22" t="str">
        <x:v>Scope only</x:v>
      </x:c>
    </x:row>
    <x:row r="176" ht="48" customHeight="1">
      <x:c r="A176" s="22" t="n">
        <x:v>171</x:v>
      </x:c>
      <x:c r="B176" s="22" t="str">
        <x:v>Loader.to</x:v>
      </x:c>
      <x:c r="C176" s="27" t="str">
        <x:v>N/A</x:v>
      </x:c>
      <x:c r="D176" s="22" t="str">
        <x:v>Utility classification</x:v>
      </x:c>
      <x:c r="E176" s="22" t="str">
        <x:v>DOWNLOADER</x:v>
      </x:c>
      <x:c r="F176" s="22" t="str">
        <x:v>Collection / export utility</x:v>
      </x:c>
      <x:c r="G176" s="22" t="str">
        <x:v>An export does not authenticate authorship or completeness. Preserve source URLs, timestamps and original files.</x:v>
      </x:c>
      <x:c r="H176" s="22" t="str">
        <x:v>Use as a utility only; functionality not audited</x:v>
      </x:c>
      <x:c r="I176" s="22" t="str">
        <x:v>Not checked</x:v>
      </x:c>
      <x:c r="J176" s="22" t="str">
        <x:v>Saved bookmark metadata only</x:v>
      </x:c>
      <x:c r="K176" s="22" t="str"/>
      <x:c r="L176" s="24" t="str"/>
      <x:c r="M176" s="24" t="str">
        <x:v>https://loader.to/</x:v>
      </x:c>
      <x:c r="N176" s="22" t="str">
        <x:v>297341025</x:v>
      </x:c>
      <x:c r="O176" s="22" t="n">
        <x:v>1001</x:v>
      </x:c>
      <x:c r="P176" s="22" t="n">
        <x:v>5</x:v>
      </x:c>
      <x:c r="Q176" s="22" t="str"/>
      <x:c r="R176" s="22" t="n">
        <x:f>COUNTIF($M$6:$M$1177,M176)</x:f>
        <x:v>1</x:v>
      </x:c>
      <x:c r="S176" s="22" t="str">
        <x:v>Other / utility</x:v>
      </x:c>
      <x:c r="T176" s="22" t="str">
        <x:v>Scope only</x:v>
      </x:c>
    </x:row>
    <x:row r="177" ht="48" customHeight="1">
      <x:c r="A177" s="22" t="n">
        <x:v>172</x:v>
      </x:c>
      <x:c r="B177" s="22" t="str">
        <x:v>Commentexporter.com</x:v>
      </x:c>
      <x:c r="C177" s="27" t="str">
        <x:v>N/A</x:v>
      </x:c>
      <x:c r="D177" s="22" t="str">
        <x:v>Utility classification</x:v>
      </x:c>
      <x:c r="E177" s="22" t="str">
        <x:v>DOWNLOADER</x:v>
      </x:c>
      <x:c r="F177" s="22" t="str">
        <x:v>Collection / export utility</x:v>
      </x:c>
      <x:c r="G177" s="22" t="str">
        <x:v>An export does not authenticate authorship or completeness. Preserve source URLs, timestamps and original files.</x:v>
      </x:c>
      <x:c r="H177" s="22" t="str">
        <x:v>Use as a utility only; functionality not audited</x:v>
      </x:c>
      <x:c r="I177" s="22" t="str">
        <x:v>Not checked</x:v>
      </x:c>
      <x:c r="J177" s="22" t="str">
        <x:v>Saved bookmark metadata only</x:v>
      </x:c>
      <x:c r="K177" s="22" t="str"/>
      <x:c r="L177" s="24" t="str"/>
      <x:c r="M177" s="24" t="str">
        <x:v>https://www.commentexporter.com/</x:v>
      </x:c>
      <x:c r="N177" s="22" t="str">
        <x:v>268643738</x:v>
      </x:c>
      <x:c r="O177" s="22" t="n">
        <x:v>1001</x:v>
      </x:c>
      <x:c r="P177" s="22" t="n">
        <x:v>6</x:v>
      </x:c>
      <x:c r="Q177" s="22" t="str"/>
      <x:c r="R177" s="22" t="n">
        <x:f>COUNTIF($M$6:$M$1177,M177)</x:f>
        <x:v>1</x:v>
      </x:c>
      <x:c r="S177" s="22" t="str">
        <x:v>Other / utility</x:v>
      </x:c>
      <x:c r="T177" s="22" t="str">
        <x:v>Scope only</x:v>
      </x:c>
    </x:row>
    <x:row r="178" ht="48" customHeight="1">
      <x:c r="A178" s="22" t="n">
        <x:v>173</x:v>
      </x:c>
      <x:c r="B178" s="22" t="str">
        <x:v>Link Gopher</x:v>
      </x:c>
      <x:c r="C178" s="27" t="str">
        <x:v>N/A</x:v>
      </x:c>
      <x:c r="D178" s="22" t="str">
        <x:v>Utility classification</x:v>
      </x:c>
      <x:c r="E178" s="22" t="str">
        <x:v>DOWNLOADER</x:v>
      </x:c>
      <x:c r="F178" s="22" t="str">
        <x:v>Collection / export utility</x:v>
      </x:c>
      <x:c r="G178" s="22" t="str">
        <x:v>An export does not authenticate authorship or completeness. Preserve source URLs, timestamps and original files.</x:v>
      </x:c>
      <x:c r="H178" s="22" t="str">
        <x:v>Use as a utility only; functionality not audited</x:v>
      </x:c>
      <x:c r="I178" s="22" t="str">
        <x:v>Not checked</x:v>
      </x:c>
      <x:c r="J178" s="22" t="str">
        <x:v>Saved bookmark metadata only</x:v>
      </x:c>
      <x:c r="K178" s="22" t="str"/>
      <x:c r="L178" s="24" t="str"/>
      <x:c r="M178" s="24" t="str">
        <x:v>https://sites.google.com/site/linkgopher/</x:v>
      </x:c>
      <x:c r="N178" s="22" t="str">
        <x:v>291438325</x:v>
      </x:c>
      <x:c r="O178" s="22" t="n">
        <x:v>1001</x:v>
      </x:c>
      <x:c r="P178" s="22" t="n">
        <x:v>7</x:v>
      </x:c>
      <x:c r="Q178" s="22" t="str"/>
      <x:c r="R178" s="22" t="n">
        <x:f>COUNTIF($M$6:$M$1177,M178)</x:f>
        <x:v>1</x:v>
      </x:c>
      <x:c r="S178" s="22" t="str">
        <x:v>Other / utility</x:v>
      </x:c>
      <x:c r="T178" s="22" t="str">
        <x:v>Scope only</x:v>
      </x:c>
    </x:row>
    <x:row r="179" ht="48" customHeight="1">
      <x:c r="A179" s="22" t="n">
        <x:v>174</x:v>
      </x:c>
      <x:c r="B179" s="22" t="str">
        <x:v>Page Links Extractor Tool</x:v>
      </x:c>
      <x:c r="C179" s="27" t="str">
        <x:v>N/A</x:v>
      </x:c>
      <x:c r="D179" s="22" t="str">
        <x:v>Utility classification</x:v>
      </x:c>
      <x:c r="E179" s="22" t="str">
        <x:v>DOWNLOADER</x:v>
      </x:c>
      <x:c r="F179" s="22" t="str">
        <x:v>Collection / export utility</x:v>
      </x:c>
      <x:c r="G179" s="22" t="str">
        <x:v>An export does not authenticate authorship or completeness. Preserve source URLs, timestamps and original files.</x:v>
      </x:c>
      <x:c r="H179" s="22" t="str">
        <x:v>Use as a utility only; functionality not audited</x:v>
      </x:c>
      <x:c r="I179" s="22" t="str">
        <x:v>Not checked</x:v>
      </x:c>
      <x:c r="J179" s="22" t="str">
        <x:v>Saved bookmark metadata only</x:v>
      </x:c>
      <x:c r="K179" s="22" t="str"/>
      <x:c r="L179" s="24" t="str"/>
      <x:c r="M179" s="24" t="str">
        <x:v>https://shadowcrypt.net/tools/pagelinks</x:v>
      </x:c>
      <x:c r="N179" s="22" t="str">
        <x:v>286694683</x:v>
      </x:c>
      <x:c r="O179" s="22" t="n">
        <x:v>1001</x:v>
      </x:c>
      <x:c r="P179" s="22" t="n">
        <x:v>8</x:v>
      </x:c>
      <x:c r="Q179" s="22" t="str"/>
      <x:c r="R179" s="22" t="n">
        <x:f>COUNTIF($M$6:$M$1177,M179)</x:f>
        <x:v>1</x:v>
      </x:c>
      <x:c r="S179" s="22" t="str">
        <x:v>Other / utility</x:v>
      </x:c>
      <x:c r="T179" s="22" t="str">
        <x:v>Scope only</x:v>
      </x:c>
    </x:row>
    <x:row r="180" ht="48" customHeight="1">
      <x:c r="A180" s="22" t="n">
        <x:v>175</x:v>
      </x:c>
      <x:c r="B180" s="22" t="str">
        <x:v>Online Tool to Extract Links from any Web Page</x:v>
      </x:c>
      <x:c r="C180" s="27" t="str">
        <x:v>N/A</x:v>
      </x:c>
      <x:c r="D180" s="22" t="str">
        <x:v>Utility classification</x:v>
      </x:c>
      <x:c r="E180" s="22" t="str">
        <x:v>DOWNLOADER</x:v>
      </x:c>
      <x:c r="F180" s="22" t="str">
        <x:v>Collection / export utility</x:v>
      </x:c>
      <x:c r="G180" s="22" t="str">
        <x:v>An export does not authenticate authorship or completeness. Preserve source URLs, timestamps and original files.</x:v>
      </x:c>
      <x:c r="H180" s="22" t="str">
        <x:v>Use as a utility only; functionality not audited</x:v>
      </x:c>
      <x:c r="I180" s="22" t="str">
        <x:v>Not checked</x:v>
      </x:c>
      <x:c r="J180" s="22" t="str">
        <x:v>Saved bookmark metadata only</x:v>
      </x:c>
      <x:c r="K180" s="22" t="str"/>
      <x:c r="L180" s="24" t="str"/>
      <x:c r="M180" s="24" t="str">
        <x:v>https://hackertarget.com/extract-links/</x:v>
      </x:c>
      <x:c r="N180" s="22" t="str">
        <x:v>286823017</x:v>
      </x:c>
      <x:c r="O180" s="22" t="n">
        <x:v>1001</x:v>
      </x:c>
      <x:c r="P180" s="22" t="n">
        <x:v>9</x:v>
      </x:c>
      <x:c r="Q180" s="22" t="str"/>
      <x:c r="R180" s="22" t="n">
        <x:f>COUNTIF($M$6:$M$1177,M180)</x:f>
        <x:v>1</x:v>
      </x:c>
      <x:c r="S180" s="22" t="str">
        <x:v>Other / utility</x:v>
      </x:c>
      <x:c r="T180" s="22" t="str">
        <x:v>Scope only</x:v>
      </x:c>
    </x:row>
    <x:row r="181" ht="48" customHeight="1">
      <x:c r="A181" s="22" t="n">
        <x:v>176</x:v>
      </x:c>
      <x:c r="B181" s="22" t="str">
        <x:v>Privacy Services by Michael Bazzell</x:v>
      </x:c>
      <x:c r="C181" s="27" t="str">
        <x:v>N/A</x:v>
      </x:c>
      <x:c r="D181" s="22" t="str">
        <x:v>Utility classification</x:v>
      </x:c>
      <x:c r="E181" s="22" t="str">
        <x:v>PRIVACY / SECURITY</x:v>
      </x:c>
      <x:c r="F181" s="22" t="str">
        <x:v>Privacy reference or protective utility</x:v>
      </x:c>
      <x:c r="G181" s="22" t="str">
        <x:v>Not a source of person-to-person connections. Security and privacy claims were not independently audited.</x:v>
      </x:c>
      <x:c r="H181" s="22" t="str">
        <x:v>Use as a utility only; functionality not audited</x:v>
      </x:c>
      <x:c r="I181" s="22" t="str">
        <x:v>Not checked</x:v>
      </x:c>
      <x:c r="J181" s="22" t="str">
        <x:v>Saved bookmark metadata only</x:v>
      </x:c>
      <x:c r="K181" s="22" t="str"/>
      <x:c r="L181" s="24" t="str"/>
      <x:c r="M181" s="24" t="str">
        <x:v>https://inteltechniques.com/workbook.html</x:v>
      </x:c>
      <x:c r="N181" s="22" t="str">
        <x:v>309551914</x:v>
      </x:c>
      <x:c r="O181" s="22" t="n">
        <x:v>1001</x:v>
      </x:c>
      <x:c r="P181" s="22" t="n">
        <x:v>1</x:v>
      </x:c>
      <x:c r="Q181" s="22" t="str"/>
      <x:c r="R181" s="22" t="n">
        <x:f>COUNTIF($M$6:$M$1177,M181)</x:f>
        <x:v>1</x:v>
      </x:c>
      <x:c r="S181" s="22" t="str">
        <x:v>Other / utility</x:v>
      </x:c>
      <x:c r="T181" s="22" t="str">
        <x:v>Scope only</x:v>
      </x:c>
    </x:row>
    <x:row r="182" ht="48" customHeight="1">
      <x:c r="A182" s="22" t="n">
        <x:v>177</x:v>
      </x:c>
      <x:c r="B182" s="22" t="str">
        <x:v>Privacy Guides</x:v>
      </x:c>
      <x:c r="C182" s="27" t="str">
        <x:v>N/A</x:v>
      </x:c>
      <x:c r="D182" s="22" t="str">
        <x:v>Utility classification</x:v>
      </x:c>
      <x:c r="E182" s="22" t="str">
        <x:v>PRIVACY / SECURITY</x:v>
      </x:c>
      <x:c r="F182" s="22" t="str">
        <x:v>Privacy reference or protective utility</x:v>
      </x:c>
      <x:c r="G182" s="22" t="str">
        <x:v>Not a source of person-to-person connections. Security and privacy claims were not independently audited.</x:v>
      </x:c>
      <x:c r="H182" s="22" t="str">
        <x:v>Use as a utility only; functionality not audited</x:v>
      </x:c>
      <x:c r="I182" s="22" t="str">
        <x:v>Not checked</x:v>
      </x:c>
      <x:c r="J182" s="22" t="str">
        <x:v>Saved bookmark metadata only</x:v>
      </x:c>
      <x:c r="K182" s="22" t="str"/>
      <x:c r="L182" s="24" t="str"/>
      <x:c r="M182" s="24" t="str">
        <x:v>https://privacyguides.org/</x:v>
      </x:c>
      <x:c r="N182" s="22" t="str">
        <x:v>291678620</x:v>
      </x:c>
      <x:c r="O182" s="22" t="n">
        <x:v>1002</x:v>
      </x:c>
      <x:c r="P182" s="22" t="n">
        <x:v>2</x:v>
      </x:c>
      <x:c r="Q182" s="22" t="str"/>
      <x:c r="R182" s="22" t="n">
        <x:f>COUNTIF($M$6:$M$1177,M182)</x:f>
        <x:v>1</x:v>
      </x:c>
      <x:c r="S182" s="22" t="str">
        <x:v>Other / utility</x:v>
      </x:c>
      <x:c r="T182" s="22" t="str">
        <x:v>Scope only</x:v>
      </x:c>
    </x:row>
    <x:row r="183" ht="48" customHeight="1">
      <x:c r="A183" s="22" t="n">
        <x:v>178</x:v>
      </x:c>
      <x:c r="B183" s="22" t="str">
        <x:v>Surveillance Self-Defense</x:v>
      </x:c>
      <x:c r="C183" s="27" t="str">
        <x:v>N/A</x:v>
      </x:c>
      <x:c r="D183" s="22" t="str">
        <x:v>Utility classification</x:v>
      </x:c>
      <x:c r="E183" s="22" t="str">
        <x:v>PRIVACY / SECURITY</x:v>
      </x:c>
      <x:c r="F183" s="22" t="str">
        <x:v>Privacy reference or protective utility</x:v>
      </x:c>
      <x:c r="G183" s="22" t="str">
        <x:v>Not a source of person-to-person connections. Security and privacy claims were not independently audited.</x:v>
      </x:c>
      <x:c r="H183" s="22" t="str">
        <x:v>Use as a utility only; functionality not audited</x:v>
      </x:c>
      <x:c r="I183" s="22" t="str">
        <x:v>Not checked</x:v>
      </x:c>
      <x:c r="J183" s="22" t="str">
        <x:v>Saved bookmark metadata only</x:v>
      </x:c>
      <x:c r="K183" s="22" t="str"/>
      <x:c r="L183" s="24" t="str"/>
      <x:c r="M183" s="24" t="str">
        <x:v>https://ssd.eff.org/</x:v>
      </x:c>
      <x:c r="N183" s="22" t="str">
        <x:v>286039132</x:v>
      </x:c>
      <x:c r="O183" s="22" t="n">
        <x:v>1002</x:v>
      </x:c>
      <x:c r="P183" s="22" t="n">
        <x:v>3</x:v>
      </x:c>
      <x:c r="Q183" s="22" t="str"/>
      <x:c r="R183" s="22" t="n">
        <x:f>COUNTIF($M$6:$M$1177,M183)</x:f>
        <x:v>1</x:v>
      </x:c>
      <x:c r="S183" s="22" t="str">
        <x:v>Other / utility</x:v>
      </x:c>
      <x:c r="T183" s="22" t="str">
        <x:v>Scope only</x:v>
      </x:c>
    </x:row>
    <x:row r="184" ht="48" customHeight="1">
      <x:c r="A184" s="22" t="n">
        <x:v>179</x:v>
      </x:c>
      <x:c r="B184" s="22" t="str">
        <x:v>gofoss.net</x:v>
      </x:c>
      <x:c r="C184" s="27" t="str">
        <x:v>N/A</x:v>
      </x:c>
      <x:c r="D184" s="22" t="str">
        <x:v>Utility classification</x:v>
      </x:c>
      <x:c r="E184" s="22" t="str">
        <x:v>PRIVACY / SECURITY</x:v>
      </x:c>
      <x:c r="F184" s="22" t="str">
        <x:v>Privacy reference or protective utility</x:v>
      </x:c>
      <x:c r="G184" s="22" t="str">
        <x:v>Not a source of person-to-person connections. Security and privacy claims were not independently audited.</x:v>
      </x:c>
      <x:c r="H184" s="22" t="str">
        <x:v>Use as a utility only; functionality not audited</x:v>
      </x:c>
      <x:c r="I184" s="22" t="str">
        <x:v>Not checked</x:v>
      </x:c>
      <x:c r="J184" s="22" t="str">
        <x:v>Saved bookmark metadata only</x:v>
      </x:c>
      <x:c r="K184" s="22" t="str"/>
      <x:c r="L184" s="24" t="str"/>
      <x:c r="M184" s="24" t="str">
        <x:v>https://gofoss.net/</x:v>
      </x:c>
      <x:c r="N184" s="22" t="str">
        <x:v>309551911</x:v>
      </x:c>
      <x:c r="O184" s="22" t="n">
        <x:v>1002</x:v>
      </x:c>
      <x:c r="P184" s="22" t="n">
        <x:v>4</x:v>
      </x:c>
      <x:c r="Q184" s="22" t="str"/>
      <x:c r="R184" s="22" t="n">
        <x:f>COUNTIF($M$6:$M$1177,M184)</x:f>
        <x:v>1</x:v>
      </x:c>
      <x:c r="S184" s="22" t="str">
        <x:v>Other / utility</x:v>
      </x:c>
      <x:c r="T184" s="22" t="str">
        <x:v>Scope only</x:v>
      </x:c>
    </x:row>
    <x:row r="185" ht="48" customHeight="1">
      <x:c r="A185" s="22" t="n">
        <x:v>180</x:v>
      </x:c>
      <x:c r="B185" s="22" t="str">
        <x:v>Consumer Reports Security Planner</x:v>
      </x:c>
      <x:c r="C185" s="27" t="str">
        <x:v>N/A</x:v>
      </x:c>
      <x:c r="D185" s="22" t="str">
        <x:v>Utility classification</x:v>
      </x:c>
      <x:c r="E185" s="22" t="str">
        <x:v>PRIVACY / SECURITY</x:v>
      </x:c>
      <x:c r="F185" s="22" t="str">
        <x:v>Privacy reference or protective utility</x:v>
      </x:c>
      <x:c r="G185" s="22" t="str">
        <x:v>Not a source of person-to-person connections. Security and privacy claims were not independently audited.</x:v>
      </x:c>
      <x:c r="H185" s="22" t="str">
        <x:v>Use as a utility only; functionality not audited</x:v>
      </x:c>
      <x:c r="I185" s="22" t="str">
        <x:v>Not checked</x:v>
      </x:c>
      <x:c r="J185" s="22" t="str">
        <x:v>Saved bookmark metadata only</x:v>
      </x:c>
      <x:c r="K185" s="22" t="str"/>
      <x:c r="L185" s="24" t="str"/>
      <x:c r="M185" s="24" t="str">
        <x:v>https://securityplanner.consumerreports.org/</x:v>
      </x:c>
      <x:c r="N185" s="22" t="str">
        <x:v>268390443</x:v>
      </x:c>
      <x:c r="O185" s="22" t="n">
        <x:v>1002</x:v>
      </x:c>
      <x:c r="P185" s="22" t="n">
        <x:v>5</x:v>
      </x:c>
      <x:c r="Q185" s="22" t="str"/>
      <x:c r="R185" s="22" t="n">
        <x:f>COUNTIF($M$6:$M$1177,M185)</x:f>
        <x:v>1</x:v>
      </x:c>
      <x:c r="S185" s="22" t="str">
        <x:v>Other / utility</x:v>
      </x:c>
      <x:c r="T185" s="22" t="str">
        <x:v>Scope only</x:v>
      </x:c>
    </x:row>
    <x:row r="186" ht="48" customHeight="1">
      <x:c r="A186" s="22" t="n">
        <x:v>181</x:v>
      </x:c>
      <x:c r="B186" s="22" t="str">
        <x:v>Security in a Box</x:v>
      </x:c>
      <x:c r="C186" s="27" t="str">
        <x:v>N/A</x:v>
      </x:c>
      <x:c r="D186" s="22" t="str">
        <x:v>Utility classification</x:v>
      </x:c>
      <x:c r="E186" s="22" t="str">
        <x:v>PRIVACY / SECURITY</x:v>
      </x:c>
      <x:c r="F186" s="22" t="str">
        <x:v>Privacy reference or protective utility</x:v>
      </x:c>
      <x:c r="G186" s="22" t="str">
        <x:v>Not a source of person-to-person connections. Security and privacy claims were not independently audited.</x:v>
      </x:c>
      <x:c r="H186" s="22" t="str">
        <x:v>Use as a utility only; functionality not audited</x:v>
      </x:c>
      <x:c r="I186" s="22" t="str">
        <x:v>Not checked</x:v>
      </x:c>
      <x:c r="J186" s="22" t="str">
        <x:v>Saved bookmark metadata only</x:v>
      </x:c>
      <x:c r="K186" s="22" t="str"/>
      <x:c r="L186" s="24" t="str"/>
      <x:c r="M186" s="24" t="str">
        <x:v>https://securityinabox.org/en/</x:v>
      </x:c>
      <x:c r="N186" s="22" t="str">
        <x:v>268390459</x:v>
      </x:c>
      <x:c r="O186" s="22" t="n">
        <x:v>1002</x:v>
      </x:c>
      <x:c r="P186" s="22" t="n">
        <x:v>6</x:v>
      </x:c>
      <x:c r="Q186" s="22" t="str"/>
      <x:c r="R186" s="22" t="n">
        <x:f>COUNTIF($M$6:$M$1177,M186)</x:f>
        <x:v>1</x:v>
      </x:c>
      <x:c r="S186" s="22" t="str">
        <x:v>Other / utility</x:v>
      </x:c>
      <x:c r="T186" s="22" t="str">
        <x:v>Scope only</x:v>
      </x:c>
    </x:row>
    <x:row r="187" ht="48" customHeight="1">
      <x:c r="A187" s="22" t="n">
        <x:v>182</x:v>
      </x:c>
      <x:c r="B187" s="22" t="str">
        <x:v>Counter-OSINT guide for Russians</x:v>
      </x:c>
      <x:c r="C187" s="27" t="str">
        <x:v>N/A</x:v>
      </x:c>
      <x:c r="D187" s="22" t="str">
        <x:v>Utility classification</x:v>
      </x:c>
      <x:c r="E187" s="22" t="str">
        <x:v>PRIVACY / SECURITY</x:v>
      </x:c>
      <x:c r="F187" s="22" t="str">
        <x:v>Privacy reference or protective utility</x:v>
      </x:c>
      <x:c r="G187" s="22" t="str">
        <x:v>Not a source of person-to-person connections. Security and privacy claims were not independently audited.</x:v>
      </x:c>
      <x:c r="H187" s="22" t="str">
        <x:v>Use as a utility only; functionality not audited</x:v>
      </x:c>
      <x:c r="I187" s="22" t="str">
        <x:v>Not checked</x:v>
      </x:c>
      <x:c r="J187" s="22" t="str">
        <x:v>Saved bookmark metadata only</x:v>
      </x:c>
      <x:c r="K187" s="22" t="str"/>
      <x:c r="L187" s="24" t="str"/>
      <x:c r="M187" s="24" t="str">
        <x:v>https://github.com/soxoj/counter-osint-guide-ru</x:v>
      </x:c>
      <x:c r="N187" s="22" t="str">
        <x:v>309553067</x:v>
      </x:c>
      <x:c r="O187" s="22" t="n">
        <x:v>1002</x:v>
      </x:c>
      <x:c r="P187" s="22" t="n">
        <x:v>7</x:v>
      </x:c>
      <x:c r="Q187" s="22" t="str"/>
      <x:c r="R187" s="22" t="n">
        <x:f>COUNTIF($M$6:$M$1177,M187)</x:f>
        <x:v>1</x:v>
      </x:c>
      <x:c r="S187" s="22" t="str">
        <x:v>Other / utility</x:v>
      </x:c>
      <x:c r="T187" s="22" t="str">
        <x:v>Scope only</x:v>
      </x:c>
    </x:row>
    <x:row r="188" ht="48" customHeight="1">
      <x:c r="A188" s="22" t="n">
        <x:v>183</x:v>
      </x:c>
      <x:c r="B188" s="22" t="str">
        <x:v>PRISM Break</x:v>
      </x:c>
      <x:c r="C188" s="27" t="str">
        <x:v>N/A</x:v>
      </x:c>
      <x:c r="D188" s="22" t="str">
        <x:v>Utility classification</x:v>
      </x:c>
      <x:c r="E188" s="22" t="str">
        <x:v>PRIVACY / SECURITY</x:v>
      </x:c>
      <x:c r="F188" s="22" t="str">
        <x:v>Privacy reference or protective utility</x:v>
      </x:c>
      <x:c r="G188" s="22" t="str">
        <x:v>Not a source of person-to-person connections. Security and privacy claims were not independently audited.</x:v>
      </x:c>
      <x:c r="H188" s="22" t="str">
        <x:v>Use as a utility only; functionality not audited</x:v>
      </x:c>
      <x:c r="I188" s="22" t="str">
        <x:v>Not checked</x:v>
      </x:c>
      <x:c r="J188" s="22" t="str">
        <x:v>Saved bookmark metadata only</x:v>
      </x:c>
      <x:c r="K188" s="22" t="str"/>
      <x:c r="L188" s="24" t="str"/>
      <x:c r="M188" s="24" t="str">
        <x:v>https://prism-break.org/en/</x:v>
      </x:c>
      <x:c r="N188" s="22" t="str">
        <x:v>268390448</x:v>
      </x:c>
      <x:c r="O188" s="22" t="n">
        <x:v>1002</x:v>
      </x:c>
      <x:c r="P188" s="22" t="n">
        <x:v>8</x:v>
      </x:c>
      <x:c r="Q188" s="22" t="str"/>
      <x:c r="R188" s="22" t="n">
        <x:f>COUNTIF($M$6:$M$1177,M188)</x:f>
        <x:v>1</x:v>
      </x:c>
      <x:c r="S188" s="22" t="str">
        <x:v>Other / utility</x:v>
      </x:c>
      <x:c r="T188" s="22" t="str">
        <x:v>Scope only</x:v>
      </x:c>
    </x:row>
    <x:row r="189" ht="48" customHeight="1">
      <x:c r="A189" s="22" t="n">
        <x:v>184</x:v>
      </x:c>
      <x:c r="B189" s="22" t="str">
        <x:v>Security First - Umbrella</x:v>
      </x:c>
      <x:c r="C189" s="27" t="str">
        <x:v>N/A</x:v>
      </x:c>
      <x:c r="D189" s="22" t="str">
        <x:v>Utility classification</x:v>
      </x:c>
      <x:c r="E189" s="22" t="str">
        <x:v>PRIVACY / SECURITY</x:v>
      </x:c>
      <x:c r="F189" s="22" t="str">
        <x:v>Privacy reference or protective utility</x:v>
      </x:c>
      <x:c r="G189" s="22" t="str">
        <x:v>Not a source of person-to-person connections. Security and privacy claims were not independently audited.</x:v>
      </x:c>
      <x:c r="H189" s="22" t="str">
        <x:v>Use as a utility only; functionality not audited</x:v>
      </x:c>
      <x:c r="I189" s="22" t="str">
        <x:v>Not checked</x:v>
      </x:c>
      <x:c r="J189" s="22" t="str">
        <x:v>Saved bookmark metadata only</x:v>
      </x:c>
      <x:c r="K189" s="22" t="str"/>
      <x:c r="L189" s="24" t="str"/>
      <x:c r="M189" s="24" t="str">
        <x:v>https://secfirst.org/umbrella/</x:v>
      </x:c>
      <x:c r="N189" s="22" t="str">
        <x:v>268510486</x:v>
      </x:c>
      <x:c r="O189" s="22" t="n">
        <x:v>1003</x:v>
      </x:c>
      <x:c r="P189" s="22" t="n">
        <x:v>9</x:v>
      </x:c>
      <x:c r="Q189" s="22" t="str"/>
      <x:c r="R189" s="22" t="n">
        <x:f>COUNTIF($M$6:$M$1177,M189)</x:f>
        <x:v>1</x:v>
      </x:c>
      <x:c r="S189" s="22" t="str">
        <x:v>Other / utility</x:v>
      </x:c>
      <x:c r="T189" s="22" t="str">
        <x:v>Scope only</x:v>
      </x:c>
    </x:row>
    <x:row r="190" ht="48" customHeight="1">
      <x:c r="A190" s="22" t="n">
        <x:v>185</x:v>
      </x:c>
      <x:c r="B190" s="22" t="str">
        <x:v>Matweb.info</x:v>
      </x:c>
      <x:c r="C190" s="27" t="str">
        <x:v>N/A</x:v>
      </x:c>
      <x:c r="D190" s="22" t="str">
        <x:v>Utility classification</x:v>
      </x:c>
      <x:c r="E190" s="22" t="str">
        <x:v>PRIVACY / SECURITY</x:v>
      </x:c>
      <x:c r="F190" s="22" t="str">
        <x:v>Privacy reference or protective utility</x:v>
      </x:c>
      <x:c r="G190" s="22" t="str">
        <x:v>Not a source of person-to-person connections. Security and privacy claims were not independently audited.</x:v>
      </x:c>
      <x:c r="H190" s="22" t="str">
        <x:v>Use as a utility only; functionality not audited</x:v>
      </x:c>
      <x:c r="I190" s="22" t="str">
        <x:v>Not checked</x:v>
      </x:c>
      <x:c r="J190" s="22" t="str">
        <x:v>Saved bookmark metadata only</x:v>
      </x:c>
      <x:c r="K190" s="22" t="str"/>
      <x:c r="L190" s="24" t="str"/>
      <x:c r="M190" s="24" t="str">
        <x:v>https://matweb.info/</x:v>
      </x:c>
      <x:c r="N190" s="22" t="str">
        <x:v>286039067</x:v>
      </x:c>
      <x:c r="O190" s="22" t="n">
        <x:v>1003</x:v>
      </x:c>
      <x:c r="P190" s="22" t="n">
        <x:v>10</x:v>
      </x:c>
      <x:c r="Q190" s="22" t="str"/>
      <x:c r="R190" s="22" t="n">
        <x:f>COUNTIF($M$6:$M$1177,M190)</x:f>
        <x:v>1</x:v>
      </x:c>
      <x:c r="S190" s="22" t="str">
        <x:v>Other / utility</x:v>
      </x:c>
      <x:c r="T190" s="22" t="str">
        <x:v>Scope only</x:v>
      </x:c>
    </x:row>
    <x:row r="191" ht="48" customHeight="1">
      <x:c r="A191" s="22" t="n">
        <x:v>186</x:v>
      </x:c>
      <x:c r="B191" s="22" t="str">
        <x:v>Metacleaner.com</x:v>
      </x:c>
      <x:c r="C191" s="27" t="str">
        <x:v>N/A</x:v>
      </x:c>
      <x:c r="D191" s="22" t="str">
        <x:v>Utility classification</x:v>
      </x:c>
      <x:c r="E191" s="22" t="str">
        <x:v>PRIVACY / SECURITY</x:v>
      </x:c>
      <x:c r="F191" s="22" t="str">
        <x:v>Privacy reference or protective utility</x:v>
      </x:c>
      <x:c r="G191" s="22" t="str">
        <x:v>Not a source of person-to-person connections. Security and privacy claims were not independently audited.</x:v>
      </x:c>
      <x:c r="H191" s="22" t="str">
        <x:v>Use as a utility only; functionality not audited</x:v>
      </x:c>
      <x:c r="I191" s="22" t="str">
        <x:v>Not checked</x:v>
      </x:c>
      <x:c r="J191" s="22" t="str">
        <x:v>Saved bookmark metadata only</x:v>
      </x:c>
      <x:c r="K191" s="22" t="str"/>
      <x:c r="L191" s="24" t="str"/>
      <x:c r="M191" s="24" t="str">
        <x:v>https://metacleaner.com/</x:v>
      </x:c>
      <x:c r="N191" s="22" t="str">
        <x:v>268403509</x:v>
      </x:c>
      <x:c r="O191" s="22" t="n">
        <x:v>1003</x:v>
      </x:c>
      <x:c r="P191" s="22" t="n">
        <x:v>11</x:v>
      </x:c>
      <x:c r="Q191" s="22" t="str"/>
      <x:c r="R191" s="22" t="n">
        <x:f>COUNTIF($M$6:$M$1177,M191)</x:f>
        <x:v>1</x:v>
      </x:c>
      <x:c r="S191" s="22" t="str">
        <x:v>Other / utility</x:v>
      </x:c>
      <x:c r="T191" s="22" t="str">
        <x:v>Scope only</x:v>
      </x:c>
    </x:row>
    <x:row r="192" ht="48" customHeight="1">
      <x:c r="A192" s="22" t="n">
        <x:v>187</x:v>
      </x:c>
      <x:c r="B192" s="22" t="str">
        <x:v>Image Scrubber</x:v>
      </x:c>
      <x:c r="C192" s="27" t="str">
        <x:v>N/A</x:v>
      </x:c>
      <x:c r="D192" s="22" t="str">
        <x:v>Utility classification</x:v>
      </x:c>
      <x:c r="E192" s="22" t="str">
        <x:v>PRIVACY / SECURITY</x:v>
      </x:c>
      <x:c r="F192" s="22" t="str">
        <x:v>Privacy reference or protective utility</x:v>
      </x:c>
      <x:c r="G192" s="22" t="str">
        <x:v>Not a source of person-to-person connections. Security and privacy claims were not independently audited.</x:v>
      </x:c>
      <x:c r="H192" s="22" t="str">
        <x:v>Use as a utility only; functionality not audited</x:v>
      </x:c>
      <x:c r="I192" s="22" t="str">
        <x:v>Not checked</x:v>
      </x:c>
      <x:c r="J192" s="22" t="str">
        <x:v>Saved bookmark metadata only</x:v>
      </x:c>
      <x:c r="K192" s="22" t="str"/>
      <x:c r="L192" s="24" t="str"/>
      <x:c r="M192" s="24" t="str">
        <x:v>https://everestpipkin.github.io/image-scrubber/</x:v>
      </x:c>
      <x:c r="N192" s="22" t="str">
        <x:v>268403508</x:v>
      </x:c>
      <x:c r="O192" s="22" t="n">
        <x:v>1003</x:v>
      </x:c>
      <x:c r="P192" s="22" t="n">
        <x:v>12</x:v>
      </x:c>
      <x:c r="Q192" s="22" t="str"/>
      <x:c r="R192" s="22" t="n">
        <x:f>COUNTIF($M$6:$M$1177,M192)</x:f>
        <x:v>1</x:v>
      </x:c>
      <x:c r="S192" s="22" t="str">
        <x:v>Other / utility</x:v>
      </x:c>
      <x:c r="T192" s="22" t="str">
        <x:v>Scope only</x:v>
      </x:c>
    </x:row>
    <x:row r="193" ht="48" customHeight="1">
      <x:c r="A193" s="22" t="n">
        <x:v>188</x:v>
      </x:c>
      <x:c r="B193" s="22" t="str">
        <x:v>View Exif data online, remove Exif online</x:v>
      </x:c>
      <x:c r="C193" s="27" t="str">
        <x:v>N/A</x:v>
      </x:c>
      <x:c r="D193" s="22" t="str">
        <x:v>Utility classification</x:v>
      </x:c>
      <x:c r="E193" s="22" t="str">
        <x:v>PRIVACY / SECURITY</x:v>
      </x:c>
      <x:c r="F193" s="22" t="str">
        <x:v>Privacy reference or protective utility</x:v>
      </x:c>
      <x:c r="G193" s="22" t="str">
        <x:v>Not a source of person-to-person connections. Security and privacy claims were not independently audited.</x:v>
      </x:c>
      <x:c r="H193" s="22" t="str">
        <x:v>Use as a utility only; functionality not audited</x:v>
      </x:c>
      <x:c r="I193" s="22" t="str">
        <x:v>Not checked</x:v>
      </x:c>
      <x:c r="J193" s="22" t="str">
        <x:v>Saved bookmark metadata only</x:v>
      </x:c>
      <x:c r="K193" s="22" t="str"/>
      <x:c r="L193" s="24" t="str"/>
      <x:c r="M193" s="24" t="str">
        <x:v>http://www.verexif.com/en/</x:v>
      </x:c>
      <x:c r="N193" s="22" t="str">
        <x:v>268403514</x:v>
      </x:c>
      <x:c r="O193" s="22" t="n">
        <x:v>1003</x:v>
      </x:c>
      <x:c r="P193" s="22" t="n">
        <x:v>13</x:v>
      </x:c>
      <x:c r="Q193" s="22" t="str"/>
      <x:c r="R193" s="22" t="n">
        <x:f>COUNTIF($M$6:$M$1177,M193)</x:f>
        <x:v>1</x:v>
      </x:c>
      <x:c r="S193" s="22" t="str">
        <x:v>Other / utility</x:v>
      </x:c>
      <x:c r="T193" s="22" t="str">
        <x:v>Scope only</x:v>
      </x:c>
    </x:row>
    <x:row r="194" ht="48" customHeight="1">
      <x:c r="A194" s="22" t="n">
        <x:v>189</x:v>
      </x:c>
      <x:c r="B194" s="22" t="str">
        <x:v>Bitcoinprivacy.guide</x:v>
      </x:c>
      <x:c r="C194" s="27" t="str">
        <x:v>N/A</x:v>
      </x:c>
      <x:c r="D194" s="22" t="str">
        <x:v>Utility classification</x:v>
      </x:c>
      <x:c r="E194" s="22" t="str">
        <x:v>PRIVACY / SECURITY</x:v>
      </x:c>
      <x:c r="F194" s="22" t="str">
        <x:v>Privacy reference or protective utility</x:v>
      </x:c>
      <x:c r="G194" s="22" t="str">
        <x:v>Not a source of person-to-person connections. Security and privacy claims were not independently audited.</x:v>
      </x:c>
      <x:c r="H194" s="22" t="str">
        <x:v>Use as a utility only; functionality not audited</x:v>
      </x:c>
      <x:c r="I194" s="22" t="str">
        <x:v>Not checked</x:v>
      </x:c>
      <x:c r="J194" s="22" t="str">
        <x:v>Saved bookmark metadata only</x:v>
      </x:c>
      <x:c r="K194" s="22" t="str"/>
      <x:c r="L194" s="24" t="str"/>
      <x:c r="M194" s="24" t="str">
        <x:v>https://bitcoinprivacy.guide/</x:v>
      </x:c>
      <x:c r="N194" s="22" t="str">
        <x:v>268505754</x:v>
      </x:c>
      <x:c r="O194" s="22" t="n">
        <x:v>1003</x:v>
      </x:c>
      <x:c r="P194" s="22" t="n">
        <x:v>14</x:v>
      </x:c>
      <x:c r="Q194" s="22" t="str"/>
      <x:c r="R194" s="22" t="n">
        <x:f>COUNTIF($M$6:$M$1177,M194)</x:f>
        <x:v>1</x:v>
      </x:c>
      <x:c r="S194" s="22" t="str">
        <x:v>Other / utility</x:v>
      </x:c>
      <x:c r="T194" s="22" t="str">
        <x:v>Scope only</x:v>
      </x:c>
    </x:row>
    <x:row r="195" ht="48" customHeight="1">
      <x:c r="A195" s="22" t="n">
        <x:v>190</x:v>
      </x:c>
      <x:c r="B195" s="22" t="str">
        <x:v>LocalBitcoins</x:v>
      </x:c>
      <x:c r="C195" s="27" t="str">
        <x:v>N/A</x:v>
      </x:c>
      <x:c r="D195" s="22" t="str">
        <x:v>Documented</x:v>
      </x:c>
      <x:c r="E195" s="22" t="str">
        <x:v>PRIVACY / SECURITY</x:v>
      </x:c>
      <x:c r="F195" s="22" t="str">
        <x:v>Closed trading service</x:v>
      </x:c>
      <x:c r="G195" s="22" t="str">
        <x:v>The official page says its Bitcoin trading service has closed. Not a tool for establishing contact connections.</x:v>
      </x:c>
      <x:c r="H195" s="22" t="str">
        <x:v>Remove from active research-tool shortlist</x:v>
      </x:c>
      <x:c r="I195" s="22" t="str">
        <x:v>Official notice: trading service closed</x:v>
      </x:c>
      <x:c r="J195" s="22" t="str">
        <x:v>Provider closure notice</x:v>
      </x:c>
      <x:c r="K195" s="22" t="str">
        <x:v>S073</x:v>
      </x:c>
      <x:c r="L195" s="24" t="str">
        <x:v>https://localbitcoins.com/</x:v>
      </x:c>
      <x:c r="M195" s="24" t="str">
        <x:v>https://localbitcoins.com/</x:v>
      </x:c>
      <x:c r="N195" s="22" t="str">
        <x:v>268505550</x:v>
      </x:c>
      <x:c r="O195" s="22" t="n">
        <x:v>1003</x:v>
      </x:c>
      <x:c r="P195" s="22" t="n">
        <x:v>15</x:v>
      </x:c>
      <x:c r="Q195" s="22" t="str">
        <x:v>2026-09-15</x:v>
      </x:c>
      <x:c r="R195" s="22" t="n">
        <x:f>COUNTIF($M$6:$M$1177,M195)</x:f>
        <x:v>1</x:v>
      </x:c>
      <x:c r="S195" s="22" t="str">
        <x:v>Other / utility</x:v>
      </x:c>
      <x:c r="T195" s="22" t="str">
        <x:v>Scoped desk assessment</x:v>
      </x:c>
    </x:row>
    <x:row r="196" ht="48" customHeight="1">
      <x:c r="A196" s="22" t="n">
        <x:v>191</x:v>
      </x:c>
      <x:c r="B196" s="22" t="str">
        <x:v>Localmonero.co</x:v>
      </x:c>
      <x:c r="C196" s="27" t="str">
        <x:v>N/A</x:v>
      </x:c>
      <x:c r="D196" s="22" t="str">
        <x:v>Utility classification</x:v>
      </x:c>
      <x:c r="E196" s="22" t="str">
        <x:v>PRIVACY / SECURITY</x:v>
      </x:c>
      <x:c r="F196" s="22" t="str">
        <x:v>Privacy reference or protective utility</x:v>
      </x:c>
      <x:c r="G196" s="22" t="str">
        <x:v>Not a source of person-to-person connections. Security and privacy claims were not independently audited.</x:v>
      </x:c>
      <x:c r="H196" s="22" t="str">
        <x:v>Use as a utility only; functionality not audited</x:v>
      </x:c>
      <x:c r="I196" s="22" t="str">
        <x:v>Not checked</x:v>
      </x:c>
      <x:c r="J196" s="22" t="str">
        <x:v>Saved bookmark metadata only</x:v>
      </x:c>
      <x:c r="K196" s="22" t="str"/>
      <x:c r="L196" s="24" t="str"/>
      <x:c r="M196" s="24" t="str">
        <x:v>https://localmonero.co/</x:v>
      </x:c>
      <x:c r="N196" s="22" t="str">
        <x:v>268505555</x:v>
      </x:c>
      <x:c r="O196" s="22" t="n">
        <x:v>1003</x:v>
      </x:c>
      <x:c r="P196" s="22" t="n">
        <x:v>16</x:v>
      </x:c>
      <x:c r="Q196" s="22" t="str"/>
      <x:c r="R196" s="22" t="n">
        <x:f>COUNTIF($M$6:$M$1177,M196)</x:f>
        <x:v>1</x:v>
      </x:c>
      <x:c r="S196" s="22" t="str">
        <x:v>Other / utility</x:v>
      </x:c>
      <x:c r="T196" s="22" t="str">
        <x:v>Scope only</x:v>
      </x:c>
    </x:row>
    <x:row r="197" ht="48" customHeight="1">
      <x:c r="A197" s="22" t="n">
        <x:v>192</x:v>
      </x:c>
      <x:c r="B197" s="22" t="str">
        <x:v>Bitonic</x:v>
      </x:c>
      <x:c r="C197" s="27" t="str">
        <x:v>N/A</x:v>
      </x:c>
      <x:c r="D197" s="22" t="str">
        <x:v>Utility classification</x:v>
      </x:c>
      <x:c r="E197" s="22" t="str">
        <x:v>PRIVACY / SECURITY</x:v>
      </x:c>
      <x:c r="F197" s="22" t="str">
        <x:v>Privacy reference or protective utility</x:v>
      </x:c>
      <x:c r="G197" s="22" t="str">
        <x:v>Not a source of person-to-person connections. Security and privacy claims were not independently audited.</x:v>
      </x:c>
      <x:c r="H197" s="22" t="str">
        <x:v>Use as a utility only; functionality not audited</x:v>
      </x:c>
      <x:c r="I197" s="22" t="str">
        <x:v>Not checked</x:v>
      </x:c>
      <x:c r="J197" s="22" t="str">
        <x:v>Saved bookmark metadata only</x:v>
      </x:c>
      <x:c r="K197" s="22" t="str"/>
      <x:c r="L197" s="24" t="str"/>
      <x:c r="M197" s="24" t="str">
        <x:v>https://bitonic.nl/en/</x:v>
      </x:c>
      <x:c r="N197" s="22" t="str">
        <x:v>268506925</x:v>
      </x:c>
      <x:c r="O197" s="22" t="n">
        <x:v>1003</x:v>
      </x:c>
      <x:c r="P197" s="22" t="n">
        <x:v>17</x:v>
      </x:c>
      <x:c r="Q197" s="22" t="str"/>
      <x:c r="R197" s="22" t="n">
        <x:f>COUNTIF($M$6:$M$1177,M197)</x:f>
        <x:v>1</x:v>
      </x:c>
      <x:c r="S197" s="22" t="str">
        <x:v>Other / utility</x:v>
      </x:c>
      <x:c r="T197" s="22" t="str">
        <x:v>Scope only</x:v>
      </x:c>
    </x:row>
    <x:row r="198" ht="48" customHeight="1">
      <x:c r="A198" s="22" t="n">
        <x:v>193</x:v>
      </x:c>
      <x:c r="B198" s="22" t="str">
        <x:v>Paxful</x:v>
      </x:c>
      <x:c r="C198" s="27" t="str">
        <x:v>N/A</x:v>
      </x:c>
      <x:c r="D198" s="22" t="str">
        <x:v>Utility classification</x:v>
      </x:c>
      <x:c r="E198" s="22" t="str">
        <x:v>PRIVACY / SECURITY</x:v>
      </x:c>
      <x:c r="F198" s="22" t="str">
        <x:v>Privacy reference or protective utility</x:v>
      </x:c>
      <x:c r="G198" s="22" t="str">
        <x:v>Not a source of person-to-person connections. Security and privacy claims were not independently audited.</x:v>
      </x:c>
      <x:c r="H198" s="22" t="str">
        <x:v>Use as a utility only; functionality not audited</x:v>
      </x:c>
      <x:c r="I198" s="22" t="str">
        <x:v>Not checked</x:v>
      </x:c>
      <x:c r="J198" s="22" t="str">
        <x:v>Saved bookmark metadata only</x:v>
      </x:c>
      <x:c r="K198" s="22" t="str"/>
      <x:c r="L198" s="24" t="str"/>
      <x:c r="M198" s="24" t="str">
        <x:v>https://paxful.com/</x:v>
      </x:c>
      <x:c r="N198" s="22" t="str">
        <x:v>290381658</x:v>
      </x:c>
      <x:c r="O198" s="22" t="n">
        <x:v>1003</x:v>
      </x:c>
      <x:c r="P198" s="22" t="n">
        <x:v>18</x:v>
      </x:c>
      <x:c r="Q198" s="22" t="str"/>
      <x:c r="R198" s="22" t="n">
        <x:f>COUNTIF($M$6:$M$1177,M198)</x:f>
        <x:v>1</x:v>
      </x:c>
      <x:c r="S198" s="22" t="str">
        <x:v>Other / utility</x:v>
      </x:c>
      <x:c r="T198" s="22" t="str">
        <x:v>Scope only</x:v>
      </x:c>
    </x:row>
    <x:row r="199" ht="48" customHeight="1">
      <x:c r="A199" s="22" t="n">
        <x:v>194</x:v>
      </x:c>
      <x:c r="B199" s="22" t="str">
        <x:v>Speech Jammer</x:v>
      </x:c>
      <x:c r="C199" s="27" t="str">
        <x:v>N/A</x:v>
      </x:c>
      <x:c r="D199" s="22" t="str">
        <x:v>Utility classification</x:v>
      </x:c>
      <x:c r="E199" s="22" t="str">
        <x:v>PRIVACY / SECURITY</x:v>
      </x:c>
      <x:c r="F199" s="22" t="str">
        <x:v>Privacy reference or protective utility</x:v>
      </x:c>
      <x:c r="G199" s="22" t="str">
        <x:v>Not a source of person-to-person connections. Security and privacy claims were not independently audited.</x:v>
      </x:c>
      <x:c r="H199" s="22" t="str">
        <x:v>Use as a utility only; functionality not audited</x:v>
      </x:c>
      <x:c r="I199" s="22" t="str">
        <x:v>Not checked</x:v>
      </x:c>
      <x:c r="J199" s="22" t="str">
        <x:v>Saved bookmark metadata only</x:v>
      </x:c>
      <x:c r="K199" s="22" t="str"/>
      <x:c r="L199" s="24" t="str"/>
      <x:c r="M199" s="24" t="str">
        <x:v>https://mynoise.net/NoiseMachines/audioJammerNoiseGenerator.php</x:v>
      </x:c>
      <x:c r="N199" s="22" t="str">
        <x:v>286953025</x:v>
      </x:c>
      <x:c r="O199" s="22" t="n">
        <x:v>1003</x:v>
      </x:c>
      <x:c r="P199" s="22" t="n">
        <x:v>19</x:v>
      </x:c>
      <x:c r="Q199" s="22" t="str"/>
      <x:c r="R199" s="22" t="n">
        <x:f>COUNTIF($M$6:$M$1177,M199)</x:f>
        <x:v>1</x:v>
      </x:c>
      <x:c r="S199" s="22" t="str">
        <x:v>Other / utility</x:v>
      </x:c>
      <x:c r="T199" s="22" t="str">
        <x:v>Scope only</x:v>
      </x:c>
    </x:row>
    <x:row r="200" ht="48" customHeight="1">
      <x:c r="A200" s="22" t="n">
        <x:v>195</x:v>
      </x:c>
      <x:c r="B200" s="22" t="str">
        <x:v>Stutterbox</x:v>
      </x:c>
      <x:c r="C200" s="27" t="str">
        <x:v>N/A</x:v>
      </x:c>
      <x:c r="D200" s="22" t="str">
        <x:v>Utility classification</x:v>
      </x:c>
      <x:c r="E200" s="22" t="str">
        <x:v>PRIVACY / SECURITY</x:v>
      </x:c>
      <x:c r="F200" s="22" t="str">
        <x:v>Privacy reference or protective utility</x:v>
      </x:c>
      <x:c r="G200" s="22" t="str">
        <x:v>Not a source of person-to-person connections. Security and privacy claims were not independently audited.</x:v>
      </x:c>
      <x:c r="H200" s="22" t="str">
        <x:v>Use as a utility only; functionality not audited</x:v>
      </x:c>
      <x:c r="I200" s="22" t="str">
        <x:v>Not checked</x:v>
      </x:c>
      <x:c r="J200" s="22" t="str">
        <x:v>Saved bookmark metadata only</x:v>
      </x:c>
      <x:c r="K200" s="22" t="str"/>
      <x:c r="L200" s="24" t="str"/>
      <x:c r="M200" s="24" t="str">
        <x:v>https://www.stutterbox.co.uk/</x:v>
      </x:c>
      <x:c r="N200" s="22" t="str">
        <x:v>286953070</x:v>
      </x:c>
      <x:c r="O200" s="22" t="n">
        <x:v>1003</x:v>
      </x:c>
      <x:c r="P200" s="22" t="n">
        <x:v>20</x:v>
      </x:c>
      <x:c r="Q200" s="22" t="str"/>
      <x:c r="R200" s="22" t="n">
        <x:f>COUNTIF($M$6:$M$1177,M200)</x:f>
        <x:v>1</x:v>
      </x:c>
      <x:c r="S200" s="22" t="str">
        <x:v>Other / utility</x:v>
      </x:c>
      <x:c r="T200" s="22" t="str">
        <x:v>Scope only</x:v>
      </x:c>
    </x:row>
    <x:row r="201" ht="48" customHeight="1">
      <x:c r="A201" s="22" t="n">
        <x:v>196</x:v>
      </x:c>
      <x:c r="B201" s="22" t="str">
        <x:v>StegOnline</x:v>
      </x:c>
      <x:c r="C201" s="27" t="str">
        <x:v>N/A</x:v>
      </x:c>
      <x:c r="D201" s="22" t="str">
        <x:v>Utility classification</x:v>
      </x:c>
      <x:c r="E201" s="22" t="str">
        <x:v>PRIVACY / SECURITY</x:v>
      </x:c>
      <x:c r="F201" s="22" t="str">
        <x:v>Privacy reference or protective utility</x:v>
      </x:c>
      <x:c r="G201" s="22" t="str">
        <x:v>Not a source of person-to-person connections. Security and privacy claims were not independently audited.</x:v>
      </x:c>
      <x:c r="H201" s="22" t="str">
        <x:v>Use as a utility only; functionality not audited</x:v>
      </x:c>
      <x:c r="I201" s="22" t="str">
        <x:v>Not checked</x:v>
      </x:c>
      <x:c r="J201" s="22" t="str">
        <x:v>Saved bookmark metadata only</x:v>
      </x:c>
      <x:c r="K201" s="22" t="str"/>
      <x:c r="L201" s="24" t="str"/>
      <x:c r="M201" s="24" t="str">
        <x:v>https://stegonline.georgeom.net/upload</x:v>
      </x:c>
      <x:c r="N201" s="22" t="str">
        <x:v>286953076</x:v>
      </x:c>
      <x:c r="O201" s="22" t="n">
        <x:v>1003</x:v>
      </x:c>
      <x:c r="P201" s="22" t="n">
        <x:v>21</x:v>
      </x:c>
      <x:c r="Q201" s="22" t="str"/>
      <x:c r="R201" s="22" t="n">
        <x:f>COUNTIF($M$6:$M$1177,M201)</x:f>
        <x:v>1</x:v>
      </x:c>
      <x:c r="S201" s="22" t="str">
        <x:v>Other / utility</x:v>
      </x:c>
      <x:c r="T201" s="22" t="str">
        <x:v>Scope only</x:v>
      </x:c>
    </x:row>
    <x:row r="202" ht="48" customHeight="1">
      <x:c r="A202" s="22" t="n">
        <x:v>197</x:v>
      </x:c>
      <x:c r="B202" s="22" t="str">
        <x:v>The Hitchhiker’s Guide to Online Anonymity</x:v>
      </x:c>
      <x:c r="C202" s="27" t="str">
        <x:v>N/A</x:v>
      </x:c>
      <x:c r="D202" s="22" t="str">
        <x:v>Utility classification</x:v>
      </x:c>
      <x:c r="E202" s="22" t="str">
        <x:v>PRIVACY / SECURITY</x:v>
      </x:c>
      <x:c r="F202" s="22" t="str">
        <x:v>Privacy reference or protective utility</x:v>
      </x:c>
      <x:c r="G202" s="22" t="str">
        <x:v>Not a source of person-to-person connections. Security and privacy claims were not independently audited.</x:v>
      </x:c>
      <x:c r="H202" s="22" t="str">
        <x:v>Use as a utility only; functionality not audited</x:v>
      </x:c>
      <x:c r="I202" s="22" t="str">
        <x:v>Not checked</x:v>
      </x:c>
      <x:c r="J202" s="22" t="str">
        <x:v>Saved bookmark metadata only</x:v>
      </x:c>
      <x:c r="K202" s="22" t="str"/>
      <x:c r="L202" s="24" t="str"/>
      <x:c r="M202" s="24" t="str">
        <x:v>https://anonymousplanet.org/guide.html</x:v>
      </x:c>
      <x:c r="N202" s="22" t="str">
        <x:v>286012983</x:v>
      </x:c>
      <x:c r="O202" s="22" t="n">
        <x:v>1003</x:v>
      </x:c>
      <x:c r="P202" s="22" t="n">
        <x:v>22</x:v>
      </x:c>
      <x:c r="Q202" s="22" t="str"/>
      <x:c r="R202" s="22" t="n">
        <x:f>COUNTIF($M$6:$M$1177,M202)</x:f>
        <x:v>1</x:v>
      </x:c>
      <x:c r="S202" s="22" t="str">
        <x:v>Other / utility</x:v>
      </x:c>
      <x:c r="T202" s="22" t="str">
        <x:v>Scope only</x:v>
      </x:c>
    </x:row>
    <x:row r="203" ht="48" customHeight="1">
      <x:c r="A203" s="22" t="n">
        <x:v>198</x:v>
      </x:c>
      <x:c r="B203" s="22" t="str">
        <x:v>Signal</x:v>
      </x:c>
      <x:c r="C203" s="27" t="str">
        <x:v>N/A</x:v>
      </x:c>
      <x:c r="D203" s="22" t="str">
        <x:v>Utility classification</x:v>
      </x:c>
      <x:c r="E203" s="22" t="str">
        <x:v>SECURE COMMUNICATION</x:v>
      </x:c>
      <x:c r="F203" s="22" t="str">
        <x:v>Communication / privacy software</x:v>
      </x:c>
      <x:c r="G203" s="22" t="str">
        <x:v>Not a connection-verification database. This audit does not certify encryption, anonymity or operational security.</x:v>
      </x:c>
      <x:c r="H203" s="22" t="str">
        <x:v>Use as a utility only; functionality not audited</x:v>
      </x:c>
      <x:c r="I203" s="22" t="str">
        <x:v>Not checked</x:v>
      </x:c>
      <x:c r="J203" s="22" t="str">
        <x:v>Saved bookmark metadata only</x:v>
      </x:c>
      <x:c r="K203" s="22" t="str"/>
      <x:c r="L203" s="24" t="str"/>
      <x:c r="M203" s="24" t="str">
        <x:v>https://signal.org/</x:v>
      </x:c>
      <x:c r="N203" s="22" t="str">
        <x:v>268402614</x:v>
      </x:c>
      <x:c r="O203" s="22" t="n">
        <x:v>1003</x:v>
      </x:c>
      <x:c r="P203" s="22" t="n">
        <x:v>1</x:v>
      </x:c>
      <x:c r="Q203" s="22" t="str"/>
      <x:c r="R203" s="22" t="n">
        <x:f>COUNTIF($M$6:$M$1177,M203)</x:f>
        <x:v>1</x:v>
      </x:c>
      <x:c r="S203" s="22" t="str">
        <x:v>Other / utility</x:v>
      </x:c>
      <x:c r="T203" s="22" t="str">
        <x:v>Scope only</x:v>
      </x:c>
    </x:row>
    <x:row r="204" ht="48" customHeight="1">
      <x:c r="A204" s="22" t="n">
        <x:v>199</x:v>
      </x:c>
      <x:c r="B204" s="22" t="str">
        <x:v>Element</x:v>
      </x:c>
      <x:c r="C204" s="27" t="str">
        <x:v>N/A</x:v>
      </x:c>
      <x:c r="D204" s="22" t="str">
        <x:v>Utility classification</x:v>
      </x:c>
      <x:c r="E204" s="22" t="str">
        <x:v>SECURE COMMUNICATION</x:v>
      </x:c>
      <x:c r="F204" s="22" t="str">
        <x:v>Communication / privacy software</x:v>
      </x:c>
      <x:c r="G204" s="22" t="str">
        <x:v>Not a connection-verification database. This audit does not certify encryption, anonymity or operational security.</x:v>
      </x:c>
      <x:c r="H204" s="22" t="str">
        <x:v>Use as a utility only; functionality not audited</x:v>
      </x:c>
      <x:c r="I204" s="22" t="str">
        <x:v>Not checked</x:v>
      </x:c>
      <x:c r="J204" s="22" t="str">
        <x:v>Saved bookmark metadata only</x:v>
      </x:c>
      <x:c r="K204" s="22" t="str"/>
      <x:c r="L204" s="24" t="str"/>
      <x:c r="M204" s="24" t="str">
        <x:v>https://element.io/</x:v>
      </x:c>
      <x:c r="N204" s="22" t="str">
        <x:v>268402616</x:v>
      </x:c>
      <x:c r="O204" s="22" t="n">
        <x:v>1003</x:v>
      </x:c>
      <x:c r="P204" s="22" t="n">
        <x:v>2</x:v>
      </x:c>
      <x:c r="Q204" s="22" t="str"/>
      <x:c r="R204" s="22" t="n">
        <x:f>COUNTIF($M$6:$M$1177,M204)</x:f>
        <x:v>1</x:v>
      </x:c>
      <x:c r="S204" s="22" t="str">
        <x:v>Other / utility</x:v>
      </x:c>
      <x:c r="T204" s="22" t="str">
        <x:v>Scope only</x:v>
      </x:c>
    </x:row>
    <x:row r="205" ht="48" customHeight="1">
      <x:c r="A205" s="22" t="n">
        <x:v>200</x:v>
      </x:c>
      <x:c r="B205" s="22" t="str">
        <x:v>Briar</x:v>
      </x:c>
      <x:c r="C205" s="27" t="str">
        <x:v>N/A</x:v>
      </x:c>
      <x:c r="D205" s="22" t="str">
        <x:v>Utility classification</x:v>
      </x:c>
      <x:c r="E205" s="22" t="str">
        <x:v>SECURE COMMUNICATION</x:v>
      </x:c>
      <x:c r="F205" s="22" t="str">
        <x:v>Communication / privacy software</x:v>
      </x:c>
      <x:c r="G205" s="22" t="str">
        <x:v>Not a connection-verification database. This audit does not certify encryption, anonymity or operational security.</x:v>
      </x:c>
      <x:c r="H205" s="22" t="str">
        <x:v>Use as a utility only; functionality not audited</x:v>
      </x:c>
      <x:c r="I205" s="22" t="str">
        <x:v>Not checked</x:v>
      </x:c>
      <x:c r="J205" s="22" t="str">
        <x:v>Saved bookmark metadata only</x:v>
      </x:c>
      <x:c r="K205" s="22" t="str"/>
      <x:c r="L205" s="24" t="str"/>
      <x:c r="M205" s="24" t="str">
        <x:v>https://briarproject.org/</x:v>
      </x:c>
      <x:c r="N205" s="22" t="str">
        <x:v>268402618</x:v>
      </x:c>
      <x:c r="O205" s="22" t="n">
        <x:v>1003</x:v>
      </x:c>
      <x:c r="P205" s="22" t="n">
        <x:v>3</x:v>
      </x:c>
      <x:c r="Q205" s="22" t="str"/>
      <x:c r="R205" s="22" t="n">
        <x:f>COUNTIF($M$6:$M$1177,M205)</x:f>
        <x:v>1</x:v>
      </x:c>
      <x:c r="S205" s="22" t="str">
        <x:v>Other / utility</x:v>
      </x:c>
      <x:c r="T205" s="22" t="str">
        <x:v>Scope only</x:v>
      </x:c>
    </x:row>
    <x:row r="206" ht="48" customHeight="1">
      <x:c r="A206" s="22" t="n">
        <x:v>201</x:v>
      </x:c>
      <x:c r="B206" s="22" t="str">
        <x:v>Jami.net</x:v>
      </x:c>
      <x:c r="C206" s="27" t="str">
        <x:v>N/A</x:v>
      </x:c>
      <x:c r="D206" s="22" t="str">
        <x:v>Utility classification</x:v>
      </x:c>
      <x:c r="E206" s="22" t="str">
        <x:v>SECURE COMMUNICATION</x:v>
      </x:c>
      <x:c r="F206" s="22" t="str">
        <x:v>Communication / privacy software</x:v>
      </x:c>
      <x:c r="G206" s="22" t="str">
        <x:v>Not a connection-verification database. This audit does not certify encryption, anonymity or operational security.</x:v>
      </x:c>
      <x:c r="H206" s="22" t="str">
        <x:v>Use as a utility only; functionality not audited</x:v>
      </x:c>
      <x:c r="I206" s="22" t="str">
        <x:v>Not checked</x:v>
      </x:c>
      <x:c r="J206" s="22" t="str">
        <x:v>Saved bookmark metadata only</x:v>
      </x:c>
      <x:c r="K206" s="22" t="str"/>
      <x:c r="L206" s="24" t="str"/>
      <x:c r="M206" s="24" t="str">
        <x:v>https://jami.net/</x:v>
      </x:c>
      <x:c r="N206" s="22" t="str">
        <x:v>268402620</x:v>
      </x:c>
      <x:c r="O206" s="22" t="n">
        <x:v>1003</x:v>
      </x:c>
      <x:c r="P206" s="22" t="n">
        <x:v>4</x:v>
      </x:c>
      <x:c r="Q206" s="22" t="str"/>
      <x:c r="R206" s="22" t="n">
        <x:f>COUNTIF($M$6:$M$1177,M206)</x:f>
        <x:v>1</x:v>
      </x:c>
      <x:c r="S206" s="22" t="str">
        <x:v>Other / utility</x:v>
      </x:c>
      <x:c r="T206" s="22" t="str">
        <x:v>Scope only</x:v>
      </x:c>
    </x:row>
    <x:row r="207" ht="48" customHeight="1">
      <x:c r="A207" s="22" t="n">
        <x:v>202</x:v>
      </x:c>
      <x:c r="B207" s="22" t="str">
        <x:v>Jitsi Meet</x:v>
      </x:c>
      <x:c r="C207" s="27" t="str">
        <x:v>N/A</x:v>
      </x:c>
      <x:c r="D207" s="22" t="str">
        <x:v>Utility classification</x:v>
      </x:c>
      <x:c r="E207" s="22" t="str">
        <x:v>SECURE COMMUNICATION</x:v>
      </x:c>
      <x:c r="F207" s="22" t="str">
        <x:v>Communication / privacy software</x:v>
      </x:c>
      <x:c r="G207" s="22" t="str">
        <x:v>Not a connection-verification database. This audit does not certify encryption, anonymity or operational security.</x:v>
      </x:c>
      <x:c r="H207" s="22" t="str">
        <x:v>Use as a utility only; functionality not audited</x:v>
      </x:c>
      <x:c r="I207" s="22" t="str">
        <x:v>Not checked</x:v>
      </x:c>
      <x:c r="J207" s="22" t="str">
        <x:v>Saved bookmark metadata only</x:v>
      </x:c>
      <x:c r="K207" s="22" t="str"/>
      <x:c r="L207" s="24" t="str"/>
      <x:c r="M207" s="24" t="str">
        <x:v>https://meet.jit.si/</x:v>
      </x:c>
      <x:c r="N207" s="22" t="str">
        <x:v>268403124</x:v>
      </x:c>
      <x:c r="O207" s="22" t="n">
        <x:v>1003</x:v>
      </x:c>
      <x:c r="P207" s="22" t="n">
        <x:v>5</x:v>
      </x:c>
      <x:c r="Q207" s="22" t="str"/>
      <x:c r="R207" s="22" t="n">
        <x:f>COUNTIF($M$6:$M$1177,M207)</x:f>
        <x:v>1</x:v>
      </x:c>
      <x:c r="S207" s="22" t="str">
        <x:v>Other / utility</x:v>
      </x:c>
      <x:c r="T207" s="22" t="str">
        <x:v>Scope only</x:v>
      </x:c>
    </x:row>
    <x:row r="208" ht="48" customHeight="1">
      <x:c r="A208" s="22" t="n">
        <x:v>203</x:v>
      </x:c>
      <x:c r="B208" s="22" t="str">
        <x:v>Rocket.Chat</x:v>
      </x:c>
      <x:c r="C208" s="27" t="str">
        <x:v>N/A</x:v>
      </x:c>
      <x:c r="D208" s="22" t="str">
        <x:v>Utility classification</x:v>
      </x:c>
      <x:c r="E208" s="22" t="str">
        <x:v>SECURE COMMUNICATION</x:v>
      </x:c>
      <x:c r="F208" s="22" t="str">
        <x:v>Communication / privacy software</x:v>
      </x:c>
      <x:c r="G208" s="22" t="str">
        <x:v>Not a connection-verification database. This audit does not certify encryption, anonymity or operational security.</x:v>
      </x:c>
      <x:c r="H208" s="22" t="str">
        <x:v>Use as a utility only; functionality not audited</x:v>
      </x:c>
      <x:c r="I208" s="22" t="str">
        <x:v>Not checked</x:v>
      </x:c>
      <x:c r="J208" s="22" t="str">
        <x:v>Saved bookmark metadata only</x:v>
      </x:c>
      <x:c r="K208" s="22" t="str"/>
      <x:c r="L208" s="24" t="str"/>
      <x:c r="M208" s="24" t="str">
        <x:v>https://rocket.chat/</x:v>
      </x:c>
      <x:c r="N208" s="22" t="str">
        <x:v>290381656</x:v>
      </x:c>
      <x:c r="O208" s="22" t="n">
        <x:v>1003</x:v>
      </x:c>
      <x:c r="P208" s="22" t="n">
        <x:v>6</x:v>
      </x:c>
      <x:c r="Q208" s="22" t="str"/>
      <x:c r="R208" s="22" t="n">
        <x:f>COUNTIF($M$6:$M$1177,M208)</x:f>
        <x:v>1</x:v>
      </x:c>
      <x:c r="S208" s="22" t="str">
        <x:v>Other / utility</x:v>
      </x:c>
      <x:c r="T208" s="22" t="str">
        <x:v>Scope only</x:v>
      </x:c>
    </x:row>
    <x:row r="209" ht="48" customHeight="1">
      <x:c r="A209" s="22" t="n">
        <x:v>204</x:v>
      </x:c>
      <x:c r="B209" s="22" t="str">
        <x:v>Wire</x:v>
      </x:c>
      <x:c r="C209" s="27" t="str">
        <x:v>N/A</x:v>
      </x:c>
      <x:c r="D209" s="22" t="str">
        <x:v>Utility classification</x:v>
      </x:c>
      <x:c r="E209" s="22" t="str">
        <x:v>SECURE COMMUNICATION</x:v>
      </x:c>
      <x:c r="F209" s="22" t="str">
        <x:v>Communication / privacy software</x:v>
      </x:c>
      <x:c r="G209" s="22" t="str">
        <x:v>Not a connection-verification database. This audit does not certify encryption, anonymity or operational security.</x:v>
      </x:c>
      <x:c r="H209" s="22" t="str">
        <x:v>Use as a utility only; functionality not audited</x:v>
      </x:c>
      <x:c r="I209" s="22" t="str">
        <x:v>Not checked</x:v>
      </x:c>
      <x:c r="J209" s="22" t="str">
        <x:v>Saved bookmark metadata only</x:v>
      </x:c>
      <x:c r="K209" s="22" t="str"/>
      <x:c r="L209" s="24" t="str"/>
      <x:c r="M209" s="24" t="str">
        <x:v>https://wire.com/en/</x:v>
      </x:c>
      <x:c r="N209" s="22" t="str">
        <x:v>268403126</x:v>
      </x:c>
      <x:c r="O209" s="22" t="n">
        <x:v>1003</x:v>
      </x:c>
      <x:c r="P209" s="22" t="n">
        <x:v>7</x:v>
      </x:c>
      <x:c r="Q209" s="22" t="str"/>
      <x:c r="R209" s="22" t="n">
        <x:f>COUNTIF($M$6:$M$1177,M209)</x:f>
        <x:v>1</x:v>
      </x:c>
      <x:c r="S209" s="22" t="str">
        <x:v>Other / utility</x:v>
      </x:c>
      <x:c r="T209" s="22" t="str">
        <x:v>Scope only</x:v>
      </x:c>
    </x:row>
    <x:row r="210" ht="48" customHeight="1">
      <x:c r="A210" s="22" t="n">
        <x:v>205</x:v>
      </x:c>
      <x:c r="B210" s="22" t="str">
        <x:v>Nekogram.app</x:v>
      </x:c>
      <x:c r="C210" s="27" t="str">
        <x:v>N/A</x:v>
      </x:c>
      <x:c r="D210" s="22" t="str">
        <x:v>Utility classification</x:v>
      </x:c>
      <x:c r="E210" s="22" t="str">
        <x:v>SECURE COMMUNICATION</x:v>
      </x:c>
      <x:c r="F210" s="22" t="str">
        <x:v>Communication / privacy software</x:v>
      </x:c>
      <x:c r="G210" s="22" t="str">
        <x:v>Not a connection-verification database. This audit does not certify encryption, anonymity or operational security.</x:v>
      </x:c>
      <x:c r="H210" s="22" t="str">
        <x:v>Use as a utility only; functionality not audited</x:v>
      </x:c>
      <x:c r="I210" s="22" t="str">
        <x:v>Not checked</x:v>
      </x:c>
      <x:c r="J210" s="22" t="str">
        <x:v>Saved bookmark metadata only</x:v>
      </x:c>
      <x:c r="K210" s="22" t="str"/>
      <x:c r="L210" s="24" t="str"/>
      <x:c r="M210" s="24" t="str">
        <x:v>https://nekogram.app/</x:v>
      </x:c>
      <x:c r="N210" s="22" t="str">
        <x:v>309551922</x:v>
      </x:c>
      <x:c r="O210" s="22" t="n">
        <x:v>1003</x:v>
      </x:c>
      <x:c r="P210" s="22" t="n">
        <x:v>8</x:v>
      </x:c>
      <x:c r="Q210" s="22" t="str"/>
      <x:c r="R210" s="22" t="n">
        <x:f>COUNTIF($M$6:$M$1177,M210)</x:f>
        <x:v>1</x:v>
      </x:c>
      <x:c r="S210" s="22" t="str">
        <x:v>Other / utility</x:v>
      </x:c>
      <x:c r="T210" s="22" t="str">
        <x:v>Scope only</x:v>
      </x:c>
    </x:row>
    <x:row r="211" ht="48" customHeight="1">
      <x:c r="A211" s="22" t="n">
        <x:v>206</x:v>
      </x:c>
      <x:c r="B211" s="22" t="str">
        <x:v>Telegram</x:v>
      </x:c>
      <x:c r="C211" s="27" t="str">
        <x:v>N/A</x:v>
      </x:c>
      <x:c r="D211" s="22" t="str">
        <x:v>Utility classification</x:v>
      </x:c>
      <x:c r="E211" s="22" t="str">
        <x:v>SECURE COMMUNICATION</x:v>
      </x:c>
      <x:c r="F211" s="22" t="str">
        <x:v>Communication / privacy software</x:v>
      </x:c>
      <x:c r="G211" s="22" t="str">
        <x:v>Not a connection-verification database. This audit does not certify encryption, anonymity or operational security.</x:v>
      </x:c>
      <x:c r="H211" s="22" t="str">
        <x:v>Use as a utility only; functionality not audited</x:v>
      </x:c>
      <x:c r="I211" s="22" t="str">
        <x:v>Not checked</x:v>
      </x:c>
      <x:c r="J211" s="22" t="str">
        <x:v>Saved bookmark metadata only</x:v>
      </x:c>
      <x:c r="K211" s="22" t="str"/>
      <x:c r="L211" s="24" t="str"/>
      <x:c r="M211" s="24" t="str">
        <x:v>https://www.telegram.org/</x:v>
      </x:c>
      <x:c r="N211" s="22" t="str">
        <x:v>290381652</x:v>
      </x:c>
      <x:c r="O211" s="22" t="n">
        <x:v>1003</x:v>
      </x:c>
      <x:c r="P211" s="22" t="n">
        <x:v>9</x:v>
      </x:c>
      <x:c r="Q211" s="22" t="str"/>
      <x:c r="R211" s="22" t="n">
        <x:f>COUNTIF($M$6:$M$1177,M211)</x:f>
        <x:v>1</x:v>
      </x:c>
      <x:c r="S211" s="22" t="str">
        <x:v>Other / utility</x:v>
      </x:c>
      <x:c r="T211" s="22" t="str">
        <x:v>Scope only</x:v>
      </x:c>
    </x:row>
    <x:row r="212" ht="48" customHeight="1">
      <x:c r="A212" s="22" t="n">
        <x:v>207</x:v>
      </x:c>
      <x:c r="B212" s="22" t="str">
        <x:v>Brave Talk</x:v>
      </x:c>
      <x:c r="C212" s="27" t="str">
        <x:v>N/A</x:v>
      </x:c>
      <x:c r="D212" s="22" t="str">
        <x:v>Utility classification</x:v>
      </x:c>
      <x:c r="E212" s="22" t="str">
        <x:v>SECURE COMMUNICATION</x:v>
      </x:c>
      <x:c r="F212" s="22" t="str">
        <x:v>Communication / privacy software</x:v>
      </x:c>
      <x:c r="G212" s="22" t="str">
        <x:v>Not a connection-verification database. This audit does not certify encryption, anonymity or operational security.</x:v>
      </x:c>
      <x:c r="H212" s="22" t="str">
        <x:v>Use as a utility only; functionality not audited</x:v>
      </x:c>
      <x:c r="I212" s="22" t="str">
        <x:v>Not checked</x:v>
      </x:c>
      <x:c r="J212" s="22" t="str">
        <x:v>Saved bookmark metadata only</x:v>
      </x:c>
      <x:c r="K212" s="22" t="str"/>
      <x:c r="L212" s="24" t="str"/>
      <x:c r="M212" s="24" t="str">
        <x:v>https://talk.brave.com/</x:v>
      </x:c>
      <x:c r="N212" s="22" t="str">
        <x:v>291678843</x:v>
      </x:c>
      <x:c r="O212" s="22" t="n">
        <x:v>1003</x:v>
      </x:c>
      <x:c r="P212" s="22" t="n">
        <x:v>10</x:v>
      </x:c>
      <x:c r="Q212" s="22" t="str"/>
      <x:c r="R212" s="22" t="n">
        <x:f>COUNTIF($M$6:$M$1177,M212)</x:f>
        <x:v>1</x:v>
      </x:c>
      <x:c r="S212" s="22" t="str">
        <x:v>Other / utility</x:v>
      </x:c>
      <x:c r="T212" s="22" t="str">
        <x:v>Scope only</x:v>
      </x:c>
    </x:row>
    <x:row r="213" ht="48" customHeight="1">
      <x:c r="A213" s="22" t="n">
        <x:v>208</x:v>
      </x:c>
      <x:c r="B213" s="22" t="str">
        <x:v>The Tor Project</x:v>
      </x:c>
      <x:c r="C213" s="27" t="str">
        <x:v>N/A</x:v>
      </x:c>
      <x:c r="D213" s="22" t="str">
        <x:v>Utility classification</x:v>
      </x:c>
      <x:c r="E213" s="22" t="str">
        <x:v>SECURE COMMUNICATION</x:v>
      </x:c>
      <x:c r="F213" s="22" t="str">
        <x:v>Communication / privacy software</x:v>
      </x:c>
      <x:c r="G213" s="22" t="str">
        <x:v>Not a connection-verification database. This audit does not certify encryption, anonymity or operational security.</x:v>
      </x:c>
      <x:c r="H213" s="22" t="str">
        <x:v>Use as a utility only; functionality not audited</x:v>
      </x:c>
      <x:c r="I213" s="22" t="str">
        <x:v>Not checked</x:v>
      </x:c>
      <x:c r="J213" s="22" t="str">
        <x:v>Saved bookmark metadata only</x:v>
      </x:c>
      <x:c r="K213" s="22" t="str"/>
      <x:c r="L213" s="24" t="str"/>
      <x:c r="M213" s="24" t="str">
        <x:v>https://www.torproject.org/download/</x:v>
      </x:c>
      <x:c r="N213" s="22" t="str">
        <x:v>286038624</x:v>
      </x:c>
      <x:c r="O213" s="22" t="n">
        <x:v>1003</x:v>
      </x:c>
      <x:c r="P213" s="22" t="n">
        <x:v>11</x:v>
      </x:c>
      <x:c r="Q213" s="22" t="str"/>
      <x:c r="R213" s="22" t="n">
        <x:f>COUNTIF($M$6:$M$1177,M213)</x:f>
        <x:v>1</x:v>
      </x:c>
      <x:c r="S213" s="22" t="str">
        <x:v>Other / utility</x:v>
      </x:c>
      <x:c r="T213" s="22" t="str">
        <x:v>Scope only</x:v>
      </x:c>
    </x:row>
    <x:row r="214" ht="48" customHeight="1">
      <x:c r="A214" s="22" t="n">
        <x:v>209</x:v>
      </x:c>
      <x:c r="B214" s="22" t="str">
        <x:v>Brave Browser</x:v>
      </x:c>
      <x:c r="C214" s="27" t="str">
        <x:v>N/A</x:v>
      </x:c>
      <x:c r="D214" s="22" t="str">
        <x:v>Utility classification</x:v>
      </x:c>
      <x:c r="E214" s="22" t="str">
        <x:v>SECURE COMMUNICATION</x:v>
      </x:c>
      <x:c r="F214" s="22" t="str">
        <x:v>Communication / privacy software</x:v>
      </x:c>
      <x:c r="G214" s="22" t="str">
        <x:v>Not a connection-verification database. This audit does not certify encryption, anonymity or operational security.</x:v>
      </x:c>
      <x:c r="H214" s="22" t="str">
        <x:v>Use as a utility only; functionality not audited</x:v>
      </x:c>
      <x:c r="I214" s="22" t="str">
        <x:v>Not checked</x:v>
      </x:c>
      <x:c r="J214" s="22" t="str">
        <x:v>Saved bookmark metadata only</x:v>
      </x:c>
      <x:c r="K214" s="22" t="str"/>
      <x:c r="L214" s="24" t="str"/>
      <x:c r="M214" s="24" t="str">
        <x:v>https://brave.com/</x:v>
      </x:c>
      <x:c r="N214" s="22" t="str">
        <x:v>291678790</x:v>
      </x:c>
      <x:c r="O214" s="22" t="n">
        <x:v>1003</x:v>
      </x:c>
      <x:c r="P214" s="22" t="n">
        <x:v>12</x:v>
      </x:c>
      <x:c r="Q214" s="22" t="str"/>
      <x:c r="R214" s="22" t="n">
        <x:f>COUNTIF($M$6:$M$1177,M214)</x:f>
        <x:v>1</x:v>
      </x:c>
      <x:c r="S214" s="22" t="str">
        <x:v>Other / utility</x:v>
      </x:c>
      <x:c r="T214" s="22" t="str">
        <x:v>Scope only</x:v>
      </x:c>
    </x:row>
    <x:row r="215" ht="48" customHeight="1">
      <x:c r="A215" s="22" t="n">
        <x:v>210</x:v>
      </x:c>
      <x:c r="B215" s="22" t="str">
        <x:v>Psiphon</x:v>
      </x:c>
      <x:c r="C215" s="27" t="str">
        <x:v>N/A</x:v>
      </x:c>
      <x:c r="D215" s="22" t="str">
        <x:v>Utility classification</x:v>
      </x:c>
      <x:c r="E215" s="22" t="str">
        <x:v>SECURE COMMUNICATION</x:v>
      </x:c>
      <x:c r="F215" s="22" t="str">
        <x:v>Communication / privacy software</x:v>
      </x:c>
      <x:c r="G215" s="22" t="str">
        <x:v>Not a connection-verification database. This audit does not certify encryption, anonymity or operational security.</x:v>
      </x:c>
      <x:c r="H215" s="22" t="str">
        <x:v>Use as a utility only; functionality not audited</x:v>
      </x:c>
      <x:c r="I215" s="22" t="str">
        <x:v>Not checked</x:v>
      </x:c>
      <x:c r="J215" s="22" t="str">
        <x:v>Saved bookmark metadata only</x:v>
      </x:c>
      <x:c r="K215" s="22" t="str"/>
      <x:c r="L215" s="24" t="str"/>
      <x:c r="M215" s="24" t="str">
        <x:v>https://www.psiphon.ca/</x:v>
      </x:c>
      <x:c r="N215" s="22" t="str">
        <x:v>290381564</x:v>
      </x:c>
      <x:c r="O215" s="22" t="n">
        <x:v>1003</x:v>
      </x:c>
      <x:c r="P215" s="22" t="n">
        <x:v>13</x:v>
      </x:c>
      <x:c r="Q215" s="22" t="str"/>
      <x:c r="R215" s="22" t="n">
        <x:f>COUNTIF($M$6:$M$1177,M215)</x:f>
        <x:v>1</x:v>
      </x:c>
      <x:c r="S215" s="22" t="str">
        <x:v>Other / utility</x:v>
      </x:c>
      <x:c r="T215" s="22" t="str">
        <x:v>Scope only</x:v>
      </x:c>
    </x:row>
    <x:row r="216" ht="48" customHeight="1">
      <x:c r="A216" s="22" t="n">
        <x:v>211</x:v>
      </x:c>
      <x:c r="B216" s="22" t="str">
        <x:v>ProtonVPN</x:v>
      </x:c>
      <x:c r="C216" s="27" t="str">
        <x:v>N/A</x:v>
      </x:c>
      <x:c r="D216" s="22" t="str">
        <x:v>Utility classification</x:v>
      </x:c>
      <x:c r="E216" s="22" t="str">
        <x:v>SECURE COMMUNICATION</x:v>
      </x:c>
      <x:c r="F216" s="22" t="str">
        <x:v>Communication / privacy software</x:v>
      </x:c>
      <x:c r="G216" s="22" t="str">
        <x:v>Not a connection-verification database. This audit does not certify encryption, anonymity or operational security.</x:v>
      </x:c>
      <x:c r="H216" s="22" t="str">
        <x:v>Use as a utility only; functionality not audited</x:v>
      </x:c>
      <x:c r="I216" s="22" t="str">
        <x:v>Not checked</x:v>
      </x:c>
      <x:c r="J216" s="22" t="str">
        <x:v>Saved bookmark metadata only</x:v>
      </x:c>
      <x:c r="K216" s="22" t="str"/>
      <x:c r="L216" s="24" t="str"/>
      <x:c r="M216" s="24" t="str">
        <x:v>https://protonvpn.com/</x:v>
      </x:c>
      <x:c r="N216" s="22" t="str">
        <x:v>286037210</x:v>
      </x:c>
      <x:c r="O216" s="22" t="n">
        <x:v>1003</x:v>
      </x:c>
      <x:c r="P216" s="22" t="n">
        <x:v>14</x:v>
      </x:c>
      <x:c r="Q216" s="22" t="str"/>
      <x:c r="R216" s="22" t="n">
        <x:f>COUNTIF($M$6:$M$1177,M216)</x:f>
        <x:v>1</x:v>
      </x:c>
      <x:c r="S216" s="22" t="str">
        <x:v>Other / utility</x:v>
      </x:c>
      <x:c r="T216" s="22" t="str">
        <x:v>Scope only</x:v>
      </x:c>
    </x:row>
    <x:row r="217" ht="48" customHeight="1">
      <x:c r="A217" s="22" t="n">
        <x:v>212</x:v>
      </x:c>
      <x:c r="B217" s="22" t="str">
        <x:v>hide.me VPN</x:v>
      </x:c>
      <x:c r="C217" s="27" t="str">
        <x:v>N/A</x:v>
      </x:c>
      <x:c r="D217" s="22" t="str">
        <x:v>Utility classification</x:v>
      </x:c>
      <x:c r="E217" s="22" t="str">
        <x:v>SECURE COMMUNICATION</x:v>
      </x:c>
      <x:c r="F217" s="22" t="str">
        <x:v>Communication / privacy software</x:v>
      </x:c>
      <x:c r="G217" s="22" t="str">
        <x:v>Not a connection-verification database. This audit does not certify encryption, anonymity or operational security.</x:v>
      </x:c>
      <x:c r="H217" s="22" t="str">
        <x:v>Use as a utility only; functionality not audited</x:v>
      </x:c>
      <x:c r="I217" s="22" t="str">
        <x:v>Not checked</x:v>
      </x:c>
      <x:c r="J217" s="22" t="str">
        <x:v>Saved bookmark metadata only</x:v>
      </x:c>
      <x:c r="K217" s="22" t="str"/>
      <x:c r="L217" s="24" t="str"/>
      <x:c r="M217" s="24" t="str">
        <x:v>https://hide.me/en/</x:v>
      </x:c>
      <x:c r="N217" s="22" t="str">
        <x:v>290381616</x:v>
      </x:c>
      <x:c r="O217" s="22" t="n">
        <x:v>1003</x:v>
      </x:c>
      <x:c r="P217" s="22" t="n">
        <x:v>15</x:v>
      </x:c>
      <x:c r="Q217" s="22" t="str"/>
      <x:c r="R217" s="22" t="n">
        <x:f>COUNTIF($M$6:$M$1177,M217)</x:f>
        <x:v>1</x:v>
      </x:c>
      <x:c r="S217" s="22" t="str">
        <x:v>Other / utility</x:v>
      </x:c>
      <x:c r="T217" s="22" t="str">
        <x:v>Scope only</x:v>
      </x:c>
    </x:row>
    <x:row r="218" ht="48" customHeight="1">
      <x:c r="A218" s="22" t="n">
        <x:v>213</x:v>
      </x:c>
      <x:c r="B218" s="22" t="str">
        <x:v>AdGuard VPN</x:v>
      </x:c>
      <x:c r="C218" s="27" t="str">
        <x:v>N/A</x:v>
      </x:c>
      <x:c r="D218" s="22" t="str">
        <x:v>Utility classification</x:v>
      </x:c>
      <x:c r="E218" s="22" t="str">
        <x:v>SECURE COMMUNICATION</x:v>
      </x:c>
      <x:c r="F218" s="22" t="str">
        <x:v>Communication / privacy software</x:v>
      </x:c>
      <x:c r="G218" s="22" t="str">
        <x:v>Not a connection-verification database. This audit does not certify encryption, anonymity or operational security.</x:v>
      </x:c>
      <x:c r="H218" s="22" t="str">
        <x:v>Use as a utility only; functionality not audited</x:v>
      </x:c>
      <x:c r="I218" s="22" t="str">
        <x:v>Not checked</x:v>
      </x:c>
      <x:c r="J218" s="22" t="str">
        <x:v>Saved bookmark metadata only</x:v>
      </x:c>
      <x:c r="K218" s="22" t="str"/>
      <x:c r="L218" s="24" t="str"/>
      <x:c r="M218" s="24" t="str">
        <x:v>https://adguard-vpn.com/en/welcome.html</x:v>
      </x:c>
      <x:c r="N218" s="22" t="str">
        <x:v>290381650</x:v>
      </x:c>
      <x:c r="O218" s="22" t="n">
        <x:v>1003</x:v>
      </x:c>
      <x:c r="P218" s="22" t="n">
        <x:v>16</x:v>
      </x:c>
      <x:c r="Q218" s="22" t="str"/>
      <x:c r="R218" s="22" t="n">
        <x:f>COUNTIF($M$6:$M$1177,M218)</x:f>
        <x:v>1</x:v>
      </x:c>
      <x:c r="S218" s="22" t="str">
        <x:v>Other / utility</x:v>
      </x:c>
      <x:c r="T218" s="22" t="str">
        <x:v>Scope only</x:v>
      </x:c>
    </x:row>
    <x:row r="219" ht="48" customHeight="1">
      <x:c r="A219" s="22" t="n">
        <x:v>214</x:v>
      </x:c>
      <x:c r="B219" s="22" t="str">
        <x:v>I2P</x:v>
      </x:c>
      <x:c r="C219" s="27" t="str">
        <x:v>N/A</x:v>
      </x:c>
      <x:c r="D219" s="22" t="str">
        <x:v>Utility classification</x:v>
      </x:c>
      <x:c r="E219" s="22" t="str">
        <x:v>SECURE COMMUNICATION</x:v>
      </x:c>
      <x:c r="F219" s="22" t="str">
        <x:v>Communication / privacy software</x:v>
      </x:c>
      <x:c r="G219" s="22" t="str">
        <x:v>Not a connection-verification database. This audit does not certify encryption, anonymity or operational security.</x:v>
      </x:c>
      <x:c r="H219" s="22" t="str">
        <x:v>Use as a utility only; functionality not audited</x:v>
      </x:c>
      <x:c r="I219" s="22" t="str">
        <x:v>Not checked</x:v>
      </x:c>
      <x:c r="J219" s="22" t="str">
        <x:v>Saved bookmark metadata only</x:v>
      </x:c>
      <x:c r="K219" s="22" t="str"/>
      <x:c r="L219" s="24" t="str"/>
      <x:c r="M219" s="24" t="str">
        <x:v>https://geti2p.net/en/download</x:v>
      </x:c>
      <x:c r="N219" s="22" t="str">
        <x:v>286038635</x:v>
      </x:c>
      <x:c r="O219" s="22" t="n">
        <x:v>1003</x:v>
      </x:c>
      <x:c r="P219" s="22" t="n">
        <x:v>17</x:v>
      </x:c>
      <x:c r="Q219" s="22" t="str"/>
      <x:c r="R219" s="22" t="n">
        <x:f>COUNTIF($M$6:$M$1177,M219)</x:f>
        <x:v>1</x:v>
      </x:c>
      <x:c r="S219" s="22" t="str">
        <x:v>Other / utility</x:v>
      </x:c>
      <x:c r="T219" s="22" t="str">
        <x:v>Scope only</x:v>
      </x:c>
    </x:row>
    <x:row r="220" ht="48" customHeight="1">
      <x:c r="A220" s="22" t="n">
        <x:v>215</x:v>
      </x:c>
      <x:c r="B220" s="22" t="str">
        <x:v>VPN Services</x:v>
      </x:c>
      <x:c r="C220" s="27" t="str">
        <x:v>N/A</x:v>
      </x:c>
      <x:c r="D220" s="22" t="str">
        <x:v>Utility classification</x:v>
      </x:c>
      <x:c r="E220" s="22" t="str">
        <x:v>SECURE COMMUNICATION</x:v>
      </x:c>
      <x:c r="F220" s="22" t="str">
        <x:v>Communication / privacy software</x:v>
      </x:c>
      <x:c r="G220" s="22" t="str">
        <x:v>Not a connection-verification database. This audit does not certify encryption, anonymity or operational security.</x:v>
      </x:c>
      <x:c r="H220" s="22" t="str">
        <x:v>Use as a utility only; functionality not audited</x:v>
      </x:c>
      <x:c r="I220" s="22" t="str">
        <x:v>Not checked</x:v>
      </x:c>
      <x:c r="J220" s="22" t="str">
        <x:v>Saved bookmark metadata only</x:v>
      </x:c>
      <x:c r="K220" s="22" t="str"/>
      <x:c r="L220" s="24" t="str"/>
      <x:c r="M220" s="24" t="str">
        <x:v>https://privacyguides.org/providers/vpn/</x:v>
      </x:c>
      <x:c r="N220" s="22" t="str">
        <x:v>291678726</x:v>
      </x:c>
      <x:c r="O220" s="22" t="n">
        <x:v>1003</x:v>
      </x:c>
      <x:c r="P220" s="22" t="n">
        <x:v>18</x:v>
      </x:c>
      <x:c r="Q220" s="22" t="str"/>
      <x:c r="R220" s="22" t="n">
        <x:f>COUNTIF($M$6:$M$1177,M220)</x:f>
        <x:v>1</x:v>
      </x:c>
      <x:c r="S220" s="22" t="str">
        <x:v>Other / utility</x:v>
      </x:c>
      <x:c r="T220" s="22" t="str">
        <x:v>Scope only</x:v>
      </x:c>
    </x:row>
    <x:row r="221" ht="48" customHeight="1">
      <x:c r="A221" s="22" t="n">
        <x:v>216</x:v>
      </x:c>
      <x:c r="B221" s="22" t="str">
        <x:v>Browser Recommendations</x:v>
      </x:c>
      <x:c r="C221" s="27" t="str">
        <x:v>N/A</x:v>
      </x:c>
      <x:c r="D221" s="22" t="str">
        <x:v>Utility classification</x:v>
      </x:c>
      <x:c r="E221" s="22" t="str">
        <x:v>SECURE COMMUNICATION</x:v>
      </x:c>
      <x:c r="F221" s="22" t="str">
        <x:v>Communication / privacy software</x:v>
      </x:c>
      <x:c r="G221" s="22" t="str">
        <x:v>Not a connection-verification database. This audit does not certify encryption, anonymity or operational security.</x:v>
      </x:c>
      <x:c r="H221" s="22" t="str">
        <x:v>Use as a utility only; functionality not audited</x:v>
      </x:c>
      <x:c r="I221" s="22" t="str">
        <x:v>Not checked</x:v>
      </x:c>
      <x:c r="J221" s="22" t="str">
        <x:v>Saved bookmark metadata only</x:v>
      </x:c>
      <x:c r="K221" s="22" t="str"/>
      <x:c r="L221" s="24" t="str"/>
      <x:c r="M221" s="24" t="str">
        <x:v>https://privacyguides.org/browsers/</x:v>
      </x:c>
      <x:c r="N221" s="22" t="str">
        <x:v>291678727</x:v>
      </x:c>
      <x:c r="O221" s="22" t="n">
        <x:v>1003</x:v>
      </x:c>
      <x:c r="P221" s="22" t="n">
        <x:v>19</x:v>
      </x:c>
      <x:c r="Q221" s="22" t="str"/>
      <x:c r="R221" s="22" t="n">
        <x:f>COUNTIF($M$6:$M$1177,M221)</x:f>
        <x:v>1</x:v>
      </x:c>
      <x:c r="S221" s="22" t="str">
        <x:v>Other / utility</x:v>
      </x:c>
      <x:c r="T221" s="22" t="str">
        <x:v>Scope only</x:v>
      </x:c>
    </x:row>
    <x:row r="222" ht="48" customHeight="1">
      <x:c r="A222" s="22" t="n">
        <x:v>217</x:v>
      </x:c>
      <x:c r="B222" s="22" t="str">
        <x:v>Getsession.org</x:v>
      </x:c>
      <x:c r="C222" s="27" t="str">
        <x:v>N/A</x:v>
      </x:c>
      <x:c r="D222" s="22" t="str">
        <x:v>Utility classification</x:v>
      </x:c>
      <x:c r="E222" s="22" t="str">
        <x:v>SECURE COMMUNICATION</x:v>
      </x:c>
      <x:c r="F222" s="22" t="str">
        <x:v>Communication / privacy software</x:v>
      </x:c>
      <x:c r="G222" s="22" t="str">
        <x:v>Not a connection-verification database. This audit does not certify encryption, anonymity or operational security.</x:v>
      </x:c>
      <x:c r="H222" s="22" t="str">
        <x:v>Use as a utility only; functionality not audited</x:v>
      </x:c>
      <x:c r="I222" s="22" t="str">
        <x:v>Not checked</x:v>
      </x:c>
      <x:c r="J222" s="22" t="str">
        <x:v>Saved bookmark metadata only</x:v>
      </x:c>
      <x:c r="K222" s="22" t="str"/>
      <x:c r="L222" s="24" t="str"/>
      <x:c r="M222" s="24" t="str">
        <x:v>https://getsession.org/</x:v>
      </x:c>
      <x:c r="N222" s="22" t="str">
        <x:v>309551919</x:v>
      </x:c>
      <x:c r="O222" s="22" t="n">
        <x:v>1003</x:v>
      </x:c>
      <x:c r="P222" s="22" t="n">
        <x:v>20</x:v>
      </x:c>
      <x:c r="Q222" s="22" t="str"/>
      <x:c r="R222" s="22" t="n">
        <x:f>COUNTIF($M$6:$M$1177,M222)</x:f>
        <x:v>1</x:v>
      </x:c>
      <x:c r="S222" s="22" t="str">
        <x:v>Other / utility</x:v>
      </x:c>
      <x:c r="T222" s="22" t="str">
        <x:v>Scope only</x:v>
      </x:c>
    </x:row>
    <x:row r="223" ht="48" customHeight="1">
      <x:c r="A223" s="22" t="n">
        <x:v>218</x:v>
      </x:c>
      <x:c r="B223" s="22" t="str">
        <x:v>OH SHINT! Welcome Aboard</x:v>
      </x:c>
      <x:c r="C223" s="27" t="str">
        <x:v>N/A</x:v>
      </x:c>
      <x:c r="D223" s="22" t="str">
        <x:v>Utility classification</x:v>
      </x:c>
      <x:c r="E223" s="22" t="str">
        <x:v>RESOURCES</x:v>
      </x:c>
      <x:c r="F223" s="22" t="str">
        <x:v>Reference guide or resource directory</x:v>
      </x:c>
      <x:c r="G223" s="22" t="str">
        <x:v>A guide or directory does not validate every linked service. Verify each underlying source separately.</x:v>
      </x:c>
      <x:c r="H223" s="22" t="str">
        <x:v>Use as a utility only; functionality not audited</x:v>
      </x:c>
      <x:c r="I223" s="22" t="str">
        <x:v>Not checked</x:v>
      </x:c>
      <x:c r="J223" s="22" t="str">
        <x:v>Saved bookmark metadata only</x:v>
      </x:c>
      <x:c r="K223" s="22" t="str"/>
      <x:c r="L223" s="24" t="str"/>
      <x:c r="M223" s="24" t="str">
        <x:v>https://ohshint.gitbook.io/</x:v>
      </x:c>
      <x:c r="N223" s="22" t="str">
        <x:v>309552009</x:v>
      </x:c>
      <x:c r="O223" s="22" t="n">
        <x:v>1003</x:v>
      </x:c>
      <x:c r="P223" s="22" t="n">
        <x:v>1</x:v>
      </x:c>
      <x:c r="Q223" s="22" t="str"/>
      <x:c r="R223" s="22" t="n">
        <x:f>COUNTIF($M$6:$M$1177,M223)</x:f>
        <x:v>1</x:v>
      </x:c>
      <x:c r="S223" s="22" t="str">
        <x:v>Other / utility</x:v>
      </x:c>
      <x:c r="T223" s="22" t="str">
        <x:v>Scope only</x:v>
      </x:c>
    </x:row>
    <x:row r="224" ht="48" customHeight="1">
      <x:c r="A224" s="22" t="n">
        <x:v>219</x:v>
      </x:c>
      <x:c r="B224" s="22" t="str">
        <x:v>The Ultimate OSINT Collection</x:v>
      </x:c>
      <x:c r="C224" s="27" t="str">
        <x:v>N/A</x:v>
      </x:c>
      <x:c r="D224" s="22" t="str">
        <x:v>Utility classification</x:v>
      </x:c>
      <x:c r="E224" s="22" t="str">
        <x:v>RESOURCES</x:v>
      </x:c>
      <x:c r="F224" s="22" t="str">
        <x:v>Reference guide or resource directory</x:v>
      </x:c>
      <x:c r="G224" s="22" t="str">
        <x:v>A guide or directory does not validate every linked service. Verify each underlying source separately.</x:v>
      </x:c>
      <x:c r="H224" s="22" t="str">
        <x:v>Use as a utility only; functionality not audited</x:v>
      </x:c>
      <x:c r="I224" s="22" t="str">
        <x:v>Not checked</x:v>
      </x:c>
      <x:c r="J224" s="22" t="str">
        <x:v>Saved bookmark metadata only</x:v>
      </x:c>
      <x:c r="K224" s="22" t="str"/>
      <x:c r="L224" s="24" t="str"/>
      <x:c r="M224" s="24" t="str">
        <x:v>https://start.me/p/DPYPMz/the-ultimate-osint-collection</x:v>
      </x:c>
      <x:c r="N224" s="22" t="str">
        <x:v>268460913</x:v>
      </x:c>
      <x:c r="O224" s="22" t="n">
        <x:v>1003</x:v>
      </x:c>
      <x:c r="P224" s="22" t="n">
        <x:v>2</x:v>
      </x:c>
      <x:c r="Q224" s="22" t="str"/>
      <x:c r="R224" s="22" t="n">
        <x:f>COUNTIF($M$6:$M$1177,M224)</x:f>
        <x:v>1</x:v>
      </x:c>
      <x:c r="S224" s="22" t="str">
        <x:v>Other / utility</x:v>
      </x:c>
      <x:c r="T224" s="22" t="str">
        <x:v>Scope only</x:v>
      </x:c>
    </x:row>
    <x:row r="225" ht="48" customHeight="1">
      <x:c r="A225" s="22" t="n">
        <x:v>220</x:v>
      </x:c>
      <x:c r="B225" s="22" t="str">
        <x:v>OSINT Resources in Canada</x:v>
      </x:c>
      <x:c r="C225" s="27" t="str">
        <x:v>N/A</x:v>
      </x:c>
      <x:c r="D225" s="22" t="str">
        <x:v>Utility classification</x:v>
      </x:c>
      <x:c r="E225" s="22" t="str">
        <x:v>RESOURCES</x:v>
      </x:c>
      <x:c r="F225" s="22" t="str">
        <x:v>Reference guide or resource directory</x:v>
      </x:c>
      <x:c r="G225" s="22" t="str">
        <x:v>A guide or directory does not validate every linked service. Verify each underlying source separately.</x:v>
      </x:c>
      <x:c r="H225" s="22" t="str">
        <x:v>Use as a utility only; functionality not audited</x:v>
      </x:c>
      <x:c r="I225" s="22" t="str">
        <x:v>Not checked</x:v>
      </x:c>
      <x:c r="J225" s="22" t="str">
        <x:v>Saved bookmark metadata only</x:v>
      </x:c>
      <x:c r="K225" s="22" t="str"/>
      <x:c r="L225" s="24" t="str"/>
      <x:c r="M225" s="24" t="str">
        <x:v>https://start.me/p/aLe0vp/osint-resources-in-canada</x:v>
      </x:c>
      <x:c r="N225" s="22" t="str">
        <x:v>297337899</x:v>
      </x:c>
      <x:c r="O225" s="22" t="n">
        <x:v>1003</x:v>
      </x:c>
      <x:c r="P225" s="22" t="n">
        <x:v>3</x:v>
      </x:c>
      <x:c r="Q225" s="22" t="str"/>
      <x:c r="R225" s="22" t="n">
        <x:f>COUNTIF($M$6:$M$1177,M225)</x:f>
        <x:v>1</x:v>
      </x:c>
      <x:c r="S225" s="22" t="str">
        <x:v>Other / utility</x:v>
      </x:c>
      <x:c r="T225" s="22" t="str">
        <x:v>Scope only</x:v>
      </x:c>
    </x:row>
    <x:row r="226" ht="48" customHeight="1">
      <x:c r="A226" s="22" t="n">
        <x:v>221</x:v>
      </x:c>
      <x:c r="B226" s="22" t="str">
        <x:v>Nixintel's OSINT Resource List</x:v>
      </x:c>
      <x:c r="C226" s="27" t="str">
        <x:v>N/A</x:v>
      </x:c>
      <x:c r="D226" s="22" t="str">
        <x:v>Utility classification</x:v>
      </x:c>
      <x:c r="E226" s="22" t="str">
        <x:v>RESOURCES</x:v>
      </x:c>
      <x:c r="F226" s="22" t="str">
        <x:v>Reference guide or resource directory</x:v>
      </x:c>
      <x:c r="G226" s="22" t="str">
        <x:v>A guide or directory does not validate every linked service. Verify each underlying source separately.</x:v>
      </x:c>
      <x:c r="H226" s="22" t="str">
        <x:v>Use as a utility only; functionality not audited</x:v>
      </x:c>
      <x:c r="I226" s="22" t="str">
        <x:v>Not checked</x:v>
      </x:c>
      <x:c r="J226" s="22" t="str">
        <x:v>Saved bookmark metadata only</x:v>
      </x:c>
      <x:c r="K226" s="22" t="str"/>
      <x:c r="L226" s="24" t="str"/>
      <x:c r="M226" s="24" t="str">
        <x:v>https://start.me/p/rx6Qj8/nixintel-s-osint-resource-list</x:v>
      </x:c>
      <x:c r="N226" s="22" t="str">
        <x:v>287164792</x:v>
      </x:c>
      <x:c r="O226" s="22" t="n">
        <x:v>1003</x:v>
      </x:c>
      <x:c r="P226" s="22" t="n">
        <x:v>4</x:v>
      </x:c>
      <x:c r="Q226" s="22" t="str"/>
      <x:c r="R226" s="22" t="n">
        <x:f>COUNTIF($M$6:$M$1177,M226)</x:f>
        <x:v>1</x:v>
      </x:c>
      <x:c r="S226" s="22" t="str">
        <x:v>Other / utility</x:v>
      </x:c>
      <x:c r="T226" s="22" t="str">
        <x:v>Scope only</x:v>
      </x:c>
    </x:row>
    <x:row r="227" ht="48" customHeight="1">
      <x:c r="A227" s="22" t="n">
        <x:v>222</x:v>
      </x:c>
      <x:c r="B227" s="22" t="str">
        <x:v>FAROS OSINT Resources</x:v>
      </x:c>
      <x:c r="C227" s="27" t="str">
        <x:v>N/A</x:v>
      </x:c>
      <x:c r="D227" s="22" t="str">
        <x:v>Utility classification</x:v>
      </x:c>
      <x:c r="E227" s="22" t="str">
        <x:v>RESOURCES</x:v>
      </x:c>
      <x:c r="F227" s="22" t="str">
        <x:v>Reference guide or resource directory</x:v>
      </x:c>
      <x:c r="G227" s="22" t="str">
        <x:v>A guide or directory does not validate every linked service. Verify each underlying source separately.</x:v>
      </x:c>
      <x:c r="H227" s="22" t="str">
        <x:v>Use as a utility only; functionality not audited</x:v>
      </x:c>
      <x:c r="I227" s="22" t="str">
        <x:v>Not checked</x:v>
      </x:c>
      <x:c r="J227" s="22" t="str">
        <x:v>Saved bookmark metadata only</x:v>
      </x:c>
      <x:c r="K227" s="22" t="str"/>
      <x:c r="L227" s="24" t="str"/>
      <x:c r="M227" s="24" t="str">
        <x:v>https://start.me/p/1kvvxN/faros-osint-resources</x:v>
      </x:c>
      <x:c r="N227" s="22" t="str">
        <x:v>288431702</x:v>
      </x:c>
      <x:c r="O227" s="22" t="n">
        <x:v>1003</x:v>
      </x:c>
      <x:c r="P227" s="22" t="n">
        <x:v>5</x:v>
      </x:c>
      <x:c r="Q227" s="22" t="str"/>
      <x:c r="R227" s="22" t="n">
        <x:f>COUNTIF($M$6:$M$1177,M227)</x:f>
        <x:v>1</x:v>
      </x:c>
      <x:c r="S227" s="22" t="str">
        <x:v>Other / utility</x:v>
      </x:c>
      <x:c r="T227" s="22" t="str">
        <x:v>Scope only</x:v>
      </x:c>
    </x:row>
    <x:row r="228" ht="48" customHeight="1">
      <x:c r="A228" s="22" t="n">
        <x:v>223</x:v>
      </x:c>
      <x:c r="B228" s="22" t="str">
        <x:v>AML Toolbox</x:v>
      </x:c>
      <x:c r="C228" s="27" t="str">
        <x:v>N/A</x:v>
      </x:c>
      <x:c r="D228" s="22" t="str">
        <x:v>Utility classification</x:v>
      </x:c>
      <x:c r="E228" s="22" t="str">
        <x:v>RESOURCES</x:v>
      </x:c>
      <x:c r="F228" s="22" t="str">
        <x:v>Reference guide or resource directory</x:v>
      </x:c>
      <x:c r="G228" s="22" t="str">
        <x:v>A guide or directory does not validate every linked service. Verify each underlying source separately.</x:v>
      </x:c>
      <x:c r="H228" s="22" t="str">
        <x:v>Use as a utility only; functionality not audited</x:v>
      </x:c>
      <x:c r="I228" s="22" t="str">
        <x:v>Not checked</x:v>
      </x:c>
      <x:c r="J228" s="22" t="str">
        <x:v>Saved bookmark metadata only</x:v>
      </x:c>
      <x:c r="K228" s="22" t="str"/>
      <x:c r="L228" s="24" t="str"/>
      <x:c r="M228" s="24" t="str">
        <x:v>https://start.me/p/rxeRqr/aml-toolbox</x:v>
      </x:c>
      <x:c r="N228" s="22" t="str">
        <x:v>287164794</x:v>
      </x:c>
      <x:c r="O228" s="22" t="n">
        <x:v>1003</x:v>
      </x:c>
      <x:c r="P228" s="22" t="n">
        <x:v>6</x:v>
      </x:c>
      <x:c r="Q228" s="22" t="str"/>
      <x:c r="R228" s="22" t="n">
        <x:f>COUNTIF($M$6:$M$1177,M228)</x:f>
        <x:v>1</x:v>
      </x:c>
      <x:c r="S228" s="22" t="str">
        <x:v>Other / utility</x:v>
      </x:c>
      <x:c r="T228" s="22" t="str">
        <x:v>Scope only</x:v>
      </x:c>
    </x:row>
    <x:row r="229" ht="48" customHeight="1">
      <x:c r="A229" s="22" t="n">
        <x:v>224</x:v>
      </x:c>
      <x:c r="B229" s="22" t="str">
        <x:v>TI</x:v>
      </x:c>
      <x:c r="C229" s="27" t="str">
        <x:v>N/A</x:v>
      </x:c>
      <x:c r="D229" s="22" t="str">
        <x:v>Utility classification</x:v>
      </x:c>
      <x:c r="E229" s="22" t="str">
        <x:v>RESOURCES</x:v>
      </x:c>
      <x:c r="F229" s="22" t="str">
        <x:v>Reference guide or resource directory</x:v>
      </x:c>
      <x:c r="G229" s="22" t="str">
        <x:v>A guide or directory does not validate every linked service. Verify each underlying source separately.</x:v>
      </x:c>
      <x:c r="H229" s="22" t="str">
        <x:v>Use as a utility only; functionality not audited</x:v>
      </x:c>
      <x:c r="I229" s="22" t="str">
        <x:v>Not checked</x:v>
      </x:c>
      <x:c r="J229" s="22" t="str">
        <x:v>Saved bookmark metadata only</x:v>
      </x:c>
      <x:c r="K229" s="22" t="str"/>
      <x:c r="L229" s="24" t="str"/>
      <x:c r="M229" s="24" t="str">
        <x:v>https://start.me/p/rxRbpo/ti</x:v>
      </x:c>
      <x:c r="N229" s="22" t="str">
        <x:v>268636947</x:v>
      </x:c>
      <x:c r="O229" s="22" t="n">
        <x:v>1003</x:v>
      </x:c>
      <x:c r="P229" s="22" t="n">
        <x:v>7</x:v>
      </x:c>
      <x:c r="Q229" s="22" t="str"/>
      <x:c r="R229" s="22" t="n">
        <x:f>COUNTIF($M$6:$M$1177,M229)</x:f>
        <x:v>1</x:v>
      </x:c>
      <x:c r="S229" s="22" t="str">
        <x:v>Other / utility</x:v>
      </x:c>
      <x:c r="T229" s="22" t="str">
        <x:v>Scope only</x:v>
      </x:c>
    </x:row>
    <x:row r="230" ht="48" customHeight="1">
      <x:c r="A230" s="22" t="n">
        <x:v>225</x:v>
      </x:c>
      <x:c r="B230" s="22" t="str">
        <x:v>TOOLKIT</x:v>
      </x:c>
      <x:c r="C230" s="27" t="str">
        <x:v>N/A</x:v>
      </x:c>
      <x:c r="D230" s="22" t="str">
        <x:v>Utility classification</x:v>
      </x:c>
      <x:c r="E230" s="22" t="str">
        <x:v>RESOURCES</x:v>
      </x:c>
      <x:c r="F230" s="22" t="str">
        <x:v>Reference guide or resource directory</x:v>
      </x:c>
      <x:c r="G230" s="22" t="str">
        <x:v>A guide or directory does not validate every linked service. Verify each underlying source separately.</x:v>
      </x:c>
      <x:c r="H230" s="22" t="str">
        <x:v>Use as a utility only; functionality not audited</x:v>
      </x:c>
      <x:c r="I230" s="22" t="str">
        <x:v>Not checked</x:v>
      </x:c>
      <x:c r="J230" s="22" t="str">
        <x:v>Saved bookmark metadata only</x:v>
      </x:c>
      <x:c r="K230" s="22" t="str"/>
      <x:c r="L230" s="24" t="str"/>
      <x:c r="M230" s="24" t="str">
        <x:v>https://start.me/p/W1AXYo/toolkit</x:v>
      </x:c>
      <x:c r="N230" s="22" t="str">
        <x:v>268460903</x:v>
      </x:c>
      <x:c r="O230" s="22" t="n">
        <x:v>1003</x:v>
      </x:c>
      <x:c r="P230" s="22" t="n">
        <x:v>8</x:v>
      </x:c>
      <x:c r="Q230" s="22" t="str"/>
      <x:c r="R230" s="22" t="n">
        <x:f>COUNTIF($M$6:$M$1177,M230)</x:f>
        <x:v>1</x:v>
      </x:c>
      <x:c r="S230" s="22" t="str">
        <x:v>Other / utility</x:v>
      </x:c>
      <x:c r="T230" s="22" t="str">
        <x:v>Scope only</x:v>
      </x:c>
    </x:row>
    <x:row r="231" ht="48" customHeight="1">
      <x:c r="A231" s="22" t="n">
        <x:v>226</x:v>
      </x:c>
      <x:c r="B231" s="22" t="str">
        <x:v>Trouble Fake</x:v>
      </x:c>
      <x:c r="C231" s="27" t="str">
        <x:v>N/A</x:v>
      </x:c>
      <x:c r="D231" s="22" t="str">
        <x:v>Utility classification</x:v>
      </x:c>
      <x:c r="E231" s="22" t="str">
        <x:v>RESOURCES</x:v>
      </x:c>
      <x:c r="F231" s="22" t="str">
        <x:v>Reference guide or resource directory</x:v>
      </x:c>
      <x:c r="G231" s="22" t="str">
        <x:v>A guide or directory does not validate every linked service. Verify each underlying source separately.</x:v>
      </x:c>
      <x:c r="H231" s="22" t="str">
        <x:v>Use as a utility only; functionality not audited</x:v>
      </x:c>
      <x:c r="I231" s="22" t="str">
        <x:v>Not checked</x:v>
      </x:c>
      <x:c r="J231" s="22" t="str">
        <x:v>Saved bookmark metadata only</x:v>
      </x:c>
      <x:c r="K231" s="22" t="str"/>
      <x:c r="L231" s="24" t="str"/>
      <x:c r="M231" s="24" t="str">
        <x:v>https://start.me/p/QRQb0O/trouble-fake</x:v>
      </x:c>
      <x:c r="N231" s="22" t="str">
        <x:v>268460846</x:v>
      </x:c>
      <x:c r="O231" s="22" t="n">
        <x:v>1003</x:v>
      </x:c>
      <x:c r="P231" s="22" t="n">
        <x:v>9</x:v>
      </x:c>
      <x:c r="Q231" s="22" t="str"/>
      <x:c r="R231" s="22" t="n">
        <x:f>COUNTIF($M$6:$M$1177,M231)</x:f>
        <x:v>1</x:v>
      </x:c>
      <x:c r="S231" s="22" t="str">
        <x:v>Other / utility</x:v>
      </x:c>
      <x:c r="T231" s="22" t="str">
        <x:v>Scope only</x:v>
      </x:c>
    </x:row>
    <x:row r="232" ht="48" customHeight="1">
      <x:c r="A232" s="22" t="n">
        <x:v>227</x:v>
      </x:c>
      <x:c r="B232" s="22" t="str">
        <x:v>OSINT Is A State Of Mind</x:v>
      </x:c>
      <x:c r="C232" s="27" t="str">
        <x:v>N/A</x:v>
      </x:c>
      <x:c r="D232" s="22" t="str">
        <x:v>Utility classification</x:v>
      </x:c>
      <x:c r="E232" s="22" t="str">
        <x:v>RESOURCES</x:v>
      </x:c>
      <x:c r="F232" s="22" t="str">
        <x:v>Reference guide or resource directory</x:v>
      </x:c>
      <x:c r="G232" s="22" t="str">
        <x:v>A guide or directory does not validate every linked service. Verify each underlying source separately.</x:v>
      </x:c>
      <x:c r="H232" s="22" t="str">
        <x:v>Use as a utility only; functionality not audited</x:v>
      </x:c>
      <x:c r="I232" s="22" t="str">
        <x:v>Not checked</x:v>
      </x:c>
      <x:c r="J232" s="22" t="str">
        <x:v>Saved bookmark metadata only</x:v>
      </x:c>
      <x:c r="K232" s="22" t="str"/>
      <x:c r="L232" s="24" t="str"/>
      <x:c r="M232" s="24" t="str">
        <x:v>https://medium.com/secjuice/osint-as-a-mindset-7d42ad72113d</x:v>
      </x:c>
      <x:c r="N232" s="22" t="str">
        <x:v>268502869</x:v>
      </x:c>
      <x:c r="O232" s="22" t="n">
        <x:v>1003</x:v>
      </x:c>
      <x:c r="P232" s="22" t="n">
        <x:v>10</x:v>
      </x:c>
      <x:c r="Q232" s="22" t="str"/>
      <x:c r="R232" s="22" t="n">
        <x:f>COUNTIF($M$6:$M$1177,M232)</x:f>
        <x:v>1</x:v>
      </x:c>
      <x:c r="S232" s="22" t="str">
        <x:v>Other / utility</x:v>
      </x:c>
      <x:c r="T232" s="22" t="str">
        <x:v>Scope only</x:v>
      </x:c>
    </x:row>
    <x:row r="233" ht="48" customHeight="1">
      <x:c r="A233" s="22" t="n">
        <x:v>228</x:v>
      </x:c>
      <x:c r="B233" s="22" t="str">
        <x:v>sinwindie/OSINT</x:v>
      </x:c>
      <x:c r="C233" s="27" t="str">
        <x:v>N/A</x:v>
      </x:c>
      <x:c r="D233" s="22" t="str">
        <x:v>Utility classification</x:v>
      </x:c>
      <x:c r="E233" s="22" t="str">
        <x:v>RESOURCES</x:v>
      </x:c>
      <x:c r="F233" s="22" t="str">
        <x:v>Reference guide or resource directory</x:v>
      </x:c>
      <x:c r="G233" s="22" t="str">
        <x:v>A guide or directory does not validate every linked service. Verify each underlying source separately.</x:v>
      </x:c>
      <x:c r="H233" s="22" t="str">
        <x:v>Use as a utility only; functionality not audited</x:v>
      </x:c>
      <x:c r="I233" s="22" t="str">
        <x:v>Not checked</x:v>
      </x:c>
      <x:c r="J233" s="22" t="str">
        <x:v>Saved bookmark metadata only</x:v>
      </x:c>
      <x:c r="K233" s="22" t="str"/>
      <x:c r="L233" s="24" t="str"/>
      <x:c r="M233" s="24" t="str">
        <x:v>https://github.com/sinwindie/OSINT</x:v>
      </x:c>
      <x:c r="N233" s="22" t="str">
        <x:v>297888688</x:v>
      </x:c>
      <x:c r="O233" s="22" t="n">
        <x:v>1003</x:v>
      </x:c>
      <x:c r="P233" s="22" t="n">
        <x:v>11</x:v>
      </x:c>
      <x:c r="Q233" s="22" t="str"/>
      <x:c r="R233" s="22" t="n">
        <x:f>COUNTIF($M$6:$M$1177,M233)</x:f>
        <x:v>1</x:v>
      </x:c>
      <x:c r="S233" s="22" t="str">
        <x:v>Other / utility</x:v>
      </x:c>
      <x:c r="T233" s="22" t="str">
        <x:v>Scope only</x:v>
      </x:c>
    </x:row>
    <x:row r="234" ht="48" customHeight="1">
      <x:c r="A234" s="22" t="n">
        <x:v>229</x:v>
      </x:c>
      <x:c r="B234" s="22" t="str">
        <x:v>New Online Investigation (OSINT) Resources – IntelTechniques Blog</x:v>
      </x:c>
      <x:c r="C234" s="27" t="str">
        <x:v>N/A</x:v>
      </x:c>
      <x:c r="D234" s="22" t="str">
        <x:v>Utility classification</x:v>
      </x:c>
      <x:c r="E234" s="22" t="str">
        <x:v>RESOURCES</x:v>
      </x:c>
      <x:c r="F234" s="22" t="str">
        <x:v>Reference guide or resource directory</x:v>
      </x:c>
      <x:c r="G234" s="22" t="str">
        <x:v>A guide or directory does not validate every linked service. Verify each underlying source separately.</x:v>
      </x:c>
      <x:c r="H234" s="22" t="str">
        <x:v>Use as a utility only; functionality not audited</x:v>
      </x:c>
      <x:c r="I234" s="22" t="str">
        <x:v>Not checked</x:v>
      </x:c>
      <x:c r="J234" s="22" t="str">
        <x:v>Saved bookmark metadata only</x:v>
      </x:c>
      <x:c r="K234" s="22" t="str"/>
      <x:c r="L234" s="24" t="str"/>
      <x:c r="M234" s="24" t="str">
        <x:v>https://inteltechniques.com/blog/2019/04/09/new-online-investigation-osint-resources/</x:v>
      </x:c>
      <x:c r="N234" s="22" t="str">
        <x:v>290382339</x:v>
      </x:c>
      <x:c r="O234" s="22" t="n">
        <x:v>1003</x:v>
      </x:c>
      <x:c r="P234" s="22" t="n">
        <x:v>12</x:v>
      </x:c>
      <x:c r="Q234" s="22" t="str"/>
      <x:c r="R234" s="22" t="n">
        <x:f>COUNTIF($M$6:$M$1177,M234)</x:f>
        <x:v>1</x:v>
      </x:c>
      <x:c r="S234" s="22" t="str">
        <x:v>Other / utility</x:v>
      </x:c>
      <x:c r="T234" s="22" t="str">
        <x:v>Scope only</x:v>
      </x:c>
    </x:row>
    <x:row r="235" ht="48" customHeight="1">
      <x:c r="A235" s="22" t="n">
        <x:v>230</x:v>
      </x:c>
      <x:c r="B235" s="22" t="str">
        <x:v>Technisette</x:v>
      </x:c>
      <x:c r="C235" s="27" t="str">
        <x:v>N/A</x:v>
      </x:c>
      <x:c r="D235" s="22" t="str">
        <x:v>Utility classification</x:v>
      </x:c>
      <x:c r="E235" s="22" t="str">
        <x:v>RESOURCES</x:v>
      </x:c>
      <x:c r="F235" s="22" t="str">
        <x:v>Reference guide or resource directory</x:v>
      </x:c>
      <x:c r="G235" s="22" t="str">
        <x:v>A guide or directory does not validate every linked service. Verify each underlying source separately.</x:v>
      </x:c>
      <x:c r="H235" s="22" t="str">
        <x:v>Use as a utility only; functionality not audited</x:v>
      </x:c>
      <x:c r="I235" s="22" t="str">
        <x:v>Not checked</x:v>
      </x:c>
      <x:c r="J235" s="22" t="str">
        <x:v>Saved bookmark metadata only</x:v>
      </x:c>
      <x:c r="K235" s="22" t="str"/>
      <x:c r="L235" s="24" t="str"/>
      <x:c r="M235" s="24" t="str">
        <x:v>https://www.technisette.com/p/home</x:v>
      </x:c>
      <x:c r="N235" s="22" t="str">
        <x:v>268383829</x:v>
      </x:c>
      <x:c r="O235" s="22" t="n">
        <x:v>1003</x:v>
      </x:c>
      <x:c r="P235" s="22" t="n">
        <x:v>13</x:v>
      </x:c>
      <x:c r="Q235" s="22" t="str"/>
      <x:c r="R235" s="22" t="n">
        <x:f>COUNTIF($M$6:$M$1177,M235)</x:f>
        <x:v>1</x:v>
      </x:c>
      <x:c r="S235" s="22" t="str">
        <x:v>Other / utility</x:v>
      </x:c>
      <x:c r="T235" s="22" t="str">
        <x:v>Scope only</x:v>
      </x:c>
    </x:row>
    <x:row r="236" ht="48" customHeight="1">
      <x:c r="A236" s="22" t="n">
        <x:v>231</x:v>
      </x:c>
      <x:c r="B236" s="22" t="str">
        <x:v>OSINT Framework</x:v>
      </x:c>
      <x:c r="C236" s="27" t="str">
        <x:v>N/A</x:v>
      </x:c>
      <x:c r="D236" s="22" t="str">
        <x:v>Utility classification</x:v>
      </x:c>
      <x:c r="E236" s="22" t="str">
        <x:v>RESOURCES</x:v>
      </x:c>
      <x:c r="F236" s="22" t="str">
        <x:v>Reference guide or resource directory</x:v>
      </x:c>
      <x:c r="G236" s="22" t="str">
        <x:v>A guide or directory does not validate every linked service. Verify each underlying source separately.</x:v>
      </x:c>
      <x:c r="H236" s="22" t="str">
        <x:v>Use as a utility only; functionality not audited</x:v>
      </x:c>
      <x:c r="I236" s="22" t="str">
        <x:v>Not checked</x:v>
      </x:c>
      <x:c r="J236" s="22" t="str">
        <x:v>Saved bookmark metadata only</x:v>
      </x:c>
      <x:c r="K236" s="22" t="str"/>
      <x:c r="L236" s="24" t="str"/>
      <x:c r="M236" s="24" t="str">
        <x:v>https://osintframework.com/</x:v>
      </x:c>
      <x:c r="N236" s="22" t="str">
        <x:v>268388046</x:v>
      </x:c>
      <x:c r="O236" s="22" t="n">
        <x:v>1003</x:v>
      </x:c>
      <x:c r="P236" s="22" t="n">
        <x:v>14</x:v>
      </x:c>
      <x:c r="Q236" s="22" t="str"/>
      <x:c r="R236" s="22" t="n">
        <x:f>COUNTIF($M$6:$M$1177,M236)</x:f>
        <x:v>1</x:v>
      </x:c>
      <x:c r="S236" s="22" t="str">
        <x:v>Other / utility</x:v>
      </x:c>
      <x:c r="T236" s="22" t="str">
        <x:v>Scope only</x:v>
      </x:c>
    </x:row>
    <x:row r="237" ht="48" customHeight="1">
      <x:c r="A237" s="22" t="n">
        <x:v>232</x:v>
      </x:c>
      <x:c r="B237" s="22" t="str">
        <x:v>jivoi/awesome-osint</x:v>
      </x:c>
      <x:c r="C237" s="27" t="str">
        <x:v>N/A</x:v>
      </x:c>
      <x:c r="D237" s="22" t="str">
        <x:v>Utility classification</x:v>
      </x:c>
      <x:c r="E237" s="22" t="str">
        <x:v>RESOURCES</x:v>
      </x:c>
      <x:c r="F237" s="22" t="str">
        <x:v>Reference guide or resource directory</x:v>
      </x:c>
      <x:c r="G237" s="22" t="str">
        <x:v>A guide or directory does not validate every linked service. Verify each underlying source separately.</x:v>
      </x:c>
      <x:c r="H237" s="22" t="str">
        <x:v>Use as a utility only; functionality not audited</x:v>
      </x:c>
      <x:c r="I237" s="22" t="str">
        <x:v>Not checked</x:v>
      </x:c>
      <x:c r="J237" s="22" t="str">
        <x:v>Saved bookmark metadata only</x:v>
      </x:c>
      <x:c r="K237" s="22" t="str"/>
      <x:c r="L237" s="24" t="str"/>
      <x:c r="M237" s="24" t="str">
        <x:v>https://github.com/jivoi/awesome-osint</x:v>
      </x:c>
      <x:c r="N237" s="22" t="str">
        <x:v>268388059</x:v>
      </x:c>
      <x:c r="O237" s="22" t="n">
        <x:v>1003</x:v>
      </x:c>
      <x:c r="P237" s="22" t="n">
        <x:v>15</x:v>
      </x:c>
      <x:c r="Q237" s="22" t="str"/>
      <x:c r="R237" s="22" t="n">
        <x:f>COUNTIF($M$6:$M$1177,M237)</x:f>
        <x:v>1</x:v>
      </x:c>
      <x:c r="S237" s="22" t="str">
        <x:v>Other / utility</x:v>
      </x:c>
      <x:c r="T237" s="22" t="str">
        <x:v>Scope only</x:v>
      </x:c>
    </x:row>
    <x:row r="238" ht="48" customHeight="1">
      <x:c r="A238" s="22" t="n">
        <x:v>233</x:v>
      </x:c>
      <x:c r="B238" s="22" t="str">
        <x:v>START CARING STOP SHARING</x:v>
      </x:c>
      <x:c r="C238" s="27" t="str">
        <x:v>N/A</x:v>
      </x:c>
      <x:c r="D238" s="22" t="str">
        <x:v>Utility classification</x:v>
      </x:c>
      <x:c r="E238" s="22" t="str">
        <x:v>RESOURCES</x:v>
      </x:c>
      <x:c r="F238" s="22" t="str">
        <x:v>Reference guide or resource directory</x:v>
      </x:c>
      <x:c r="G238" s="22" t="str">
        <x:v>A guide or directory does not validate every linked service. Verify each underlying source separately.</x:v>
      </x:c>
      <x:c r="H238" s="22" t="str">
        <x:v>Use as a utility only; functionality not audited</x:v>
      </x:c>
      <x:c r="I238" s="22" t="str">
        <x:v>Not checked</x:v>
      </x:c>
      <x:c r="J238" s="22" t="str">
        <x:v>Saved bookmark metadata only</x:v>
      </x:c>
      <x:c r="K238" s="22" t="str"/>
      <x:c r="L238" s="24" t="str"/>
      <x:c r="M238" s="24" t="str">
        <x:v>https://medium.com/@Dutchosintguy/start-caring-stop-sharing-9c108d957b2c</x:v>
      </x:c>
      <x:c r="N238" s="22" t="str">
        <x:v>268408719</x:v>
      </x:c>
      <x:c r="O238" s="22" t="n">
        <x:v>1003</x:v>
      </x:c>
      <x:c r="P238" s="22" t="n">
        <x:v>16</x:v>
      </x:c>
      <x:c r="Q238" s="22" t="str"/>
      <x:c r="R238" s="22" t="n">
        <x:f>COUNTIF($M$6:$M$1177,M238)</x:f>
        <x:v>1</x:v>
      </x:c>
      <x:c r="S238" s="22" t="str">
        <x:v>Other / utility</x:v>
      </x:c>
      <x:c r="T238" s="22" t="str">
        <x:v>Scope only</x:v>
      </x:c>
    </x:row>
    <x:row r="239" ht="48" customHeight="1">
      <x:c r="A239" s="22" t="n">
        <x:v>234</x:v>
      </x:c>
      <x:c r="B239" s="22" t="str">
        <x:v>Osint Curious OSINT Resource List</x:v>
      </x:c>
      <x:c r="C239" s="27" t="str">
        <x:v>N/A</x:v>
      </x:c>
      <x:c r="D239" s="22" t="str">
        <x:v>Utility classification</x:v>
      </x:c>
      <x:c r="E239" s="22" t="str">
        <x:v>RESOURCES</x:v>
      </x:c>
      <x:c r="F239" s="22" t="str">
        <x:v>Reference guide or resource directory</x:v>
      </x:c>
      <x:c r="G239" s="22" t="str">
        <x:v>A guide or directory does not validate every linked service. Verify each underlying source separately.</x:v>
      </x:c>
      <x:c r="H239" s="22" t="str">
        <x:v>Use as a utility only; functionality not audited</x:v>
      </x:c>
      <x:c r="I239" s="22" t="str">
        <x:v>Not checked</x:v>
      </x:c>
      <x:c r="J239" s="22" t="str">
        <x:v>Saved bookmark metadata only</x:v>
      </x:c>
      <x:c r="K239" s="22" t="str"/>
      <x:c r="L239" s="24" t="str"/>
      <x:c r="M239" s="24" t="str">
        <x:v>https://docs.google.com/document/d/14li22wAG2Wh2y0UhgBjbqEvZJCDsNZY8vpUAJ_jJ5X8/edit</x:v>
      </x:c>
      <x:c r="N239" s="22" t="str">
        <x:v>268408722</x:v>
      </x:c>
      <x:c r="O239" s="22" t="n">
        <x:v>1003</x:v>
      </x:c>
      <x:c r="P239" s="22" t="n">
        <x:v>17</x:v>
      </x:c>
      <x:c r="Q239" s="22" t="str"/>
      <x:c r="R239" s="22" t="n">
        <x:f>COUNTIF($M$6:$M$1177,M239)</x:f>
        <x:v>1</x:v>
      </x:c>
      <x:c r="S239" s="22" t="str">
        <x:v>Other / utility</x:v>
      </x:c>
      <x:c r="T239" s="22" t="str">
        <x:v>Scope only</x:v>
      </x:c>
    </x:row>
    <x:row r="240" ht="48" customHeight="1">
      <x:c r="A240" s="22" t="n">
        <x:v>235</x:v>
      </x:c>
      <x:c r="B240" s="22" t="str">
        <x:v>OSINT Tools</x:v>
      </x:c>
      <x:c r="C240" s="27" t="str">
        <x:v>N/A</x:v>
      </x:c>
      <x:c r="D240" s="22" t="str">
        <x:v>Utility classification</x:v>
      </x:c>
      <x:c r="E240" s="22" t="str">
        <x:v>RESOURCES</x:v>
      </x:c>
      <x:c r="F240" s="22" t="str">
        <x:v>Reference guide or resource directory</x:v>
      </x:c>
      <x:c r="G240" s="22" t="str">
        <x:v>A guide or directory does not validate every linked service. Verify each underlying source separately.</x:v>
      </x:c>
      <x:c r="H240" s="22" t="str">
        <x:v>Use as a utility only; functionality not audited</x:v>
      </x:c>
      <x:c r="I240" s="22" t="str">
        <x:v>Not checked</x:v>
      </x:c>
      <x:c r="J240" s="22" t="str">
        <x:v>Saved bookmark metadata only</x:v>
      </x:c>
      <x:c r="K240" s="22" t="str"/>
      <x:c r="L240" s="24" t="str"/>
      <x:c r="M240" s="24" t="str">
        <x:v>https://www.osinttechniques.com/osint-tools.html</x:v>
      </x:c>
      <x:c r="N240" s="22" t="str">
        <x:v>268408762</x:v>
      </x:c>
      <x:c r="O240" s="22" t="n">
        <x:v>1003</x:v>
      </x:c>
      <x:c r="P240" s="22" t="n">
        <x:v>18</x:v>
      </x:c>
      <x:c r="Q240" s="22" t="str"/>
      <x:c r="R240" s="22" t="n">
        <x:f>COUNTIF($M$6:$M$1177,M240)</x:f>
        <x:v>1</x:v>
      </x:c>
      <x:c r="S240" s="22" t="str">
        <x:v>Other / utility</x:v>
      </x:c>
      <x:c r="T240" s="22" t="str">
        <x:v>Scope only</x:v>
      </x:c>
    </x:row>
    <x:row r="241" ht="48" customHeight="1">
      <x:c r="A241" s="22" t="n">
        <x:v>236</x:v>
      </x:c>
      <x:c r="B241" s="22" t="str">
        <x:v>OSINT tools for investigating websites</x:v>
      </x:c>
      <x:c r="C241" s="27" t="str">
        <x:v>N/A</x:v>
      </x:c>
      <x:c r="D241" s="22" t="str">
        <x:v>Utility classification</x:v>
      </x:c>
      <x:c r="E241" s="22" t="str">
        <x:v>RESOURCES</x:v>
      </x:c>
      <x:c r="F241" s="22" t="str">
        <x:v>Reference guide or resource directory</x:v>
      </x:c>
      <x:c r="G241" s="22" t="str">
        <x:v>A guide or directory does not validate every linked service. Verify each underlying source separately.</x:v>
      </x:c>
      <x:c r="H241" s="22" t="str">
        <x:v>Use as a utility only; functionality not audited</x:v>
      </x:c>
      <x:c r="I241" s="22" t="str">
        <x:v>Not checked</x:v>
      </x:c>
      <x:c r="J241" s="22" t="str">
        <x:v>Saved bookmark metadata only</x:v>
      </x:c>
      <x:c r="K241" s="22" t="str"/>
      <x:c r="L241" s="24" t="str"/>
      <x:c r="M241" s="24" t="str">
        <x:v>https://www.aware-online.com/en/osint-tools/website-tools/</x:v>
      </x:c>
      <x:c r="N241" s="22" t="str">
        <x:v>268408765</x:v>
      </x:c>
      <x:c r="O241" s="22" t="n">
        <x:v>1003</x:v>
      </x:c>
      <x:c r="P241" s="22" t="n">
        <x:v>19</x:v>
      </x:c>
      <x:c r="Q241" s="22" t="str"/>
      <x:c r="R241" s="22" t="n">
        <x:f>COUNTIF($M$6:$M$1177,M241)</x:f>
        <x:v>1</x:v>
      </x:c>
      <x:c r="S241" s="22" t="str">
        <x:v>Other / utility</x:v>
      </x:c>
      <x:c r="T241" s="22" t="str">
        <x:v>Scope only</x:v>
      </x:c>
    </x:row>
    <x:row r="242" ht="48" customHeight="1">
      <x:c r="A242" s="22" t="n">
        <x:v>237</x:v>
      </x:c>
      <x:c r="B242" s="22" t="str">
        <x:v>Shodan Cheat Sheet</x:v>
      </x:c>
      <x:c r="C242" s="27" t="str">
        <x:v>N/A</x:v>
      </x:c>
      <x:c r="D242" s="22" t="str">
        <x:v>Utility classification</x:v>
      </x:c>
      <x:c r="E242" s="22" t="str">
        <x:v>RESOURCES</x:v>
      </x:c>
      <x:c r="F242" s="22" t="str">
        <x:v>Reference guide or resource directory</x:v>
      </x:c>
      <x:c r="G242" s="22" t="str">
        <x:v>A guide or directory does not validate every linked service. Verify each underlying source separately.</x:v>
      </x:c>
      <x:c r="H242" s="22" t="str">
        <x:v>Use as a utility only; functionality not audited</x:v>
      </x:c>
      <x:c r="I242" s="22" t="str">
        <x:v>Not checked</x:v>
      </x:c>
      <x:c r="J242" s="22" t="str">
        <x:v>Saved bookmark metadata only</x:v>
      </x:c>
      <x:c r="K242" s="22" t="str"/>
      <x:c r="L242" s="24" t="str"/>
      <x:c r="M242" s="24" t="str">
        <x:v>https://thedarksource.com/shodan-cheat-sheet/</x:v>
      </x:c>
      <x:c r="N242" s="22" t="str">
        <x:v>268460756</x:v>
      </x:c>
      <x:c r="O242" s="22" t="n">
        <x:v>1003</x:v>
      </x:c>
      <x:c r="P242" s="22" t="n">
        <x:v>20</x:v>
      </x:c>
      <x:c r="Q242" s="22" t="str"/>
      <x:c r="R242" s="22" t="n">
        <x:f>COUNTIF($M$6:$M$1177,M242)</x:f>
        <x:v>1</x:v>
      </x:c>
      <x:c r="S242" s="22" t="str">
        <x:v>Other / utility</x:v>
      </x:c>
      <x:c r="T242" s="22" t="str">
        <x:v>Scope only</x:v>
      </x:c>
    </x:row>
    <x:row r="243" ht="48" customHeight="1">
      <x:c r="A243" s="22" t="n">
        <x:v>238</x:v>
      </x:c>
      <x:c r="B243" s="22" t="str">
        <x:v>Week in OSINT</x:v>
      </x:c>
      <x:c r="C243" s="27" t="str">
        <x:v>N/A</x:v>
      </x:c>
      <x:c r="D243" s="22" t="str">
        <x:v>Utility classification</x:v>
      </x:c>
      <x:c r="E243" s="22" t="str">
        <x:v>RESOURCES</x:v>
      </x:c>
      <x:c r="F243" s="22" t="str">
        <x:v>Reference guide or resource directory</x:v>
      </x:c>
      <x:c r="G243" s="22" t="str">
        <x:v>A guide or directory does not validate every linked service. Verify each underlying source separately.</x:v>
      </x:c>
      <x:c r="H243" s="22" t="str">
        <x:v>Use as a utility only; functionality not audited</x:v>
      </x:c>
      <x:c r="I243" s="22" t="str">
        <x:v>Not checked</x:v>
      </x:c>
      <x:c r="J243" s="22" t="str">
        <x:v>Saved bookmark metadata only</x:v>
      </x:c>
      <x:c r="K243" s="22" t="str"/>
      <x:c r="L243" s="24" t="str"/>
      <x:c r="M243" s="24" t="str">
        <x:v>https://sector035.nl/articles/category:week-in-osint</x:v>
      </x:c>
      <x:c r="N243" s="22" t="str">
        <x:v>268460920</x:v>
      </x:c>
      <x:c r="O243" s="22" t="n">
        <x:v>1003</x:v>
      </x:c>
      <x:c r="P243" s="22" t="n">
        <x:v>21</x:v>
      </x:c>
      <x:c r="Q243" s="22" t="str"/>
      <x:c r="R243" s="22" t="n">
        <x:f>COUNTIF($M$6:$M$1177,M243)</x:f>
        <x:v>1</x:v>
      </x:c>
      <x:c r="S243" s="22" t="str">
        <x:v>Other / utility</x:v>
      </x:c>
      <x:c r="T243" s="22" t="str">
        <x:v>Scope only</x:v>
      </x:c>
    </x:row>
    <x:row r="244" ht="48" customHeight="1">
      <x:c r="A244" s="22" t="n">
        <x:v>239</x:v>
      </x:c>
      <x:c r="B244" s="22" t="str">
        <x:v>Osint.team</x:v>
      </x:c>
      <x:c r="C244" s="27" t="str">
        <x:v>N/A</x:v>
      </x:c>
      <x:c r="D244" s="22" t="str">
        <x:v>Utility classification</x:v>
      </x:c>
      <x:c r="E244" s="22" t="str">
        <x:v>RESOURCES</x:v>
      </x:c>
      <x:c r="F244" s="22" t="str">
        <x:v>Reference guide or resource directory</x:v>
      </x:c>
      <x:c r="G244" s="22" t="str">
        <x:v>A guide or directory does not validate every linked service. Verify each underlying source separately.</x:v>
      </x:c>
      <x:c r="H244" s="22" t="str">
        <x:v>Use as a utility only; functionality not audited</x:v>
      </x:c>
      <x:c r="I244" s="22" t="str">
        <x:v>Not checked</x:v>
      </x:c>
      <x:c r="J244" s="22" t="str">
        <x:v>Saved bookmark metadata only</x:v>
      </x:c>
      <x:c r="K244" s="22" t="str"/>
      <x:c r="L244" s="24" t="str"/>
      <x:c r="M244" s="24" t="str">
        <x:v>https://osint.team/</x:v>
      </x:c>
      <x:c r="N244" s="22" t="str">
        <x:v>268502875</x:v>
      </x:c>
      <x:c r="O244" s="22" t="n">
        <x:v>1003</x:v>
      </x:c>
      <x:c r="P244" s="22" t="n">
        <x:v>22</x:v>
      </x:c>
      <x:c r="Q244" s="22" t="str"/>
      <x:c r="R244" s="22" t="n">
        <x:f>COUNTIF($M$6:$M$1177,M244)</x:f>
        <x:v>1</x:v>
      </x:c>
      <x:c r="S244" s="22" t="str">
        <x:v>Other / utility</x:v>
      </x:c>
      <x:c r="T244" s="22" t="str">
        <x:v>Scope only</x:v>
      </x:c>
    </x:row>
    <x:row r="245" ht="48" customHeight="1">
      <x:c r="A245" s="22" t="n">
        <x:v>240</x:v>
      </x:c>
      <x:c r="B245" s="22" t="str">
        <x:v>QueryTool</x:v>
      </x:c>
      <x:c r="C245" s="27" t="str">
        <x:v>N/A</x:v>
      </x:c>
      <x:c r="D245" s="22" t="str">
        <x:v>Utility classification</x:v>
      </x:c>
      <x:c r="E245" s="22" t="str">
        <x:v>RESOURCES</x:v>
      </x:c>
      <x:c r="F245" s="22" t="str">
        <x:v>Reference guide or resource directory</x:v>
      </x:c>
      <x:c r="G245" s="22" t="str">
        <x:v>A guide or directory does not validate every linked service. Verify each underlying source separately.</x:v>
      </x:c>
      <x:c r="H245" s="22" t="str">
        <x:v>Use as a utility only; functionality not audited</x:v>
      </x:c>
      <x:c r="I245" s="22" t="str">
        <x:v>Not checked</x:v>
      </x:c>
      <x:c r="J245" s="22" t="str">
        <x:v>Saved bookmark metadata only</x:v>
      </x:c>
      <x:c r="K245" s="22" t="str"/>
      <x:c r="L245" s="24" t="str"/>
      <x:c r="M245" s="24" t="str">
        <x:v>https://github.com/oryon-osint/querytool</x:v>
      </x:c>
      <x:c r="N245" s="22" t="str">
        <x:v>268503284</x:v>
      </x:c>
      <x:c r="O245" s="22" t="n">
        <x:v>1003</x:v>
      </x:c>
      <x:c r="P245" s="22" t="n">
        <x:v>23</x:v>
      </x:c>
      <x:c r="Q245" s="22" t="str"/>
      <x:c r="R245" s="22" t="n">
        <x:f>COUNTIF($M$6:$M$1177,M245)</x:f>
        <x:v>1</x:v>
      </x:c>
      <x:c r="S245" s="22" t="str">
        <x:v>Other / utility</x:v>
      </x:c>
      <x:c r="T245" s="22" t="str">
        <x:v>Scope only</x:v>
      </x:c>
    </x:row>
    <x:row r="246" ht="48" customHeight="1">
      <x:c r="A246" s="22" t="n">
        <x:v>241</x:v>
      </x:c>
      <x:c r="B246" s="22" t="str">
        <x:v>Investigating the source code of a website</x:v>
      </x:c>
      <x:c r="C246" s="27" t="str">
        <x:v>N/A</x:v>
      </x:c>
      <x:c r="D246" s="22" t="str">
        <x:v>Utility classification</x:v>
      </x:c>
      <x:c r="E246" s="22" t="str">
        <x:v>RESOURCES</x:v>
      </x:c>
      <x:c r="F246" s="22" t="str">
        <x:v>Reference guide or resource directory</x:v>
      </x:c>
      <x:c r="G246" s="22" t="str">
        <x:v>A guide or directory does not validate every linked service. Verify each underlying source separately.</x:v>
      </x:c>
      <x:c r="H246" s="22" t="str">
        <x:v>Use as a utility only; functionality not audited</x:v>
      </x:c>
      <x:c r="I246" s="22" t="str">
        <x:v>Not checked</x:v>
      </x:c>
      <x:c r="J246" s="22" t="str">
        <x:v>Saved bookmark metadata only</x:v>
      </x:c>
      <x:c r="K246" s="22" t="str"/>
      <x:c r="L246" s="24" t="str"/>
      <x:c r="M246" s="24" t="str">
        <x:v>https://www.aware-online.com/en/osint-tutorials/investigating-the-source-code-of-a-website/</x:v>
      </x:c>
      <x:c r="N246" s="22" t="str">
        <x:v>268503287</x:v>
      </x:c>
      <x:c r="O246" s="22" t="n">
        <x:v>1003</x:v>
      </x:c>
      <x:c r="P246" s="22" t="n">
        <x:v>24</x:v>
      </x:c>
      <x:c r="Q246" s="22" t="str"/>
      <x:c r="R246" s="22" t="n">
        <x:f>COUNTIF($M$6:$M$1177,M246)</x:f>
        <x:v>1</x:v>
      </x:c>
      <x:c r="S246" s="22" t="str">
        <x:v>Other / utility</x:v>
      </x:c>
      <x:c r="T246" s="22" t="str">
        <x:v>Scope only</x:v>
      </x:c>
    </x:row>
    <x:row r="247" ht="48" customHeight="1">
      <x:c r="A247" s="22" t="n">
        <x:v>242</x:v>
      </x:c>
      <x:c r="B247" s="22" t="str">
        <x:v>Find open FTP Servers</x:v>
      </x:c>
      <x:c r="C247" s="27" t="str">
        <x:v>N/A</x:v>
      </x:c>
      <x:c r="D247" s="22" t="str">
        <x:v>Utility classification</x:v>
      </x:c>
      <x:c r="E247" s="22" t="str">
        <x:v>RESOURCES</x:v>
      </x:c>
      <x:c r="F247" s="22" t="str">
        <x:v>Reference guide or resource directory</x:v>
      </x:c>
      <x:c r="G247" s="22" t="str">
        <x:v>A guide or directory does not validate every linked service. Verify each underlying source separately.</x:v>
      </x:c>
      <x:c r="H247" s="22" t="str">
        <x:v>Use as a utility only; functionality not audited</x:v>
      </x:c>
      <x:c r="I247" s="22" t="str">
        <x:v>Not checked</x:v>
      </x:c>
      <x:c r="J247" s="22" t="str">
        <x:v>Saved bookmark metadata only</x:v>
      </x:c>
      <x:c r="K247" s="22" t="str"/>
      <x:c r="L247" s="24" t="str"/>
      <x:c r="M247" s="24" t="str">
        <x:v>https://www.aware-online.com/en/osint-tutorials/find-open-ftp-servers/</x:v>
      </x:c>
      <x:c r="N247" s="22" t="str">
        <x:v>268503304</x:v>
      </x:c>
      <x:c r="O247" s="22" t="n">
        <x:v>1003</x:v>
      </x:c>
      <x:c r="P247" s="22" t="n">
        <x:v>25</x:v>
      </x:c>
      <x:c r="Q247" s="22" t="str"/>
      <x:c r="R247" s="22" t="n">
        <x:f>COUNTIF($M$6:$M$1177,M247)</x:f>
        <x:v>1</x:v>
      </x:c>
      <x:c r="S247" s="22" t="str">
        <x:v>Other / utility</x:v>
      </x:c>
      <x:c r="T247" s="22" t="str">
        <x:v>Scope only</x:v>
      </x:c>
    </x:row>
    <x:row r="248" ht="48" customHeight="1">
      <x:c r="A248" s="22" t="n">
        <x:v>243</x:v>
      </x:c>
      <x:c r="B248" s="22" t="str">
        <x:v>Choose your wallet</x:v>
      </x:c>
      <x:c r="C248" s="27" t="str">
        <x:v>N/A</x:v>
      </x:c>
      <x:c r="D248" s="22" t="str">
        <x:v>Utility classification</x:v>
      </x:c>
      <x:c r="E248" s="22" t="str">
        <x:v>RESOURCES</x:v>
      </x:c>
      <x:c r="F248" s="22" t="str">
        <x:v>Reference guide or resource directory</x:v>
      </x:c>
      <x:c r="G248" s="22" t="str">
        <x:v>A guide or directory does not validate every linked service. Verify each underlying source separately.</x:v>
      </x:c>
      <x:c r="H248" s="22" t="str">
        <x:v>Use as a utility only; functionality not audited</x:v>
      </x:c>
      <x:c r="I248" s="22" t="str">
        <x:v>Not checked</x:v>
      </x:c>
      <x:c r="J248" s="22" t="str">
        <x:v>Saved bookmark metadata only</x:v>
      </x:c>
      <x:c r="K248" s="22" t="str"/>
      <x:c r="L248" s="24" t="str"/>
      <x:c r="M248" s="24" t="str">
        <x:v>https://bitcoin.org/en/choose-your-wallet</x:v>
      </x:c>
      <x:c r="N248" s="22" t="str">
        <x:v>268506928</x:v>
      </x:c>
      <x:c r="O248" s="22" t="n">
        <x:v>1003</x:v>
      </x:c>
      <x:c r="P248" s="22" t="n">
        <x:v>26</x:v>
      </x:c>
      <x:c r="Q248" s="22" t="str"/>
      <x:c r="R248" s="22" t="n">
        <x:f>COUNTIF($M$6:$M$1177,M248)</x:f>
        <x:v>1</x:v>
      </x:c>
      <x:c r="S248" s="22" t="str">
        <x:v>Other / utility</x:v>
      </x:c>
      <x:c r="T248" s="22" t="str">
        <x:v>Scope only</x:v>
      </x:c>
    </x:row>
    <x:row r="249" ht="48" customHeight="1">
      <x:c r="A249" s="22" t="n">
        <x:v>244</x:v>
      </x:c>
      <x:c r="B249" s="22" t="str">
        <x:v>10 Minute Tips</x:v>
      </x:c>
      <x:c r="C249" s="27" t="str">
        <x:v>N/A</x:v>
      </x:c>
      <x:c r="D249" s="22" t="str">
        <x:v>Utility classification</x:v>
      </x:c>
      <x:c r="E249" s="22" t="str">
        <x:v>RESOURCES</x:v>
      </x:c>
      <x:c r="F249" s="22" t="str">
        <x:v>Reference guide or resource directory</x:v>
      </x:c>
      <x:c r="G249" s="22" t="str">
        <x:v>A guide or directory does not validate every linked service. Verify each underlying source separately.</x:v>
      </x:c>
      <x:c r="H249" s="22" t="str">
        <x:v>Use as a utility only; functionality not audited</x:v>
      </x:c>
      <x:c r="I249" s="22" t="str">
        <x:v>Not checked</x:v>
      </x:c>
      <x:c r="J249" s="22" t="str">
        <x:v>Saved bookmark metadata only</x:v>
      </x:c>
      <x:c r="K249" s="22" t="str"/>
      <x:c r="L249" s="24" t="str"/>
      <x:c r="M249" s="24" t="str">
        <x:v>https://osintcurio.us/10-minute-tips/</x:v>
      </x:c>
      <x:c r="N249" s="22" t="str">
        <x:v>268509492</x:v>
      </x:c>
      <x:c r="O249" s="22" t="n">
        <x:v>1003</x:v>
      </x:c>
      <x:c r="P249" s="22" t="n">
        <x:v>27</x:v>
      </x:c>
      <x:c r="Q249" s="22" t="str"/>
      <x:c r="R249" s="22" t="n">
        <x:f>COUNTIF($M$6:$M$1177,M249)</x:f>
        <x:v>1</x:v>
      </x:c>
      <x:c r="S249" s="22" t="str">
        <x:v>Other / utility</x:v>
      </x:c>
      <x:c r="T249" s="22" t="str">
        <x:v>Scope only</x:v>
      </x:c>
    </x:row>
    <x:row r="250" ht="48" customHeight="1">
      <x:c r="A250" s="22" t="n">
        <x:v>245</x:v>
      </x:c>
      <x:c r="B250" s="22" t="str">
        <x:v>Webint Master</x:v>
      </x:c>
      <x:c r="C250" s="27" t="str">
        <x:v>N/A</x:v>
      </x:c>
      <x:c r="D250" s="22" t="str">
        <x:v>Utility classification</x:v>
      </x:c>
      <x:c r="E250" s="22" t="str">
        <x:v>RESOURCES</x:v>
      </x:c>
      <x:c r="F250" s="22" t="str">
        <x:v>Reference guide or resource directory</x:v>
      </x:c>
      <x:c r="G250" s="22" t="str">
        <x:v>A guide or directory does not validate every linked service. Verify each underlying source separately.</x:v>
      </x:c>
      <x:c r="H250" s="22" t="str">
        <x:v>Use as a utility only; functionality not audited</x:v>
      </x:c>
      <x:c r="I250" s="22" t="str">
        <x:v>Not checked</x:v>
      </x:c>
      <x:c r="J250" s="22" t="str">
        <x:v>Saved bookmark metadata only</x:v>
      </x:c>
      <x:c r="K250" s="22" t="str"/>
      <x:c r="L250" s="24" t="str"/>
      <x:c r="M250" s="24" t="str">
        <x:v>https://webintmaster.com/</x:v>
      </x:c>
      <x:c r="N250" s="22" t="str">
        <x:v>290063648</x:v>
      </x:c>
      <x:c r="O250" s="22" t="n">
        <x:v>1003</x:v>
      </x:c>
      <x:c r="P250" s="22" t="n">
        <x:v>28</x:v>
      </x:c>
      <x:c r="Q250" s="22" t="str"/>
      <x:c r="R250" s="22" t="n">
        <x:f>COUNTIF($M$6:$M$1177,M250)</x:f>
        <x:v>1</x:v>
      </x:c>
      <x:c r="S250" s="22" t="str">
        <x:v>Other / utility</x:v>
      </x:c>
      <x:c r="T250" s="22" t="str">
        <x:v>Scope only</x:v>
      </x:c>
    </x:row>
    <x:row r="251" ht="48" customHeight="1">
      <x:c r="A251" s="22" t="n">
        <x:v>246</x:v>
      </x:c>
      <x:c r="B251" s="22" t="str">
        <x:v>DFIR Diva</x:v>
      </x:c>
      <x:c r="C251" s="27" t="str">
        <x:v>N/A</x:v>
      </x:c>
      <x:c r="D251" s="22" t="str">
        <x:v>Utility classification</x:v>
      </x:c>
      <x:c r="E251" s="22" t="str">
        <x:v>RESOURCES</x:v>
      </x:c>
      <x:c r="F251" s="22" t="str">
        <x:v>Reference guide or resource directory</x:v>
      </x:c>
      <x:c r="G251" s="22" t="str">
        <x:v>A guide or directory does not validate every linked service. Verify each underlying source separately.</x:v>
      </x:c>
      <x:c r="H251" s="22" t="str">
        <x:v>Use as a utility only; functionality not audited</x:v>
      </x:c>
      <x:c r="I251" s="22" t="str">
        <x:v>Not checked</x:v>
      </x:c>
      <x:c r="J251" s="22" t="str">
        <x:v>Saved bookmark metadata only</x:v>
      </x:c>
      <x:c r="K251" s="22" t="str"/>
      <x:c r="L251" s="24" t="str"/>
      <x:c r="M251" s="24" t="str">
        <x:v>https://dfirdiva.com/hooked-on-osint/</x:v>
      </x:c>
      <x:c r="N251" s="22" t="str">
        <x:v>287794743</x:v>
      </x:c>
      <x:c r="O251" s="22" t="n">
        <x:v>1003</x:v>
      </x:c>
      <x:c r="P251" s="22" t="n">
        <x:v>29</x:v>
      </x:c>
      <x:c r="Q251" s="22" t="str"/>
      <x:c r="R251" s="22" t="n">
        <x:f>COUNTIF($M$6:$M$1177,M251)</x:f>
        <x:v>1</x:v>
      </x:c>
      <x:c r="S251" s="22" t="str">
        <x:v>Other / utility</x:v>
      </x:c>
      <x:c r="T251" s="22" t="str">
        <x:v>Scope only</x:v>
      </x:c>
    </x:row>
    <x:row r="252" ht="48" customHeight="1">
      <x:c r="A252" s="22" t="n">
        <x:v>247</x:v>
      </x:c>
      <x:c r="B252" s="22" t="str">
        <x:v>Boolean Strings | Tools</x:v>
      </x:c>
      <x:c r="C252" s="27" t="str">
        <x:v>N/A</x:v>
      </x:c>
      <x:c r="D252" s="22" t="str">
        <x:v>Utility classification</x:v>
      </x:c>
      <x:c r="E252" s="22" t="str">
        <x:v>RESOURCES</x:v>
      </x:c>
      <x:c r="F252" s="22" t="str">
        <x:v>Reference guide or resource directory</x:v>
      </x:c>
      <x:c r="G252" s="22" t="str">
        <x:v>A guide or directory does not validate every linked service. Verify each underlying source separately.</x:v>
      </x:c>
      <x:c r="H252" s="22" t="str">
        <x:v>Use as a utility only; functionality not audited</x:v>
      </x:c>
      <x:c r="I252" s="22" t="str">
        <x:v>Not checked</x:v>
      </x:c>
      <x:c r="J252" s="22" t="str">
        <x:v>Saved bookmark metadata only</x:v>
      </x:c>
      <x:c r="K252" s="22" t="str"/>
      <x:c r="L252" s="24" t="str"/>
      <x:c r="M252" s="24" t="str">
        <x:v>https://booleanstrings.com/tools/</x:v>
      </x:c>
      <x:c r="N252" s="22" t="str">
        <x:v>287794859</x:v>
      </x:c>
      <x:c r="O252" s="22" t="n">
        <x:v>1003</x:v>
      </x:c>
      <x:c r="P252" s="22" t="n">
        <x:v>30</x:v>
      </x:c>
      <x:c r="Q252" s="22" t="str"/>
      <x:c r="R252" s="22" t="n">
        <x:f>COUNTIF($M$6:$M$1177,M252)</x:f>
        <x:v>1</x:v>
      </x:c>
      <x:c r="S252" s="22" t="str">
        <x:v>Other / utility</x:v>
      </x:c>
      <x:c r="T252" s="22" t="str">
        <x:v>Scope only</x:v>
      </x:c>
    </x:row>
    <x:row r="253" ht="48" customHeight="1">
      <x:c r="A253" s="22" t="n">
        <x:v>248</x:v>
      </x:c>
      <x:c r="B253" s="22" t="str">
        <x:v>osintme.com</x:v>
      </x:c>
      <x:c r="C253" s="27" t="str">
        <x:v>N/A</x:v>
      </x:c>
      <x:c r="D253" s="22" t="str">
        <x:v>Utility classification</x:v>
      </x:c>
      <x:c r="E253" s="22" t="str">
        <x:v>RESOURCES</x:v>
      </x:c>
      <x:c r="F253" s="22" t="str">
        <x:v>Reference guide or resource directory</x:v>
      </x:c>
      <x:c r="G253" s="22" t="str">
        <x:v>A guide or directory does not validate every linked service. Verify each underlying source separately.</x:v>
      </x:c>
      <x:c r="H253" s="22" t="str">
        <x:v>Use as a utility only; functionality not audited</x:v>
      </x:c>
      <x:c r="I253" s="22" t="str">
        <x:v>Not checked</x:v>
      </x:c>
      <x:c r="J253" s="22" t="str">
        <x:v>Saved bookmark metadata only</x:v>
      </x:c>
      <x:c r="K253" s="22" t="str"/>
      <x:c r="L253" s="24" t="str"/>
      <x:c r="M253" s="24" t="str">
        <x:v>https://www.osintme.com/</x:v>
      </x:c>
      <x:c r="N253" s="22" t="str">
        <x:v>268509497</x:v>
      </x:c>
      <x:c r="O253" s="22" t="n">
        <x:v>1003</x:v>
      </x:c>
      <x:c r="P253" s="22" t="n">
        <x:v>31</x:v>
      </x:c>
      <x:c r="Q253" s="22" t="str"/>
      <x:c r="R253" s="22" t="n">
        <x:f>COUNTIF($M$6:$M$1177,M253)</x:f>
        <x:v>1</x:v>
      </x:c>
      <x:c r="S253" s="22" t="str">
        <x:v>Other / utility</x:v>
      </x:c>
      <x:c r="T253" s="22" t="str">
        <x:v>Scope only</x:v>
      </x:c>
    </x:row>
    <x:row r="254" ht="48" customHeight="1">
      <x:c r="A254" s="22" t="n">
        <x:v>249</x:v>
      </x:c>
      <x:c r="B254" s="22" t="str">
        <x:v>Jake Creps</x:v>
      </x:c>
      <x:c r="C254" s="27" t="str">
        <x:v>N/A</x:v>
      </x:c>
      <x:c r="D254" s="22" t="str">
        <x:v>Utility classification</x:v>
      </x:c>
      <x:c r="E254" s="22" t="str">
        <x:v>RESOURCES</x:v>
      </x:c>
      <x:c r="F254" s="22" t="str">
        <x:v>Reference guide or resource directory</x:v>
      </x:c>
      <x:c r="G254" s="22" t="str">
        <x:v>A guide or directory does not validate every linked service. Verify each underlying source separately.</x:v>
      </x:c>
      <x:c r="H254" s="22" t="str">
        <x:v>Use as a utility only; functionality not audited</x:v>
      </x:c>
      <x:c r="I254" s="22" t="str">
        <x:v>Not checked</x:v>
      </x:c>
      <x:c r="J254" s="22" t="str">
        <x:v>Saved bookmark metadata only</x:v>
      </x:c>
      <x:c r="K254" s="22" t="str"/>
      <x:c r="L254" s="24" t="str"/>
      <x:c r="M254" s="24" t="str">
        <x:v>https://jakecreps.com/</x:v>
      </x:c>
      <x:c r="N254" s="22" t="str">
        <x:v>268509553</x:v>
      </x:c>
      <x:c r="O254" s="22" t="n">
        <x:v>1003</x:v>
      </x:c>
      <x:c r="P254" s="22" t="n">
        <x:v>32</x:v>
      </x:c>
      <x:c r="Q254" s="22" t="str"/>
      <x:c r="R254" s="22" t="n">
        <x:f>COUNTIF($M$6:$M$1177,M254)</x:f>
        <x:v>1</x:v>
      </x:c>
      <x:c r="S254" s="22" t="str">
        <x:v>Other / utility</x:v>
      </x:c>
      <x:c r="T254" s="22" t="str">
        <x:v>Scope only</x:v>
      </x:c>
    </x:row>
    <x:row r="255" ht="48" customHeight="1">
      <x:c r="A255" s="22" t="n">
        <x:v>250</x:v>
      </x:c>
      <x:c r="B255" s="22" t="str">
        <x:v>reKnowledge</x:v>
      </x:c>
      <x:c r="C255" s="27" t="str">
        <x:v>N/A</x:v>
      </x:c>
      <x:c r="D255" s="22" t="str">
        <x:v>Utility classification</x:v>
      </x:c>
      <x:c r="E255" s="22" t="str">
        <x:v>RESOURCES</x:v>
      </x:c>
      <x:c r="F255" s="22" t="str">
        <x:v>Reference guide or resource directory</x:v>
      </x:c>
      <x:c r="G255" s="22" t="str">
        <x:v>A guide or directory does not validate every linked service. Verify each underlying source separately.</x:v>
      </x:c>
      <x:c r="H255" s="22" t="str">
        <x:v>Use as a utility only; functionality not audited</x:v>
      </x:c>
      <x:c r="I255" s="22" t="str">
        <x:v>Not checked</x:v>
      </x:c>
      <x:c r="J255" s="22" t="str">
        <x:v>Saved bookmark metadata only</x:v>
      </x:c>
      <x:c r="K255" s="22" t="str"/>
      <x:c r="L255" s="24" t="str"/>
      <x:c r="M255" s="24" t="str">
        <x:v>https://www.reknowledge.tech/</x:v>
      </x:c>
      <x:c r="N255" s="22" t="str">
        <x:v>268598920</x:v>
      </x:c>
      <x:c r="O255" s="22" t="n">
        <x:v>1003</x:v>
      </x:c>
      <x:c r="P255" s="22" t="n">
        <x:v>33</x:v>
      </x:c>
      <x:c r="Q255" s="22" t="str"/>
      <x:c r="R255" s="22" t="n">
        <x:f>COUNTIF($M$6:$M$1177,M255)</x:f>
        <x:v>1</x:v>
      </x:c>
      <x:c r="S255" s="22" t="str">
        <x:v>Other / utility</x:v>
      </x:c>
      <x:c r="T255" s="22" t="str">
        <x:v>Scope only</x:v>
      </x:c>
    </x:row>
    <x:row r="256" ht="48" customHeight="1">
      <x:c r="A256" s="22" t="n">
        <x:v>251</x:v>
      </x:c>
      <x:c r="B256" s="22" t="str">
        <x:v>Bellingcat's Online Investigation Toolkit [bit.ly/bcattools]</x:v>
      </x:c>
      <x:c r="C256" s="27" t="str">
        <x:v>N/A</x:v>
      </x:c>
      <x:c r="D256" s="22" t="str">
        <x:v>Utility classification</x:v>
      </x:c>
      <x:c r="E256" s="22" t="str">
        <x:v>RESOURCES</x:v>
      </x:c>
      <x:c r="F256" s="22" t="str">
        <x:v>Reference guide or resource directory</x:v>
      </x:c>
      <x:c r="G256" s="22" t="str">
        <x:v>A guide or directory does not validate every linked service. Verify each underlying source separately.</x:v>
      </x:c>
      <x:c r="H256" s="22" t="str">
        <x:v>Use as a utility only; functionality not audited</x:v>
      </x:c>
      <x:c r="I256" s="22" t="str">
        <x:v>Not checked</x:v>
      </x:c>
      <x:c r="J256" s="22" t="str">
        <x:v>Saved bookmark metadata only</x:v>
      </x:c>
      <x:c r="K256" s="22" t="str"/>
      <x:c r="L256" s="24" t="str"/>
      <x:c r="M256" s="24" t="str">
        <x:v>https://docs.google.com/spreadsheets/d/18rtqh8EG2q1xBo2cLNyhIDuK9jrPGwYr9DI2UncoqJQ/edit#gid=930747607</x:v>
      </x:c>
      <x:c r="N256" s="22" t="str">
        <x:v>270296993</x:v>
      </x:c>
      <x:c r="O256" s="22" t="n">
        <x:v>1003</x:v>
      </x:c>
      <x:c r="P256" s="22" t="n">
        <x:v>34</x:v>
      </x:c>
      <x:c r="Q256" s="22" t="str"/>
      <x:c r="R256" s="22" t="n">
        <x:f>COUNTIF($M$6:$M$1177,M256)</x:f>
        <x:v>1</x:v>
      </x:c>
      <x:c r="S256" s="22" t="str">
        <x:v>Other / utility</x:v>
      </x:c>
      <x:c r="T256" s="22" t="str">
        <x:v>Scope only</x:v>
      </x:c>
    </x:row>
    <x:row r="257" ht="48" customHeight="1">
      <x:c r="A257" s="22" t="n">
        <x:v>252</x:v>
      </x:c>
      <x:c r="B257" s="22" t="str">
        <x:v>@Ivan30394639 OSINT tools collection</x:v>
      </x:c>
      <x:c r="C257" s="27" t="str">
        <x:v>N/A</x:v>
      </x:c>
      <x:c r="D257" s="22" t="str">
        <x:v>Utility classification</x:v>
      </x:c>
      <x:c r="E257" s="22" t="str">
        <x:v>RESOURCES</x:v>
      </x:c>
      <x:c r="F257" s="22" t="str">
        <x:v>Reference guide or resource directory</x:v>
      </x:c>
      <x:c r="G257" s="22" t="str">
        <x:v>A guide or directory does not validate every linked service. Verify each underlying source separately.</x:v>
      </x:c>
      <x:c r="H257" s="22" t="str">
        <x:v>Use as a utility only; functionality not audited</x:v>
      </x:c>
      <x:c r="I257" s="22" t="str">
        <x:v>Not checked</x:v>
      </x:c>
      <x:c r="J257" s="22" t="str">
        <x:v>Saved bookmark metadata only</x:v>
      </x:c>
      <x:c r="K257" s="22" t="str"/>
      <x:c r="L257" s="24" t="str"/>
      <x:c r="M257" s="24" t="str">
        <x:v>https://cipher387.github.io/osint_stuff_tool_collection/</x:v>
      </x:c>
      <x:c r="N257" s="22" t="str">
        <x:v>286643039</x:v>
      </x:c>
      <x:c r="O257" s="22" t="n">
        <x:v>1003</x:v>
      </x:c>
      <x:c r="P257" s="22" t="n">
        <x:v>35</x:v>
      </x:c>
      <x:c r="Q257" s="22" t="str"/>
      <x:c r="R257" s="22" t="n">
        <x:f>COUNTIF($M$6:$M$1177,M257)</x:f>
        <x:v>1</x:v>
      </x:c>
      <x:c r="S257" s="22" t="str">
        <x:v>Other / utility</x:v>
      </x:c>
      <x:c r="T257" s="22" t="str">
        <x:v>Scope only</x:v>
      </x:c>
    </x:row>
    <x:row r="258" ht="48" customHeight="1">
      <x:c r="A258" s="22" t="n">
        <x:v>253</x:v>
      </x:c>
      <x:c r="B258" s="22" t="str">
        <x:v>The Top 132 Osint Open Source Projects</x:v>
      </x:c>
      <x:c r="C258" s="27" t="str">
        <x:v>N/A</x:v>
      </x:c>
      <x:c r="D258" s="22" t="str">
        <x:v>Utility classification</x:v>
      </x:c>
      <x:c r="E258" s="22" t="str">
        <x:v>RESOURCES</x:v>
      </x:c>
      <x:c r="F258" s="22" t="str">
        <x:v>Reference guide or resource directory</x:v>
      </x:c>
      <x:c r="G258" s="22" t="str">
        <x:v>A guide or directory does not validate every linked service. Verify each underlying source separately.</x:v>
      </x:c>
      <x:c r="H258" s="22" t="str">
        <x:v>Use as a utility only; functionality not audited</x:v>
      </x:c>
      <x:c r="I258" s="22" t="str">
        <x:v>Not checked</x:v>
      </x:c>
      <x:c r="J258" s="22" t="str">
        <x:v>Saved bookmark metadata only</x:v>
      </x:c>
      <x:c r="K258" s="22" t="str"/>
      <x:c r="L258" s="24" t="str"/>
      <x:c r="M258" s="24" t="str">
        <x:v>https://awesomeopensource.com/projects/osint</x:v>
      </x:c>
      <x:c r="N258" s="22" t="str">
        <x:v>286643681</x:v>
      </x:c>
      <x:c r="O258" s="22" t="n">
        <x:v>1003</x:v>
      </x:c>
      <x:c r="P258" s="22" t="n">
        <x:v>36</x:v>
      </x:c>
      <x:c r="Q258" s="22" t="str"/>
      <x:c r="R258" s="22" t="n">
        <x:f>COUNTIF($M$6:$M$1177,M258)</x:f>
        <x:v>2</x:v>
      </x:c>
      <x:c r="S258" s="22" t="str">
        <x:v>Other / utility</x:v>
      </x:c>
      <x:c r="T258" s="22" t="str">
        <x:v>Scope only</x:v>
      </x:c>
    </x:row>
    <x:row r="259" ht="48" customHeight="1">
      <x:c r="A259" s="22" t="n">
        <x:v>254</x:v>
      </x:c>
      <x:c r="B259" s="22" t="str">
        <x:v>30 best OSINT extensions for Google Chrome – osintme.com</x:v>
      </x:c>
      <x:c r="C259" s="27" t="str">
        <x:v>N/A</x:v>
      </x:c>
      <x:c r="D259" s="22" t="str">
        <x:v>Utility classification</x:v>
      </x:c>
      <x:c r="E259" s="22" t="str">
        <x:v>RESOURCES</x:v>
      </x:c>
      <x:c r="F259" s="22" t="str">
        <x:v>Reference guide or resource directory</x:v>
      </x:c>
      <x:c r="G259" s="22" t="str">
        <x:v>A guide or directory does not validate every linked service. Verify each underlying source separately.</x:v>
      </x:c>
      <x:c r="H259" s="22" t="str">
        <x:v>Use as a utility only; functionality not audited</x:v>
      </x:c>
      <x:c r="I259" s="22" t="str">
        <x:v>Not checked</x:v>
      </x:c>
      <x:c r="J259" s="22" t="str">
        <x:v>Saved bookmark metadata only</x:v>
      </x:c>
      <x:c r="K259" s="22" t="str"/>
      <x:c r="L259" s="24" t="str"/>
      <x:c r="M259" s="24" t="str">
        <x:v>https://www.osintme.com/index.php/2021/06/30/30-best-osint-extensions-for-google-chrome/</x:v>
      </x:c>
      <x:c r="N259" s="22" t="str">
        <x:v>286643985</x:v>
      </x:c>
      <x:c r="O259" s="22" t="n">
        <x:v>1003</x:v>
      </x:c>
      <x:c r="P259" s="22" t="n">
        <x:v>37</x:v>
      </x:c>
      <x:c r="Q259" s="22" t="str"/>
      <x:c r="R259" s="22" t="n">
        <x:f>COUNTIF($M$6:$M$1177,M259)</x:f>
        <x:v>1</x:v>
      </x:c>
      <x:c r="S259" s="22" t="str">
        <x:v>Other / utility</x:v>
      </x:c>
      <x:c r="T259" s="22" t="str">
        <x:v>Scope only</x:v>
      </x:c>
    </x:row>
    <x:row r="260" ht="48" customHeight="1">
      <x:c r="A260" s="22" t="n">
        <x:v>255</x:v>
      </x:c>
      <x:c r="B260" s="22" t="str">
        <x:v>Where Can I Find... - Free DFIR Related Training</x:v>
      </x:c>
      <x:c r="C260" s="27" t="str">
        <x:v>N/A</x:v>
      </x:c>
      <x:c r="D260" s="22" t="str">
        <x:v>Utility classification</x:v>
      </x:c>
      <x:c r="E260" s="22" t="str">
        <x:v>RESOURCES</x:v>
      </x:c>
      <x:c r="F260" s="22" t="str">
        <x:v>Reference guide or resource directory</x:v>
      </x:c>
      <x:c r="G260" s="22" t="str">
        <x:v>A guide or directory does not validate every linked service. Verify each underlying source separately.</x:v>
      </x:c>
      <x:c r="H260" s="22" t="str">
        <x:v>Use as a utility only; functionality not audited</x:v>
      </x:c>
      <x:c r="I260" s="22" t="str">
        <x:v>Not checked</x:v>
      </x:c>
      <x:c r="J260" s="22" t="str">
        <x:v>Saved bookmark metadata only</x:v>
      </x:c>
      <x:c r="K260" s="22" t="str"/>
      <x:c r="L260" s="24" t="str"/>
      <x:c r="M260" s="24" t="str">
        <x:v>https://freetraining.dfirdiva.com/where-can-i-find</x:v>
      </x:c>
      <x:c r="N260" s="22" t="str">
        <x:v>288431693</x:v>
      </x:c>
      <x:c r="O260" s="22" t="n">
        <x:v>1003</x:v>
      </x:c>
      <x:c r="P260" s="22" t="n">
        <x:v>38</x:v>
      </x:c>
      <x:c r="Q260" s="22" t="str"/>
      <x:c r="R260" s="22" t="n">
        <x:f>COUNTIF($M$6:$M$1177,M260)</x:f>
        <x:v>1</x:v>
      </x:c>
      <x:c r="S260" s="22" t="str">
        <x:v>Other / utility</x:v>
      </x:c>
      <x:c r="T260" s="22" t="str">
        <x:v>Scope only</x:v>
      </x:c>
    </x:row>
    <x:row r="261" ht="48" customHeight="1">
      <x:c r="A261" s="22" t="n">
        <x:v>256</x:v>
      </x:c>
      <x:c r="B261" s="22" t="str">
        <x:v>Awesome Deblurring</x:v>
      </x:c>
      <x:c r="C261" s="27" t="str">
        <x:v>N/A</x:v>
      </x:c>
      <x:c r="D261" s="22" t="str">
        <x:v>Utility classification</x:v>
      </x:c>
      <x:c r="E261" s="22" t="str">
        <x:v>RESOURCES</x:v>
      </x:c>
      <x:c r="F261" s="22" t="str">
        <x:v>Reference guide or resource directory</x:v>
      </x:c>
      <x:c r="G261" s="22" t="str">
        <x:v>A guide or directory does not validate every linked service. Verify each underlying source separately.</x:v>
      </x:c>
      <x:c r="H261" s="22" t="str">
        <x:v>Use as a utility only; functionality not audited</x:v>
      </x:c>
      <x:c r="I261" s="22" t="str">
        <x:v>Not checked</x:v>
      </x:c>
      <x:c r="J261" s="22" t="str">
        <x:v>Saved bookmark metadata only</x:v>
      </x:c>
      <x:c r="K261" s="22" t="str"/>
      <x:c r="L261" s="24" t="str"/>
      <x:c r="M261" s="24" t="str">
        <x:v>https://github.com/subeeshvasu/Awesome-Deblurring</x:v>
      </x:c>
      <x:c r="N261" s="22" t="str">
        <x:v>286690379</x:v>
      </x:c>
      <x:c r="O261" s="22" t="n">
        <x:v>1003</x:v>
      </x:c>
      <x:c r="P261" s="22" t="n">
        <x:v>39</x:v>
      </x:c>
      <x:c r="Q261" s="22" t="str"/>
      <x:c r="R261" s="22" t="n">
        <x:f>COUNTIF($M$6:$M$1177,M261)</x:f>
        <x:v>1</x:v>
      </x:c>
      <x:c r="S261" s="22" t="str">
        <x:v>Other / utility</x:v>
      </x:c>
      <x:c r="T261" s="22" t="str">
        <x:v>Scope only</x:v>
      </x:c>
    </x:row>
    <x:row r="262" ht="48" customHeight="1">
      <x:c r="A262" s="22" t="n">
        <x:v>257</x:v>
      </x:c>
      <x:c r="B262" s="22" t="str">
        <x:v>OSINT.SH</x:v>
      </x:c>
      <x:c r="C262" s="27" t="str">
        <x:v>N/A</x:v>
      </x:c>
      <x:c r="D262" s="22" t="str">
        <x:v>Utility classification</x:v>
      </x:c>
      <x:c r="E262" s="22" t="str">
        <x:v>RESOURCES</x:v>
      </x:c>
      <x:c r="F262" s="22" t="str">
        <x:v>Reference guide or resource directory</x:v>
      </x:c>
      <x:c r="G262" s="22" t="str">
        <x:v>A guide or directory does not validate every linked service. Verify each underlying source separately.</x:v>
      </x:c>
      <x:c r="H262" s="22" t="str">
        <x:v>Use as a utility only; functionality not audited</x:v>
      </x:c>
      <x:c r="I262" s="22" t="str">
        <x:v>Not checked</x:v>
      </x:c>
      <x:c r="J262" s="22" t="str">
        <x:v>Saved bookmark metadata only</x:v>
      </x:c>
      <x:c r="K262" s="22" t="str"/>
      <x:c r="L262" s="24" t="str"/>
      <x:c r="M262" s="24" t="str">
        <x:v>https://osint.sh/</x:v>
      </x:c>
      <x:c r="N262" s="22" t="str">
        <x:v>286695269</x:v>
      </x:c>
      <x:c r="O262" s="22" t="n">
        <x:v>1003</x:v>
      </x:c>
      <x:c r="P262" s="22" t="n">
        <x:v>40</x:v>
      </x:c>
      <x:c r="Q262" s="22" t="str"/>
      <x:c r="R262" s="22" t="n">
        <x:f>COUNTIF($M$6:$M$1177,M262)</x:f>
        <x:v>1</x:v>
      </x:c>
      <x:c r="S262" s="22" t="str">
        <x:v>Other / utility</x:v>
      </x:c>
      <x:c r="T262" s="22" t="str">
        <x:v>Scope only</x:v>
      </x:c>
    </x:row>
    <x:row r="263" ht="48" customHeight="1">
      <x:c r="A263" s="22" t="n">
        <x:v>258</x:v>
      </x:c>
      <x:c r="B263" s="22" t="str">
        <x:v>OSINT Techniques</x:v>
      </x:c>
      <x:c r="C263" s="27" t="str">
        <x:v>N/A</x:v>
      </x:c>
      <x:c r="D263" s="22" t="str">
        <x:v>Utility classification</x:v>
      </x:c>
      <x:c r="E263" s="22" t="str">
        <x:v>RESOURCES</x:v>
      </x:c>
      <x:c r="F263" s="22" t="str">
        <x:v>Reference guide or resource directory</x:v>
      </x:c>
      <x:c r="G263" s="22" t="str">
        <x:v>A guide or directory does not validate every linked service. Verify each underlying source separately.</x:v>
      </x:c>
      <x:c r="H263" s="22" t="str">
        <x:v>Use as a utility only; functionality not audited</x:v>
      </x:c>
      <x:c r="I263" s="22" t="str">
        <x:v>Not checked</x:v>
      </x:c>
      <x:c r="J263" s="22" t="str">
        <x:v>Saved bookmark metadata only</x:v>
      </x:c>
      <x:c r="K263" s="22" t="str"/>
      <x:c r="L263" s="24" t="str"/>
      <x:c r="M263" s="24" t="str">
        <x:v>https://www.osinttechniques.com/</x:v>
      </x:c>
      <x:c r="N263" s="22" t="str">
        <x:v>286811097</x:v>
      </x:c>
      <x:c r="O263" s="22" t="n">
        <x:v>1003</x:v>
      </x:c>
      <x:c r="P263" s="22" t="n">
        <x:v>41</x:v>
      </x:c>
      <x:c r="Q263" s="22" t="str"/>
      <x:c r="R263" s="22" t="n">
        <x:f>COUNTIF($M$6:$M$1177,M263)</x:f>
        <x:v>1</x:v>
      </x:c>
      <x:c r="S263" s="22" t="str">
        <x:v>Other / utility</x:v>
      </x:c>
      <x:c r="T263" s="22" t="str">
        <x:v>Scope only</x:v>
      </x:c>
    </x:row>
    <x:row r="264" ht="48" customHeight="1">
      <x:c r="A264" s="22" t="n">
        <x:v>259</x:v>
      </x:c>
      <x:c r="B264" s="22" t="str">
        <x:v>OSINT aka Atvirųjų šaltinių žvalgyba</x:v>
      </x:c>
      <x:c r="C264" s="27" t="str">
        <x:v>N/A</x:v>
      </x:c>
      <x:c r="D264" s="22" t="str">
        <x:v>Utility classification</x:v>
      </x:c>
      <x:c r="E264" s="22" t="str">
        <x:v>RESOURCES</x:v>
      </x:c>
      <x:c r="F264" s="22" t="str">
        <x:v>Reference guide or resource directory</x:v>
      </x:c>
      <x:c r="G264" s="22" t="str">
        <x:v>A guide or directory does not validate every linked service. Verify each underlying source separately.</x:v>
      </x:c>
      <x:c r="H264" s="22" t="str">
        <x:v>Use as a utility only; functionality not audited</x:v>
      </x:c>
      <x:c r="I264" s="22" t="str">
        <x:v>Not checked</x:v>
      </x:c>
      <x:c r="J264" s="22" t="str">
        <x:v>Saved bookmark metadata only</x:v>
      </x:c>
      <x:c r="K264" s="22" t="str"/>
      <x:c r="L264" s="24" t="str"/>
      <x:c r="M264" s="24" t="str">
        <x:v>https://blog.parakomanai.lt/osint-387e80bdc901</x:v>
      </x:c>
      <x:c r="N264" s="22" t="str">
        <x:v>286821487</x:v>
      </x:c>
      <x:c r="O264" s="22" t="n">
        <x:v>1003</x:v>
      </x:c>
      <x:c r="P264" s="22" t="n">
        <x:v>42</x:v>
      </x:c>
      <x:c r="Q264" s="22" t="str"/>
      <x:c r="R264" s="22" t="n">
        <x:f>COUNTIF($M$6:$M$1177,M264)</x:f>
        <x:v>1</x:v>
      </x:c>
      <x:c r="S264" s="22" t="str">
        <x:v>Other / utility</x:v>
      </x:c>
      <x:c r="T264" s="22" t="str">
        <x:v>Scope only</x:v>
      </x:c>
    </x:row>
    <x:row r="265" ht="48" customHeight="1">
      <x:c r="A265" s="22" t="n">
        <x:v>260</x:v>
      </x:c>
      <x:c r="B265" s="22" t="str">
        <x:v>CTI &amp; OSINT Online Resources</x:v>
      </x:c>
      <x:c r="C265" s="27" t="str">
        <x:v>N/A</x:v>
      </x:c>
      <x:c r="D265" s="22" t="str">
        <x:v>Utility classification</x:v>
      </x:c>
      <x:c r="E265" s="22" t="str">
        <x:v>RESOURCES</x:v>
      </x:c>
      <x:c r="F265" s="22" t="str">
        <x:v>Reference guide or resource directory</x:v>
      </x:c>
      <x:c r="G265" s="22" t="str">
        <x:v>A guide or directory does not validate every linked service. Verify each underlying source separately.</x:v>
      </x:c>
      <x:c r="H265" s="22" t="str">
        <x:v>Use as a utility only; functionality not audited</x:v>
      </x:c>
      <x:c r="I265" s="22" t="str">
        <x:v>Not checked</x:v>
      </x:c>
      <x:c r="J265" s="22" t="str">
        <x:v>Saved bookmark metadata only</x:v>
      </x:c>
      <x:c r="K265" s="22" t="str"/>
      <x:c r="L265" s="24" t="str"/>
      <x:c r="M265" s="24" t="str">
        <x:v>https://docs.google.com/spreadsheets/d/1klugQqw6POlBtuzon8S0b18-gpsDwX-5OYRrB7TyNEw/edit#gid=0</x:v>
      </x:c>
      <x:c r="N265" s="22" t="str">
        <x:v>286823871</x:v>
      </x:c>
      <x:c r="O265" s="22" t="n">
        <x:v>1003</x:v>
      </x:c>
      <x:c r="P265" s="22" t="n">
        <x:v>43</x:v>
      </x:c>
      <x:c r="Q265" s="22" t="str"/>
      <x:c r="R265" s="22" t="n">
        <x:f>COUNTIF($M$6:$M$1177,M265)</x:f>
        <x:v>1</x:v>
      </x:c>
      <x:c r="S265" s="22" t="str">
        <x:v>Other / utility</x:v>
      </x:c>
      <x:c r="T265" s="22" t="str">
        <x:v>Scope only</x:v>
      </x:c>
    </x:row>
    <x:row r="266" ht="48" customHeight="1">
      <x:c r="A266" s="22" t="n">
        <x:v>261</x:v>
      </x:c>
      <x:c r="B266" s="22" t="str">
        <x:v>Emsisoft Decryptor for Avaddon</x:v>
      </x:c>
      <x:c r="C266" s="27" t="str">
        <x:v>N/A</x:v>
      </x:c>
      <x:c r="D266" s="22" t="str">
        <x:v>Utility classification</x:v>
      </x:c>
      <x:c r="E266" s="22" t="str">
        <x:v>RESOURCES</x:v>
      </x:c>
      <x:c r="F266" s="22" t="str">
        <x:v>Reference guide or resource directory</x:v>
      </x:c>
      <x:c r="G266" s="22" t="str">
        <x:v>A guide or directory does not validate every linked service. Verify each underlying source separately.</x:v>
      </x:c>
      <x:c r="H266" s="22" t="str">
        <x:v>Use as a utility only; functionality not audited</x:v>
      </x:c>
      <x:c r="I266" s="22" t="str">
        <x:v>Not checked</x:v>
      </x:c>
      <x:c r="J266" s="22" t="str">
        <x:v>Saved bookmark metadata only</x:v>
      </x:c>
      <x:c r="K266" s="22" t="str"/>
      <x:c r="L266" s="24" t="str"/>
      <x:c r="M266" s="24" t="str">
        <x:v>https://www.emsisoft.com/ransomware-decryption-tools/avaddon</x:v>
      </x:c>
      <x:c r="N266" s="22" t="str">
        <x:v>286952221</x:v>
      </x:c>
      <x:c r="O266" s="22" t="n">
        <x:v>1003</x:v>
      </x:c>
      <x:c r="P266" s="22" t="n">
        <x:v>44</x:v>
      </x:c>
      <x:c r="Q266" s="22" t="str"/>
      <x:c r="R266" s="22" t="n">
        <x:f>COUNTIF($M$6:$M$1177,M266)</x:f>
        <x:v>1</x:v>
      </x:c>
      <x:c r="S266" s="22" t="str">
        <x:v>Other / utility</x:v>
      </x:c>
      <x:c r="T266" s="22" t="str">
        <x:v>Scope only</x:v>
      </x:c>
    </x:row>
    <x:row r="267" ht="48" customHeight="1">
      <x:c r="A267" s="22" t="n">
        <x:v>262</x:v>
      </x:c>
      <x:c r="B267" s="22" t="str">
        <x:v>hwosint (@harrywald80)</x:v>
      </x:c>
      <x:c r="C267" s="27" t="str">
        <x:v>N/A</x:v>
      </x:c>
      <x:c r="D267" s="22" t="str">
        <x:v>Utility classification</x:v>
      </x:c>
      <x:c r="E267" s="22" t="str">
        <x:v>RESOURCES</x:v>
      </x:c>
      <x:c r="F267" s="22" t="str">
        <x:v>Reference guide or resource directory</x:v>
      </x:c>
      <x:c r="G267" s="22" t="str">
        <x:v>A guide or directory does not validate every linked service. Verify each underlying source separately.</x:v>
      </x:c>
      <x:c r="H267" s="22" t="str">
        <x:v>Use as a utility only; functionality not audited</x:v>
      </x:c>
      <x:c r="I267" s="22" t="str">
        <x:v>Not checked</x:v>
      </x:c>
      <x:c r="J267" s="22" t="str">
        <x:v>Saved bookmark metadata only</x:v>
      </x:c>
      <x:c r="K267" s="22" t="str"/>
      <x:c r="L267" s="24" t="str"/>
      <x:c r="M267" s="24" t="str">
        <x:v>https://twitter.com/harrywald80</x:v>
      </x:c>
      <x:c r="N267" s="22" t="str">
        <x:v>286952224</x:v>
      </x:c>
      <x:c r="O267" s="22" t="n">
        <x:v>1003</x:v>
      </x:c>
      <x:c r="P267" s="22" t="n">
        <x:v>45</x:v>
      </x:c>
      <x:c r="Q267" s="22" t="str"/>
      <x:c r="R267" s="22" t="n">
        <x:f>COUNTIF($M$6:$M$1177,M267)</x:f>
        <x:v>1</x:v>
      </x:c>
      <x:c r="S267" s="22" t="str">
        <x:v>Other / utility</x:v>
      </x:c>
      <x:c r="T267" s="22" t="str">
        <x:v>Scope only</x:v>
      </x:c>
    </x:row>
    <x:row r="268" ht="48" customHeight="1">
      <x:c r="A268" s="22" t="n">
        <x:v>263</x:v>
      </x:c>
      <x:c r="B268" s="22" t="str">
        <x:v>Stefanie Proto 🔍 (@sprp77)</x:v>
      </x:c>
      <x:c r="C268" s="27" t="str">
        <x:v>N/A</x:v>
      </x:c>
      <x:c r="D268" s="22" t="str">
        <x:v>Utility classification</x:v>
      </x:c>
      <x:c r="E268" s="22" t="str">
        <x:v>RESOURCES</x:v>
      </x:c>
      <x:c r="F268" s="22" t="str">
        <x:v>Reference guide or resource directory</x:v>
      </x:c>
      <x:c r="G268" s="22" t="str">
        <x:v>A guide or directory does not validate every linked service. Verify each underlying source separately.</x:v>
      </x:c>
      <x:c r="H268" s="22" t="str">
        <x:v>Use as a utility only; functionality not audited</x:v>
      </x:c>
      <x:c r="I268" s="22" t="str">
        <x:v>Not checked</x:v>
      </x:c>
      <x:c r="J268" s="22" t="str">
        <x:v>Saved bookmark metadata only</x:v>
      </x:c>
      <x:c r="K268" s="22" t="str"/>
      <x:c r="L268" s="24" t="str"/>
      <x:c r="M268" s="24" t="str">
        <x:v>https://twitter.com/sprp77</x:v>
      </x:c>
      <x:c r="N268" s="22" t="str">
        <x:v>286996475</x:v>
      </x:c>
      <x:c r="O268" s="22" t="n">
        <x:v>1003</x:v>
      </x:c>
      <x:c r="P268" s="22" t="n">
        <x:v>46</x:v>
      </x:c>
      <x:c r="Q268" s="22" t="str"/>
      <x:c r="R268" s="22" t="n">
        <x:f>COUNTIF($M$6:$M$1177,M268)</x:f>
        <x:v>1</x:v>
      </x:c>
      <x:c r="S268" s="22" t="str">
        <x:v>Other / utility</x:v>
      </x:c>
      <x:c r="T268" s="22" t="str">
        <x:v>Scope only</x:v>
      </x:c>
    </x:row>
    <x:row r="269" ht="48" customHeight="1">
      <x:c r="A269" s="22" t="n">
        <x:v>264</x:v>
      </x:c>
      <x:c r="B269" s="22" t="str">
        <x:v>Awesomelists.top</x:v>
      </x:c>
      <x:c r="C269" s="27" t="str">
        <x:v>N/A</x:v>
      </x:c>
      <x:c r="D269" s="22" t="str">
        <x:v>Utility classification</x:v>
      </x:c>
      <x:c r="E269" s="22" t="str">
        <x:v>RESOURCES</x:v>
      </x:c>
      <x:c r="F269" s="22" t="str">
        <x:v>Reference guide or resource directory</x:v>
      </x:c>
      <x:c r="G269" s="22" t="str">
        <x:v>A guide or directory does not validate every linked service. Verify each underlying source separately.</x:v>
      </x:c>
      <x:c r="H269" s="22" t="str">
        <x:v>Use as a utility only; functionality not audited</x:v>
      </x:c>
      <x:c r="I269" s="22" t="str">
        <x:v>Not checked</x:v>
      </x:c>
      <x:c r="J269" s="22" t="str">
        <x:v>Saved bookmark metadata only</x:v>
      </x:c>
      <x:c r="K269" s="22" t="str"/>
      <x:c r="L269" s="24" t="str"/>
      <x:c r="M269" s="24" t="str">
        <x:v>http://awesomelists.top/</x:v>
      </x:c>
      <x:c r="N269" s="22" t="str">
        <x:v>286996628</x:v>
      </x:c>
      <x:c r="O269" s="22" t="n">
        <x:v>1003</x:v>
      </x:c>
      <x:c r="P269" s="22" t="n">
        <x:v>47</x:v>
      </x:c>
      <x:c r="Q269" s="22" t="str"/>
      <x:c r="R269" s="22" t="n">
        <x:f>COUNTIF($M$6:$M$1177,M269)</x:f>
        <x:v>1</x:v>
      </x:c>
      <x:c r="S269" s="22" t="str">
        <x:v>Other / utility</x:v>
      </x:c>
      <x:c r="T269" s="22" t="str">
        <x:v>Scope only</x:v>
      </x:c>
    </x:row>
    <x:row r="270" ht="48" customHeight="1">
      <x:c r="A270" s="22" t="n">
        <x:v>265</x:v>
      </x:c>
      <x:c r="B270" s="22" t="str">
        <x:v>GitHub Awesome Search</x:v>
      </x:c>
      <x:c r="C270" s="27" t="str">
        <x:v>N/A</x:v>
      </x:c>
      <x:c r="D270" s="22" t="str">
        <x:v>Utility classification</x:v>
      </x:c>
      <x:c r="E270" s="22" t="str">
        <x:v>RESOURCES</x:v>
      </x:c>
      <x:c r="F270" s="22" t="str">
        <x:v>Reference guide or resource directory</x:v>
      </x:c>
      <x:c r="G270" s="22" t="str">
        <x:v>A guide or directory does not validate every linked service. Verify each underlying source separately.</x:v>
      </x:c>
      <x:c r="H270" s="22" t="str">
        <x:v>Use as a utility only; functionality not audited</x:v>
      </x:c>
      <x:c r="I270" s="22" t="str">
        <x:v>Not checked</x:v>
      </x:c>
      <x:c r="J270" s="22" t="str">
        <x:v>Saved bookmark metadata only</x:v>
      </x:c>
      <x:c r="K270" s="22" t="str"/>
      <x:c r="L270" s="24" t="str"/>
      <x:c r="M270" s="24" t="str">
        <x:v>https://github.motakasoft.com/awesome/</x:v>
      </x:c>
      <x:c r="N270" s="22" t="str">
        <x:v>286996630</x:v>
      </x:c>
      <x:c r="O270" s="22" t="n">
        <x:v>1003</x:v>
      </x:c>
      <x:c r="P270" s="22" t="n">
        <x:v>48</x:v>
      </x:c>
      <x:c r="Q270" s="22" t="str"/>
      <x:c r="R270" s="22" t="n">
        <x:f>COUNTIF($M$6:$M$1177,M270)</x:f>
        <x:v>1</x:v>
      </x:c>
      <x:c r="S270" s="22" t="str">
        <x:v>Other / utility</x:v>
      </x:c>
      <x:c r="T270" s="22" t="str">
        <x:v>Scope only</x:v>
      </x:c>
    </x:row>
    <x:row r="271" ht="48" customHeight="1">
      <x:c r="A271" s="22" t="n">
        <x:v>266</x:v>
      </x:c>
      <x:c r="B271" s="22" t="str">
        <x:v>Ph055a OSINT_Collection</x:v>
      </x:c>
      <x:c r="C271" s="27" t="str">
        <x:v>N/A</x:v>
      </x:c>
      <x:c r="D271" s="22" t="str">
        <x:v>Utility classification</x:v>
      </x:c>
      <x:c r="E271" s="22" t="str">
        <x:v>RESOURCES</x:v>
      </x:c>
      <x:c r="F271" s="22" t="str">
        <x:v>Reference guide or resource directory</x:v>
      </x:c>
      <x:c r="G271" s="22" t="str">
        <x:v>A guide or directory does not validate every linked service. Verify each underlying source separately.</x:v>
      </x:c>
      <x:c r="H271" s="22" t="str">
        <x:v>Use as a utility only; functionality not audited</x:v>
      </x:c>
      <x:c r="I271" s="22" t="str">
        <x:v>Not checked</x:v>
      </x:c>
      <x:c r="J271" s="22" t="str">
        <x:v>Saved bookmark metadata only</x:v>
      </x:c>
      <x:c r="K271" s="22" t="str"/>
      <x:c r="L271" s="24" t="str"/>
      <x:c r="M271" s="24" t="str">
        <x:v>https://github.com/Ph055a/OSINT_Collection</x:v>
      </x:c>
      <x:c r="N271" s="22" t="str">
        <x:v>288431707</x:v>
      </x:c>
      <x:c r="O271" s="22" t="n">
        <x:v>1003</x:v>
      </x:c>
      <x:c r="P271" s="22" t="n">
        <x:v>49</x:v>
      </x:c>
      <x:c r="Q271" s="22" t="str"/>
      <x:c r="R271" s="22" t="n">
        <x:f>COUNTIF($M$6:$M$1177,M271)</x:f>
        <x:v>1</x:v>
      </x:c>
      <x:c r="S271" s="22" t="str">
        <x:v>Other / utility</x:v>
      </x:c>
      <x:c r="T271" s="22" t="str">
        <x:v>Scope only</x:v>
      </x:c>
    </x:row>
    <x:row r="272" ht="48" customHeight="1">
      <x:c r="A272" s="22" t="n">
        <x:v>267</x:v>
      </x:c>
      <x:c r="B272" s="22" t="str">
        <x:v>MetaOSINT</x:v>
      </x:c>
      <x:c r="C272" s="27" t="str">
        <x:v>N/A</x:v>
      </x:c>
      <x:c r="D272" s="22" t="str">
        <x:v>Utility classification</x:v>
      </x:c>
      <x:c r="E272" s="22" t="str">
        <x:v>RESOURCES</x:v>
      </x:c>
      <x:c r="F272" s="22" t="str">
        <x:v>Reference guide or resource directory</x:v>
      </x:c>
      <x:c r="G272" s="22" t="str">
        <x:v>A guide or directory does not validate every linked service. Verify each underlying source separately.</x:v>
      </x:c>
      <x:c r="H272" s="22" t="str">
        <x:v>Use as a utility only; functionality not audited</x:v>
      </x:c>
      <x:c r="I272" s="22" t="str">
        <x:v>Not checked</x:v>
      </x:c>
      <x:c r="J272" s="22" t="str">
        <x:v>Saved bookmark metadata only</x:v>
      </x:c>
      <x:c r="K272" s="22" t="str"/>
      <x:c r="L272" s="24" t="str"/>
      <x:c r="M272" s="24" t="str">
        <x:v>https://metaosint.github.io/</x:v>
      </x:c>
      <x:c r="N272" s="22" t="str">
        <x:v>288431748</x:v>
      </x:c>
      <x:c r="O272" s="22" t="n">
        <x:v>1003</x:v>
      </x:c>
      <x:c r="P272" s="22" t="n">
        <x:v>50</x:v>
      </x:c>
      <x:c r="Q272" s="22" t="str"/>
      <x:c r="R272" s="22" t="n">
        <x:f>COUNTIF($M$6:$M$1177,M272)</x:f>
        <x:v>1</x:v>
      </x:c>
      <x:c r="S272" s="22" t="str">
        <x:v>Other / utility</x:v>
      </x:c>
      <x:c r="T272" s="22" t="str">
        <x:v>Scope only</x:v>
      </x:c>
    </x:row>
    <x:row r="273" ht="48" customHeight="1">
      <x:c r="A273" s="22" t="n">
        <x:v>268</x:v>
      </x:c>
      <x:c r="B273" s="22" t="str">
        <x:v>Osint.support</x:v>
      </x:c>
      <x:c r="C273" s="27" t="str">
        <x:v>N/A</x:v>
      </x:c>
      <x:c r="D273" s="22" t="str">
        <x:v>Utility classification</x:v>
      </x:c>
      <x:c r="E273" s="22" t="str">
        <x:v>RESOURCES</x:v>
      </x:c>
      <x:c r="F273" s="22" t="str">
        <x:v>Reference guide or resource directory</x:v>
      </x:c>
      <x:c r="G273" s="22" t="str">
        <x:v>A guide or directory does not validate every linked service. Verify each underlying source separately.</x:v>
      </x:c>
      <x:c r="H273" s="22" t="str">
        <x:v>Use as a utility only; functionality not audited</x:v>
      </x:c>
      <x:c r="I273" s="22" t="str">
        <x:v>Not checked</x:v>
      </x:c>
      <x:c r="J273" s="22" t="str">
        <x:v>Saved bookmark metadata only</x:v>
      </x:c>
      <x:c r="K273" s="22" t="str"/>
      <x:c r="L273" s="24" t="str"/>
      <x:c r="M273" s="24" t="str">
        <x:v>https://osint.support/</x:v>
      </x:c>
      <x:c r="N273" s="22" t="str">
        <x:v>289965556</x:v>
      </x:c>
      <x:c r="O273" s="22" t="n">
        <x:v>1003</x:v>
      </x:c>
      <x:c r="P273" s="22" t="n">
        <x:v>51</x:v>
      </x:c>
      <x:c r="Q273" s="22" t="str"/>
      <x:c r="R273" s="22" t="n">
        <x:f>COUNTIF($M$6:$M$1177,M273)</x:f>
        <x:v>1</x:v>
      </x:c>
      <x:c r="S273" s="22" t="str">
        <x:v>Other / utility</x:v>
      </x:c>
      <x:c r="T273" s="22" t="str">
        <x:v>Scope only</x:v>
      </x:c>
    </x:row>
    <x:row r="274" ht="48" customHeight="1">
      <x:c r="A274" s="22" t="n">
        <x:v>269</x:v>
      </x:c>
      <x:c r="B274" s="22" t="str">
        <x:v>Sprp77/My-Google-CSE</x:v>
      </x:c>
      <x:c r="C274" s="27" t="str">
        <x:v>N/A</x:v>
      </x:c>
      <x:c r="D274" s="22" t="str">
        <x:v>Utility classification</x:v>
      </x:c>
      <x:c r="E274" s="22" t="str">
        <x:v>RESOURCES</x:v>
      </x:c>
      <x:c r="F274" s="22" t="str">
        <x:v>Reference guide or resource directory</x:v>
      </x:c>
      <x:c r="G274" s="22" t="str">
        <x:v>A guide or directory does not validate every linked service. Verify each underlying source separately.</x:v>
      </x:c>
      <x:c r="H274" s="22" t="str">
        <x:v>Use as a utility only; functionality not audited</x:v>
      </x:c>
      <x:c r="I274" s="22" t="str">
        <x:v>Not checked</x:v>
      </x:c>
      <x:c r="J274" s="22" t="str">
        <x:v>Saved bookmark metadata only</x:v>
      </x:c>
      <x:c r="K274" s="22" t="str"/>
      <x:c r="L274" s="24" t="str"/>
      <x:c r="M274" s="24" t="str">
        <x:v>https://github.com/Sprp77/My-Google-CSE/blob/master/List%201</x:v>
      </x:c>
      <x:c r="N274" s="22" t="str">
        <x:v>290064889</x:v>
      </x:c>
      <x:c r="O274" s="22" t="n">
        <x:v>1003</x:v>
      </x:c>
      <x:c r="P274" s="22" t="n">
        <x:v>52</x:v>
      </x:c>
      <x:c r="Q274" s="22" t="str"/>
      <x:c r="R274" s="22" t="n">
        <x:f>COUNTIF($M$6:$M$1177,M274)</x:f>
        <x:v>1</x:v>
      </x:c>
      <x:c r="S274" s="22" t="str">
        <x:v>Other / utility</x:v>
      </x:c>
      <x:c r="T274" s="22" t="str">
        <x:v>Scope only</x:v>
      </x:c>
    </x:row>
    <x:row r="275" ht="54" customHeight="1">
      <x:c r="A275" s="22" t="n">
        <x:v>270</x:v>
      </x:c>
      <x:c r="B275" s="22" t="str">
        <x:v>How to Build an OSINT Super Machine for People Surveillance and Sourcing</x:v>
      </x:c>
      <x:c r="C275" s="27" t="str">
        <x:v>N/A</x:v>
      </x:c>
      <x:c r="D275" s="22" t="str">
        <x:v>Utility classification</x:v>
      </x:c>
      <x:c r="E275" s="22" t="str">
        <x:v>RESOURCES</x:v>
      </x:c>
      <x:c r="F275" s="22" t="str">
        <x:v>Reference guide or resource directory</x:v>
      </x:c>
      <x:c r="G275" s="22" t="str">
        <x:v>A guide or directory does not validate every linked service. Verify each underlying source separately.</x:v>
      </x:c>
      <x:c r="H275" s="22" t="str">
        <x:v>Use as a utility only; functionality not audited</x:v>
      </x:c>
      <x:c r="I275" s="22" t="str">
        <x:v>Not checked</x:v>
      </x:c>
      <x:c r="J275" s="22" t="str">
        <x:v>Saved bookmark metadata only</x:v>
      </x:c>
      <x:c r="K275" s="22" t="str"/>
      <x:c r="L275" s="24" t="str"/>
      <x:c r="M275" s="24" t="str">
        <x:v>https://outline.com/GZbkZA</x:v>
      </x:c>
      <x:c r="N275" s="22" t="str">
        <x:v>291437870</x:v>
      </x:c>
      <x:c r="O275" s="22" t="n">
        <x:v>1003</x:v>
      </x:c>
      <x:c r="P275" s="22" t="n">
        <x:v>53</x:v>
      </x:c>
      <x:c r="Q275" s="22" t="str"/>
      <x:c r="R275" s="22" t="n">
        <x:f>COUNTIF($M$6:$M$1177,M275)</x:f>
        <x:v>1</x:v>
      </x:c>
      <x:c r="S275" s="22" t="str">
        <x:v>Other / utility</x:v>
      </x:c>
      <x:c r="T275" s="22" t="str">
        <x:v>Scope only</x:v>
      </x:c>
    </x:row>
    <x:row r="276" ht="48" customHeight="1">
      <x:c r="A276" s="22" t="n">
        <x:v>271</x:v>
      </x:c>
      <x:c r="B276" s="22" t="str">
        <x:v>How to find anyone with an advanced LinkedIn People Search</x:v>
      </x:c>
      <x:c r="C276" s="27" t="str">
        <x:v>N/A</x:v>
      </x:c>
      <x:c r="D276" s="22" t="str">
        <x:v>Utility classification</x:v>
      </x:c>
      <x:c r="E276" s="22" t="str">
        <x:v>RESOURCES</x:v>
      </x:c>
      <x:c r="F276" s="22" t="str">
        <x:v>Reference guide or resource directory</x:v>
      </x:c>
      <x:c r="G276" s="22" t="str">
        <x:v>A guide or directory does not validate every linked service. Verify each underlying source separately.</x:v>
      </x:c>
      <x:c r="H276" s="22" t="str">
        <x:v>Use as a utility only; functionality not audited</x:v>
      </x:c>
      <x:c r="I276" s="22" t="str">
        <x:v>Not checked</x:v>
      </x:c>
      <x:c r="J276" s="22" t="str">
        <x:v>Saved bookmark metadata only</x:v>
      </x:c>
      <x:c r="K276" s="22" t="str"/>
      <x:c r="L276" s="24" t="str"/>
      <x:c r="M276" s="24" t="str">
        <x:v>https://nubela.co/blog/how-to-find-anyone-with-an-advanced-linkedin-people-search/</x:v>
      </x:c>
      <x:c r="N276" s="22" t="str">
        <x:v>291767492</x:v>
      </x:c>
      <x:c r="O276" s="22" t="n">
        <x:v>1003</x:v>
      </x:c>
      <x:c r="P276" s="22" t="n">
        <x:v>54</x:v>
      </x:c>
      <x:c r="Q276" s="22" t="str"/>
      <x:c r="R276" s="22" t="n">
        <x:f>COUNTIF($M$6:$M$1177,M276)</x:f>
        <x:v>1</x:v>
      </x:c>
      <x:c r="S276" s="22" t="str">
        <x:v>Other / utility</x:v>
      </x:c>
      <x:c r="T276" s="22" t="str">
        <x:v>Scope only</x:v>
      </x:c>
    </x:row>
    <x:row r="277" ht="48" customHeight="1">
      <x:c r="A277" s="22" t="n">
        <x:v>272</x:v>
      </x:c>
      <x:c r="B277" s="22" t="str">
        <x:v>OpenWeatherMap</x:v>
      </x:c>
      <x:c r="C277" s="31" t="str">
        <x:v>U</x:v>
      </x:c>
      <x:c r="D277" s="22" t="str">
        <x:v>Unassessed</x:v>
      </x:c>
      <x:c r="E277" s="22" t="str">
        <x:v>WEATHER</x:v>
      </x:c>
      <x:c r="F277" s="22" t="str">
        <x:v>Weather context</x:v>
      </x:c>
      <x:c r="G277" s="22" t="str">
        <x:v>Check station, date, time zone and observation versus forecast; no accuracy comparison was performed.</x:v>
      </x:c>
      <x:c r="H277" s="22" t="str">
        <x:v>Verify publisher, source and current function before reliance</x:v>
      </x:c>
      <x:c r="I277" s="22" t="str">
        <x:v>Not checked</x:v>
      </x:c>
      <x:c r="J277" s="22" t="str">
        <x:v>Saved bookmark metadata only</x:v>
      </x:c>
      <x:c r="K277" s="22" t="str"/>
      <x:c r="L277" s="24" t="str"/>
      <x:c r="M277" s="24" t="str">
        <x:v>https://openweathermap.org/</x:v>
      </x:c>
      <x:c r="N277" s="22" t="str">
        <x:v>268402424</x:v>
      </x:c>
      <x:c r="O277" s="22" t="n">
        <x:v>1003</x:v>
      </x:c>
      <x:c r="P277" s="22" t="n">
        <x:v>1</x:v>
      </x:c>
      <x:c r="Q277" s="22" t="str"/>
      <x:c r="R277" s="22" t="n">
        <x:f>COUNTIF($M$6:$M$1177,M277)</x:f>
        <x:v>1</x:v>
      </x:c>
      <x:c r="S277" s="22" t="str">
        <x:v>Other / utility</x:v>
      </x:c>
      <x:c r="T277" s="22" t="str">
        <x:v>Not established</x:v>
      </x:c>
    </x:row>
    <x:row r="278" ht="48" customHeight="1">
      <x:c r="A278" s="22" t="n">
        <x:v>273</x:v>
      </x:c>
      <x:c r="B278" s="22" t="str">
        <x:v>Weather History &amp; Data Archive</x:v>
      </x:c>
      <x:c r="C278" s="31" t="str">
        <x:v>U</x:v>
      </x:c>
      <x:c r="D278" s="22" t="str">
        <x:v>Unassessed</x:v>
      </x:c>
      <x:c r="E278" s="22" t="str">
        <x:v>WEATHER</x:v>
      </x:c>
      <x:c r="F278" s="22" t="str">
        <x:v>Weather context</x:v>
      </x:c>
      <x:c r="G278" s="22" t="str">
        <x:v>Check station, date, time zone and observation versus forecast; no accuracy comparison was performed.</x:v>
      </x:c>
      <x:c r="H278" s="22" t="str">
        <x:v>Verify publisher, source and current function before reliance</x:v>
      </x:c>
      <x:c r="I278" s="22" t="str">
        <x:v>Not checked</x:v>
      </x:c>
      <x:c r="J278" s="22" t="str">
        <x:v>Saved bookmark metadata only</x:v>
      </x:c>
      <x:c r="K278" s="22" t="str"/>
      <x:c r="L278" s="24" t="str"/>
      <x:c r="M278" s="24" t="str">
        <x:v>https://www.wunderground.com/history</x:v>
      </x:c>
      <x:c r="N278" s="22" t="str">
        <x:v>268402425</x:v>
      </x:c>
      <x:c r="O278" s="22" t="n">
        <x:v>1003</x:v>
      </x:c>
      <x:c r="P278" s="22" t="n">
        <x:v>2</x:v>
      </x:c>
      <x:c r="Q278" s="22" t="str"/>
      <x:c r="R278" s="22" t="n">
        <x:f>COUNTIF($M$6:$M$1177,M278)</x:f>
        <x:v>1</x:v>
      </x:c>
      <x:c r="S278" s="22" t="str">
        <x:v>Other / utility</x:v>
      </x:c>
      <x:c r="T278" s="22" t="str">
        <x:v>Not established</x:v>
      </x:c>
    </x:row>
    <x:row r="279" ht="48" customHeight="1">
      <x:c r="A279" s="22" t="n">
        <x:v>274</x:v>
      </x:c>
      <x:c r="B279" s="22" t="str">
        <x:v>World Temperatures — Weather Around The World</x:v>
      </x:c>
      <x:c r="C279" s="31" t="str">
        <x:v>U</x:v>
      </x:c>
      <x:c r="D279" s="22" t="str">
        <x:v>Unassessed</x:v>
      </x:c>
      <x:c r="E279" s="22" t="str">
        <x:v>WEATHER</x:v>
      </x:c>
      <x:c r="F279" s="22" t="str">
        <x:v>Weather context</x:v>
      </x:c>
      <x:c r="G279" s="22" t="str">
        <x:v>Check station, date, time zone and observation versus forecast; no accuracy comparison was performed.</x:v>
      </x:c>
      <x:c r="H279" s="22" t="str">
        <x:v>Verify publisher, source and current function before reliance</x:v>
      </x:c>
      <x:c r="I279" s="22" t="str">
        <x:v>Not checked</x:v>
      </x:c>
      <x:c r="J279" s="22" t="str">
        <x:v>Saved bookmark metadata only</x:v>
      </x:c>
      <x:c r="K279" s="22" t="str"/>
      <x:c r="L279" s="24" t="str"/>
      <x:c r="M279" s="24" t="str">
        <x:v>https://www.timeanddate.com/weather/</x:v>
      </x:c>
      <x:c r="N279" s="22" t="str">
        <x:v>268402426</x:v>
      </x:c>
      <x:c r="O279" s="22" t="n">
        <x:v>1003</x:v>
      </x:c>
      <x:c r="P279" s="22" t="n">
        <x:v>3</x:v>
      </x:c>
      <x:c r="Q279" s="22" t="str"/>
      <x:c r="R279" s="22" t="n">
        <x:f>COUNTIF($M$6:$M$1177,M279)</x:f>
        <x:v>1</x:v>
      </x:c>
      <x:c r="S279" s="22" t="str">
        <x:v>Other / utility</x:v>
      </x:c>
      <x:c r="T279" s="22" t="str">
        <x:v>Not established</x:v>
      </x:c>
    </x:row>
    <x:row r="280" ht="48" customHeight="1">
      <x:c r="A280" s="22" t="n">
        <x:v>275</x:v>
      </x:c>
      <x:c r="B280" s="22" t="str">
        <x:v>AccuWeather</x:v>
      </x:c>
      <x:c r="C280" s="31" t="str">
        <x:v>U</x:v>
      </x:c>
      <x:c r="D280" s="22" t="str">
        <x:v>Unassessed</x:v>
      </x:c>
      <x:c r="E280" s="22" t="str">
        <x:v>WEATHER</x:v>
      </x:c>
      <x:c r="F280" s="22" t="str">
        <x:v>Weather context</x:v>
      </x:c>
      <x:c r="G280" s="22" t="str">
        <x:v>Check station, date, time zone and observation versus forecast; no accuracy comparison was performed.</x:v>
      </x:c>
      <x:c r="H280" s="22" t="str">
        <x:v>Verify publisher, source and current function before reliance</x:v>
      </x:c>
      <x:c r="I280" s="22" t="str">
        <x:v>Not checked</x:v>
      </x:c>
      <x:c r="J280" s="22" t="str">
        <x:v>Saved bookmark metadata only</x:v>
      </x:c>
      <x:c r="K280" s="22" t="str"/>
      <x:c r="L280" s="24" t="str"/>
      <x:c r="M280" s="24" t="str">
        <x:v>https://www.accuweather.com/</x:v>
      </x:c>
      <x:c r="N280" s="22" t="str">
        <x:v>268402427</x:v>
      </x:c>
      <x:c r="O280" s="22" t="n">
        <x:v>1003</x:v>
      </x:c>
      <x:c r="P280" s="22" t="n">
        <x:v>4</x:v>
      </x:c>
      <x:c r="Q280" s="22" t="str"/>
      <x:c r="R280" s="22" t="n">
        <x:f>COUNTIF($M$6:$M$1177,M280)</x:f>
        <x:v>1</x:v>
      </x:c>
      <x:c r="S280" s="22" t="str">
        <x:v>Other / utility</x:v>
      </x:c>
      <x:c r="T280" s="22" t="str">
        <x:v>Not established</x:v>
      </x:c>
    </x:row>
    <x:row r="281" ht="48" customHeight="1">
      <x:c r="A281" s="22" t="n">
        <x:v>276</x:v>
      </x:c>
      <x:c r="B281" s="22" t="str">
        <x:v>Threatbutt</x:v>
      </x:c>
      <x:c r="C281" s="31" t="str">
        <x:v>U</x:v>
      </x:c>
      <x:c r="D281" s="22" t="str">
        <x:v>Unassessed</x:v>
      </x:c>
      <x:c r="E281" s="22" t="str">
        <x:v>THREAT INTEL</x:v>
      </x:c>
      <x:c r="F281" s="22" t="str">
        <x:v>Technical security observations</x:v>
      </x:c>
      <x:c r="G281" s="22" t="str">
        <x:v>Check the underlying observation and date. A security label is not a finding about a human.</x:v>
      </x:c>
      <x:c r="H281" s="22" t="str">
        <x:v>Verify publisher, source and current function before reliance</x:v>
      </x:c>
      <x:c r="I281" s="22" t="str">
        <x:v>Not checked</x:v>
      </x:c>
      <x:c r="J281" s="22" t="str">
        <x:v>Saved bookmark metadata only</x:v>
      </x:c>
      <x:c r="K281" s="22" t="str"/>
      <x:c r="L281" s="24" t="str"/>
      <x:c r="M281" s="24" t="str">
        <x:v>https://threatbutt.com/map/</x:v>
      </x:c>
      <x:c r="N281" s="22" t="str">
        <x:v>286998415</x:v>
      </x:c>
      <x:c r="O281" s="22" t="n">
        <x:v>1003</x:v>
      </x:c>
      <x:c r="P281" s="22" t="n">
        <x:v>1</x:v>
      </x:c>
      <x:c r="Q281" s="22" t="str"/>
      <x:c r="R281" s="22" t="n">
        <x:f>COUNTIF($M$6:$M$1177,M281)</x:f>
        <x:v>1</x:v>
      </x:c>
      <x:c r="S281" s="22" t="str">
        <x:v>Other / utility</x:v>
      </x:c>
      <x:c r="T281" s="22" t="str">
        <x:v>Not established</x:v>
      </x:c>
    </x:row>
    <x:row r="282" ht="48" customHeight="1">
      <x:c r="A282" s="22" t="n">
        <x:v>277</x:v>
      </x:c>
      <x:c r="B282" s="22" t="str">
        <x:v>Cyberthreat Real-Time Map</x:v>
      </x:c>
      <x:c r="C282" s="31" t="str">
        <x:v>U</x:v>
      </x:c>
      <x:c r="D282" s="22" t="str">
        <x:v>Unassessed</x:v>
      </x:c>
      <x:c r="E282" s="22" t="str">
        <x:v>THREAT INTEL</x:v>
      </x:c>
      <x:c r="F282" s="22" t="str">
        <x:v>Technical security observations</x:v>
      </x:c>
      <x:c r="G282" s="22" t="str">
        <x:v>Check the underlying observation and date. A security label is not a finding about a human.</x:v>
      </x:c>
      <x:c r="H282" s="22" t="str">
        <x:v>Verify publisher, source and current function before reliance</x:v>
      </x:c>
      <x:c r="I282" s="22" t="str">
        <x:v>Not checked</x:v>
      </x:c>
      <x:c r="J282" s="22" t="str">
        <x:v>Saved bookmark metadata only</x:v>
      </x:c>
      <x:c r="K282" s="22" t="str"/>
      <x:c r="L282" s="24" t="str"/>
      <x:c r="M282" s="24" t="str">
        <x:v>https://cybermap.kaspersky.com/</x:v>
      </x:c>
      <x:c r="N282" s="22" t="str">
        <x:v>286999110</x:v>
      </x:c>
      <x:c r="O282" s="22" t="n">
        <x:v>1003</x:v>
      </x:c>
      <x:c r="P282" s="22" t="n">
        <x:v>2</x:v>
      </x:c>
      <x:c r="Q282" s="22" t="str"/>
      <x:c r="R282" s="22" t="n">
        <x:f>COUNTIF($M$6:$M$1177,M282)</x:f>
        <x:v>1</x:v>
      </x:c>
      <x:c r="S282" s="22" t="str">
        <x:v>Other / utility</x:v>
      </x:c>
      <x:c r="T282" s="22" t="str">
        <x:v>Not established</x:v>
      </x:c>
    </x:row>
    <x:row r="283" ht="48" customHeight="1">
      <x:c r="A283" s="22" t="n">
        <x:v>278</x:v>
      </x:c>
      <x:c r="B283" s="22" t="str">
        <x:v>Live Cyber Attack Threat Map</x:v>
      </x:c>
      <x:c r="C283" s="31" t="str">
        <x:v>U</x:v>
      </x:c>
      <x:c r="D283" s="22" t="str">
        <x:v>Unassessed</x:v>
      </x:c>
      <x:c r="E283" s="22" t="str">
        <x:v>THREAT INTEL</x:v>
      </x:c>
      <x:c r="F283" s="22" t="str">
        <x:v>Technical security observations</x:v>
      </x:c>
      <x:c r="G283" s="22" t="str">
        <x:v>Check the underlying observation and date. A security label is not a finding about a human.</x:v>
      </x:c>
      <x:c r="H283" s="22" t="str">
        <x:v>Verify publisher, source and current function before reliance</x:v>
      </x:c>
      <x:c r="I283" s="22" t="str">
        <x:v>Not checked</x:v>
      </x:c>
      <x:c r="J283" s="22" t="str">
        <x:v>Saved bookmark metadata only</x:v>
      </x:c>
      <x:c r="K283" s="22" t="str"/>
      <x:c r="L283" s="24" t="str"/>
      <x:c r="M283" s="24" t="str">
        <x:v>https://www.checkpoint.com/ThreatPortal/livemap.html</x:v>
      </x:c>
      <x:c r="N283" s="22" t="str">
        <x:v>287000254</x:v>
      </x:c>
      <x:c r="O283" s="22" t="n">
        <x:v>1003</x:v>
      </x:c>
      <x:c r="P283" s="22" t="n">
        <x:v>3</x:v>
      </x:c>
      <x:c r="Q283" s="22" t="str"/>
      <x:c r="R283" s="22" t="n">
        <x:f>COUNTIF($M$6:$M$1177,M283)</x:f>
        <x:v>1</x:v>
      </x:c>
      <x:c r="S283" s="22" t="str">
        <x:v>Other / utility</x:v>
      </x:c>
      <x:c r="T283" s="22" t="str">
        <x:v>Not established</x:v>
      </x:c>
    </x:row>
    <x:row r="284" ht="48" customHeight="1">
      <x:c r="A284" s="22" t="n">
        <x:v>279</x:v>
      </x:c>
      <x:c r="B284" s="22" t="str">
        <x:v>Digital Attack Map</x:v>
      </x:c>
      <x:c r="C284" s="31" t="str">
        <x:v>U</x:v>
      </x:c>
      <x:c r="D284" s="22" t="str">
        <x:v>Unassessed</x:v>
      </x:c>
      <x:c r="E284" s="22" t="str">
        <x:v>THREAT INTEL</x:v>
      </x:c>
      <x:c r="F284" s="22" t="str">
        <x:v>Technical security observations</x:v>
      </x:c>
      <x:c r="G284" s="22" t="str">
        <x:v>Check the underlying observation and date. A security label is not a finding about a human.</x:v>
      </x:c>
      <x:c r="H284" s="22" t="str">
        <x:v>Verify publisher, source and current function before reliance</x:v>
      </x:c>
      <x:c r="I284" s="22" t="str">
        <x:v>Not checked</x:v>
      </x:c>
      <x:c r="J284" s="22" t="str">
        <x:v>Saved bookmark metadata only</x:v>
      </x:c>
      <x:c r="K284" s="22" t="str"/>
      <x:c r="L284" s="24" t="str"/>
      <x:c r="M284" s="24" t="str">
        <x:v>https://www.digitalattackmap.com/</x:v>
      </x:c>
      <x:c r="N284" s="22" t="str">
        <x:v>286999105</x:v>
      </x:c>
      <x:c r="O284" s="22" t="n">
        <x:v>1003</x:v>
      </x:c>
      <x:c r="P284" s="22" t="n">
        <x:v>4</x:v>
      </x:c>
      <x:c r="Q284" s="22" t="str"/>
      <x:c r="R284" s="22" t="n">
        <x:f>COUNTIF($M$6:$M$1177,M284)</x:f>
        <x:v>1</x:v>
      </x:c>
      <x:c r="S284" s="22" t="str">
        <x:v>Other / utility</x:v>
      </x:c>
      <x:c r="T284" s="22" t="str">
        <x:v>Not established</x:v>
      </x:c>
    </x:row>
    <x:row r="285" ht="48" customHeight="1">
      <x:c r="A285" s="22" t="n">
        <x:v>280</x:v>
      </x:c>
      <x:c r="B285" s="22" t="str">
        <x:v>Cyber Threat Map</x:v>
      </x:c>
      <x:c r="C285" s="31" t="str">
        <x:v>U</x:v>
      </x:c>
      <x:c r="D285" s="22" t="str">
        <x:v>Unassessed</x:v>
      </x:c>
      <x:c r="E285" s="22" t="str">
        <x:v>THREAT INTEL</x:v>
      </x:c>
      <x:c r="F285" s="22" t="str">
        <x:v>Technical security observations</x:v>
      </x:c>
      <x:c r="G285" s="22" t="str">
        <x:v>Check the underlying observation and date. A security label is not a finding about a human.</x:v>
      </x:c>
      <x:c r="H285" s="22" t="str">
        <x:v>Verify publisher, source and current function before reliance</x:v>
      </x:c>
      <x:c r="I285" s="22" t="str">
        <x:v>Not checked</x:v>
      </x:c>
      <x:c r="J285" s="22" t="str">
        <x:v>Saved bookmark metadata only</x:v>
      </x:c>
      <x:c r="K285" s="22" t="str"/>
      <x:c r="L285" s="24" t="str"/>
      <x:c r="M285" s="24" t="str">
        <x:v>https://www.fireeye.com/cyber-map/threat-map.html</x:v>
      </x:c>
      <x:c r="N285" s="22" t="str">
        <x:v>286999107</x:v>
      </x:c>
      <x:c r="O285" s="22" t="n">
        <x:v>1003</x:v>
      </x:c>
      <x:c r="P285" s="22" t="n">
        <x:v>5</x:v>
      </x:c>
      <x:c r="Q285" s="22" t="str"/>
      <x:c r="R285" s="22" t="n">
        <x:f>COUNTIF($M$6:$M$1177,M285)</x:f>
        <x:v>1</x:v>
      </x:c>
      <x:c r="S285" s="22" t="str">
        <x:v>Other / utility</x:v>
      </x:c>
      <x:c r="T285" s="22" t="str">
        <x:v>Not established</x:v>
      </x:c>
    </x:row>
    <x:row r="286" ht="48" customHeight="1">
      <x:c r="A286" s="22" t="n">
        <x:v>281</x:v>
      </x:c>
      <x:c r="B286" s="22" t="str">
        <x:v>Bitdefender Threat Map</x:v>
      </x:c>
      <x:c r="C286" s="31" t="str">
        <x:v>U</x:v>
      </x:c>
      <x:c r="D286" s="22" t="str">
        <x:v>Unassessed</x:v>
      </x:c>
      <x:c r="E286" s="22" t="str">
        <x:v>THREAT INTEL</x:v>
      </x:c>
      <x:c r="F286" s="22" t="str">
        <x:v>Technical security observations</x:v>
      </x:c>
      <x:c r="G286" s="22" t="str">
        <x:v>Check the underlying observation and date. A security label is not a finding about a human.</x:v>
      </x:c>
      <x:c r="H286" s="22" t="str">
        <x:v>Verify publisher, source and current function before reliance</x:v>
      </x:c>
      <x:c r="I286" s="22" t="str">
        <x:v>Not checked</x:v>
      </x:c>
      <x:c r="J286" s="22" t="str">
        <x:v>Saved bookmark metadata only</x:v>
      </x:c>
      <x:c r="K286" s="22" t="str"/>
      <x:c r="L286" s="24" t="str"/>
      <x:c r="M286" s="24" t="str">
        <x:v>https://threatmap.bitdefender.com/</x:v>
      </x:c>
      <x:c r="N286" s="22" t="str">
        <x:v>287000292</x:v>
      </x:c>
      <x:c r="O286" s="22" t="n">
        <x:v>1003</x:v>
      </x:c>
      <x:c r="P286" s="22" t="n">
        <x:v>6</x:v>
      </x:c>
      <x:c r="Q286" s="22" t="str"/>
      <x:c r="R286" s="22" t="n">
        <x:f>COUNTIF($M$6:$M$1177,M286)</x:f>
        <x:v>1</x:v>
      </x:c>
      <x:c r="S286" s="22" t="str">
        <x:v>Other / utility</x:v>
      </x:c>
      <x:c r="T286" s="22" t="str">
        <x:v>Not established</x:v>
      </x:c>
    </x:row>
    <x:row r="287" ht="48" customHeight="1">
      <x:c r="A287" s="22" t="n">
        <x:v>282</x:v>
      </x:c>
      <x:c r="B287" s="22" t="str">
        <x:v>Cyber Threat Intelligence</x:v>
      </x:c>
      <x:c r="C287" s="31" t="str">
        <x:v>U</x:v>
      </x:c>
      <x:c r="D287" s="22" t="str">
        <x:v>Unassessed</x:v>
      </x:c>
      <x:c r="E287" s="22" t="str">
        <x:v>THREAT INTEL</x:v>
      </x:c>
      <x:c r="F287" s="22" t="str">
        <x:v>Technical security observations</x:v>
      </x:c>
      <x:c r="G287" s="22" t="str">
        <x:v>Check the underlying observation and date. A security label is not a finding about a human.</x:v>
      </x:c>
      <x:c r="H287" s="22" t="str">
        <x:v>Verify publisher, source and current function before reliance</x:v>
      </x:c>
      <x:c r="I287" s="22" t="str">
        <x:v>Not checked</x:v>
      </x:c>
      <x:c r="J287" s="22" t="str">
        <x:v>Saved bookmark metadata only</x:v>
      </x:c>
      <x:c r="K287" s="22" t="str"/>
      <x:c r="L287" s="24" t="str"/>
      <x:c r="M287" s="24" t="str">
        <x:v>https://pulsedive.com/</x:v>
      </x:c>
      <x:c r="N287" s="22" t="str">
        <x:v>268636806</x:v>
      </x:c>
      <x:c r="O287" s="22" t="n">
        <x:v>1003</x:v>
      </x:c>
      <x:c r="P287" s="22" t="n">
        <x:v>7</x:v>
      </x:c>
      <x:c r="Q287" s="22" t="str"/>
      <x:c r="R287" s="22" t="n">
        <x:f>COUNTIF($M$6:$M$1177,M287)</x:f>
        <x:v>1</x:v>
      </x:c>
      <x:c r="S287" s="22" t="str">
        <x:v>Other / utility</x:v>
      </x:c>
      <x:c r="T287" s="22" t="str">
        <x:v>Not established</x:v>
      </x:c>
    </x:row>
    <x:row r="288" ht="48" customHeight="1">
      <x:c r="A288" s="22" t="n">
        <x:v>283</x:v>
      </x:c>
      <x:c r="B288" s="22" t="str">
        <x:v>Cisco Talos Intelligence Group</x:v>
      </x:c>
      <x:c r="C288" s="31" t="str">
        <x:v>U</x:v>
      </x:c>
      <x:c r="D288" s="22" t="str">
        <x:v>Unassessed</x:v>
      </x:c>
      <x:c r="E288" s="22" t="str">
        <x:v>THREAT INTEL</x:v>
      </x:c>
      <x:c r="F288" s="22" t="str">
        <x:v>Technical security observations</x:v>
      </x:c>
      <x:c r="G288" s="22" t="str">
        <x:v>Check the underlying observation and date. A security label is not a finding about a human.</x:v>
      </x:c>
      <x:c r="H288" s="22" t="str">
        <x:v>Verify publisher, source and current function before reliance</x:v>
      </x:c>
      <x:c r="I288" s="22" t="str">
        <x:v>Not checked</x:v>
      </x:c>
      <x:c r="J288" s="22" t="str">
        <x:v>Saved bookmark metadata only</x:v>
      </x:c>
      <x:c r="K288" s="22" t="str"/>
      <x:c r="L288" s="24" t="str"/>
      <x:c r="M288" s="24" t="str">
        <x:v>https://talosintelligence.com/</x:v>
      </x:c>
      <x:c r="N288" s="22" t="str">
        <x:v>268636808</x:v>
      </x:c>
      <x:c r="O288" s="22" t="n">
        <x:v>1003</x:v>
      </x:c>
      <x:c r="P288" s="22" t="n">
        <x:v>8</x:v>
      </x:c>
      <x:c r="Q288" s="22" t="str"/>
      <x:c r="R288" s="22" t="n">
        <x:f>COUNTIF($M$6:$M$1177,M288)</x:f>
        <x:v>1</x:v>
      </x:c>
      <x:c r="S288" s="22" t="str">
        <x:v>Other / utility</x:v>
      </x:c>
      <x:c r="T288" s="22" t="str">
        <x:v>Not established</x:v>
      </x:c>
    </x:row>
    <x:row r="289" ht="48" customHeight="1">
      <x:c r="A289" s="22" t="n">
        <x:v>284</x:v>
      </x:c>
      <x:c r="B289" s="22" t="str">
        <x:v>Fortinet Threat Map</x:v>
      </x:c>
      <x:c r="C289" s="31" t="str">
        <x:v>U</x:v>
      </x:c>
      <x:c r="D289" s="22" t="str">
        <x:v>Unassessed</x:v>
      </x:c>
      <x:c r="E289" s="22" t="str">
        <x:v>THREAT INTEL</x:v>
      </x:c>
      <x:c r="F289" s="22" t="str">
        <x:v>Technical security observations</x:v>
      </x:c>
      <x:c r="G289" s="22" t="str">
        <x:v>Check the underlying observation and date. A security label is not a finding about a human.</x:v>
      </x:c>
      <x:c r="H289" s="22" t="str">
        <x:v>Verify publisher, source and current function before reliance</x:v>
      </x:c>
      <x:c r="I289" s="22" t="str">
        <x:v>Not checked</x:v>
      </x:c>
      <x:c r="J289" s="22" t="str">
        <x:v>Saved bookmark metadata only</x:v>
      </x:c>
      <x:c r="K289" s="22" t="str"/>
      <x:c r="L289" s="24" t="str"/>
      <x:c r="M289" s="24" t="str">
        <x:v>https://threatmap.fortiguard.com/</x:v>
      </x:c>
      <x:c r="N289" s="22" t="str">
        <x:v>287000290</x:v>
      </x:c>
      <x:c r="O289" s="22" t="n">
        <x:v>1003</x:v>
      </x:c>
      <x:c r="P289" s="22" t="n">
        <x:v>9</x:v>
      </x:c>
      <x:c r="Q289" s="22" t="str"/>
      <x:c r="R289" s="22" t="n">
        <x:f>COUNTIF($M$6:$M$1177,M289)</x:f>
        <x:v>1</x:v>
      </x:c>
      <x:c r="S289" s="22" t="str">
        <x:v>Other / utility</x:v>
      </x:c>
      <x:c r="T289" s="22" t="str">
        <x:v>Not established</x:v>
      </x:c>
    </x:row>
    <x:row r="290" ht="48" customHeight="1">
      <x:c r="A290" s="22" t="n">
        <x:v>285</x:v>
      </x:c>
      <x:c r="B290" s="22" t="str">
        <x:v>FortiGuard</x:v>
      </x:c>
      <x:c r="C290" s="31" t="str">
        <x:v>U</x:v>
      </x:c>
      <x:c r="D290" s="22" t="str">
        <x:v>Unassessed</x:v>
      </x:c>
      <x:c r="E290" s="22" t="str">
        <x:v>THREAT INTEL</x:v>
      </x:c>
      <x:c r="F290" s="22" t="str">
        <x:v>Technical security observations</x:v>
      </x:c>
      <x:c r="G290" s="22" t="str">
        <x:v>Check the underlying observation and date. A security label is not a finding about a human.</x:v>
      </x:c>
      <x:c r="H290" s="22" t="str">
        <x:v>Verify publisher, source and current function before reliance</x:v>
      </x:c>
      <x:c r="I290" s="22" t="str">
        <x:v>Not checked</x:v>
      </x:c>
      <x:c r="J290" s="22" t="str">
        <x:v>Saved bookmark metadata only</x:v>
      </x:c>
      <x:c r="K290" s="22" t="str"/>
      <x:c r="L290" s="24" t="str"/>
      <x:c r="M290" s="24" t="str">
        <x:v>http://www.fortiguard.com/</x:v>
      </x:c>
      <x:c r="N290" s="22" t="str">
        <x:v>268636811</x:v>
      </x:c>
      <x:c r="O290" s="22" t="n">
        <x:v>1003</x:v>
      </x:c>
      <x:c r="P290" s="22" t="n">
        <x:v>10</x:v>
      </x:c>
      <x:c r="Q290" s="22" t="str"/>
      <x:c r="R290" s="22" t="n">
        <x:f>COUNTIF($M$6:$M$1177,M290)</x:f>
        <x:v>1</x:v>
      </x:c>
      <x:c r="S290" s="22" t="str">
        <x:v>Other / utility</x:v>
      </x:c>
      <x:c r="T290" s="22" t="str">
        <x:v>Not established</x:v>
      </x:c>
    </x:row>
    <x:row r="291" ht="48" customHeight="1">
      <x:c r="A291" s="22" t="n">
        <x:v>286</x:v>
      </x:c>
      <x:c r="B291" s="22" t="str">
        <x:v>ThreatMiner</x:v>
      </x:c>
      <x:c r="C291" s="31" t="str">
        <x:v>U</x:v>
      </x:c>
      <x:c r="D291" s="22" t="str">
        <x:v>Unassessed</x:v>
      </x:c>
      <x:c r="E291" s="22" t="str">
        <x:v>THREAT INTEL</x:v>
      </x:c>
      <x:c r="F291" s="22" t="str">
        <x:v>Technical security observations</x:v>
      </x:c>
      <x:c r="G291" s="22" t="str">
        <x:v>Check the underlying observation and date. A security label is not a finding about a human.</x:v>
      </x:c>
      <x:c r="H291" s="22" t="str">
        <x:v>Verify publisher, source and current function before reliance</x:v>
      </x:c>
      <x:c r="I291" s="22" t="str">
        <x:v>Not checked</x:v>
      </x:c>
      <x:c r="J291" s="22" t="str">
        <x:v>Saved bookmark metadata only</x:v>
      </x:c>
      <x:c r="K291" s="22" t="str"/>
      <x:c r="L291" s="24" t="str"/>
      <x:c r="M291" s="24" t="str">
        <x:v>https://www.threatminer.org/</x:v>
      </x:c>
      <x:c r="N291" s="22" t="str">
        <x:v>268636857</x:v>
      </x:c>
      <x:c r="O291" s="22" t="n">
        <x:v>1003</x:v>
      </x:c>
      <x:c r="P291" s="22" t="n">
        <x:v>11</x:v>
      </x:c>
      <x:c r="Q291" s="22" t="str"/>
      <x:c r="R291" s="22" t="n">
        <x:f>COUNTIF($M$6:$M$1177,M291)</x:f>
        <x:v>1</x:v>
      </x:c>
      <x:c r="S291" s="22" t="str">
        <x:v>Other / utility</x:v>
      </x:c>
      <x:c r="T291" s="22" t="str">
        <x:v>Not established</x:v>
      </x:c>
    </x:row>
    <x:row r="292" ht="48" customHeight="1">
      <x:c r="A292" s="22" t="n">
        <x:v>287</x:v>
      </x:c>
      <x:c r="B292" s="22" t="str">
        <x:v>cymon</x:v>
      </x:c>
      <x:c r="C292" s="31" t="str">
        <x:v>U</x:v>
      </x:c>
      <x:c r="D292" s="22" t="str">
        <x:v>Unassessed</x:v>
      </x:c>
      <x:c r="E292" s="22" t="str">
        <x:v>THREAT INTEL</x:v>
      </x:c>
      <x:c r="F292" s="22" t="str">
        <x:v>Technical security observations</x:v>
      </x:c>
      <x:c r="G292" s="22" t="str">
        <x:v>Check the underlying observation and date. A security label is not a finding about a human.</x:v>
      </x:c>
      <x:c r="H292" s="22" t="str">
        <x:v>Verify publisher, source and current function before reliance</x:v>
      </x:c>
      <x:c r="I292" s="22" t="str">
        <x:v>Not checked</x:v>
      </x:c>
      <x:c r="J292" s="22" t="str">
        <x:v>Saved bookmark metadata only</x:v>
      </x:c>
      <x:c r="K292" s="22" t="str"/>
      <x:c r="L292" s="24" t="str"/>
      <x:c r="M292" s="24" t="str">
        <x:v>https://cymon.io/</x:v>
      </x:c>
      <x:c r="N292" s="22" t="str">
        <x:v>268636877</x:v>
      </x:c>
      <x:c r="O292" s="22" t="n">
        <x:v>1003</x:v>
      </x:c>
      <x:c r="P292" s="22" t="n">
        <x:v>12</x:v>
      </x:c>
      <x:c r="Q292" s="22" t="str"/>
      <x:c r="R292" s="22" t="n">
        <x:f>COUNTIF($M$6:$M$1177,M292)</x:f>
        <x:v>1</x:v>
      </x:c>
      <x:c r="S292" s="22" t="str">
        <x:v>Other / utility</x:v>
      </x:c>
      <x:c r="T292" s="22" t="str">
        <x:v>Not established</x:v>
      </x:c>
    </x:row>
    <x:row r="293" ht="48" customHeight="1">
      <x:c r="A293" s="22" t="n">
        <x:v>288</x:v>
      </x:c>
      <x:c r="B293" s="22" t="str">
        <x:v>intelowlproject/IntelOwl</x:v>
      </x:c>
      <x:c r="C293" s="31" t="str">
        <x:v>U</x:v>
      </x:c>
      <x:c r="D293" s="22" t="str">
        <x:v>Unassessed</x:v>
      </x:c>
      <x:c r="E293" s="22" t="str">
        <x:v>THREAT INTEL</x:v>
      </x:c>
      <x:c r="F293" s="22" t="str">
        <x:v>Technical security observations</x:v>
      </x:c>
      <x:c r="G293" s="22" t="str">
        <x:v>Check the underlying observation and date. A security label is not a finding about a human.</x:v>
      </x:c>
      <x:c r="H293" s="22" t="str">
        <x:v>Verify publisher, source and current function before reliance</x:v>
      </x:c>
      <x:c r="I293" s="22" t="str">
        <x:v>Not checked</x:v>
      </x:c>
      <x:c r="J293" s="22" t="str">
        <x:v>Saved bookmark metadata only</x:v>
      </x:c>
      <x:c r="K293" s="22" t="str"/>
      <x:c r="L293" s="24" t="str"/>
      <x:c r="M293" s="24" t="str">
        <x:v>https://github.com/intelowlproject/IntelOwl</x:v>
      </x:c>
      <x:c r="N293" s="22" t="str">
        <x:v>268636871</x:v>
      </x:c>
      <x:c r="O293" s="22" t="n">
        <x:v>1003</x:v>
      </x:c>
      <x:c r="P293" s="22" t="n">
        <x:v>13</x:v>
      </x:c>
      <x:c r="Q293" s="22" t="str"/>
      <x:c r="R293" s="22" t="n">
        <x:f>COUNTIF($M$6:$M$1177,M293)</x:f>
        <x:v>1</x:v>
      </x:c>
      <x:c r="S293" s="22" t="str">
        <x:v>Other / utility</x:v>
      </x:c>
      <x:c r="T293" s="22" t="str">
        <x:v>Not established</x:v>
      </x:c>
    </x:row>
    <x:row r="294" ht="48" customHeight="1">
      <x:c r="A294" s="22" t="n">
        <x:v>289</x:v>
      </x:c>
      <x:c r="B294" s="22" t="str">
        <x:v>Visualizing Global Internet Performance</x:v>
      </x:c>
      <x:c r="C294" s="31" t="str">
        <x:v>U</x:v>
      </x:c>
      <x:c r="D294" s="22" t="str">
        <x:v>Unassessed</x:v>
      </x:c>
      <x:c r="E294" s="22" t="str">
        <x:v>THREAT INTEL</x:v>
      </x:c>
      <x:c r="F294" s="22" t="str">
        <x:v>Technical security observations</x:v>
      </x:c>
      <x:c r="G294" s="22" t="str">
        <x:v>Check the underlying observation and date. A security label is not a finding about a human.</x:v>
      </x:c>
      <x:c r="H294" s="22" t="str">
        <x:v>Verify publisher, source and current function before reliance</x:v>
      </x:c>
      <x:c r="I294" s="22" t="str">
        <x:v>Not checked</x:v>
      </x:c>
      <x:c r="J294" s="22" t="str">
        <x:v>Saved bookmark metadata only</x:v>
      </x:c>
      <x:c r="K294" s="22" t="str"/>
      <x:c r="L294" s="24" t="str"/>
      <x:c r="M294" s="24" t="str">
        <x:v>https://www.akamai.com/us/en/solutions/intelligent-platform/visualizing-akamai/real-time-web-monitor.jsp</x:v>
      </x:c>
      <x:c r="N294" s="22" t="str">
        <x:v>287000257</x:v>
      </x:c>
      <x:c r="O294" s="22" t="n">
        <x:v>1003</x:v>
      </x:c>
      <x:c r="P294" s="22" t="n">
        <x:v>14</x:v>
      </x:c>
      <x:c r="Q294" s="22" t="str"/>
      <x:c r="R294" s="22" t="n">
        <x:f>COUNTIF($M$6:$M$1177,M294)</x:f>
        <x:v>1</x:v>
      </x:c>
      <x:c r="S294" s="22" t="str">
        <x:v>Other / utility</x:v>
      </x:c>
      <x:c r="T294" s="22" t="str">
        <x:v>Not established</x:v>
      </x:c>
    </x:row>
    <x:row r="295" ht="48" customHeight="1">
      <x:c r="A295" s="22" t="n">
        <x:v>290</x:v>
      </x:c>
      <x:c r="B295" s="22" t="str">
        <x:v>THREAT MAP by LookingGlass</x:v>
      </x:c>
      <x:c r="C295" s="31" t="str">
        <x:v>U</x:v>
      </x:c>
      <x:c r="D295" s="22" t="str">
        <x:v>Unassessed</x:v>
      </x:c>
      <x:c r="E295" s="22" t="str">
        <x:v>THREAT INTEL</x:v>
      </x:c>
      <x:c r="F295" s="22" t="str">
        <x:v>Technical security observations</x:v>
      </x:c>
      <x:c r="G295" s="22" t="str">
        <x:v>Check the underlying observation and date. A security label is not a finding about a human.</x:v>
      </x:c>
      <x:c r="H295" s="22" t="str">
        <x:v>Verify publisher, source and current function before reliance</x:v>
      </x:c>
      <x:c r="I295" s="22" t="str">
        <x:v>Not checked</x:v>
      </x:c>
      <x:c r="J295" s="22" t="str">
        <x:v>Saved bookmark metadata only</x:v>
      </x:c>
      <x:c r="K295" s="22" t="str"/>
      <x:c r="L295" s="24" t="str"/>
      <x:c r="M295" s="24" t="str">
        <x:v>https://map.lookingglasscyber.com/</x:v>
      </x:c>
      <x:c r="N295" s="22" t="str">
        <x:v>287000296</x:v>
      </x:c>
      <x:c r="O295" s="22" t="n">
        <x:v>1003</x:v>
      </x:c>
      <x:c r="P295" s="22" t="n">
        <x:v>15</x:v>
      </x:c>
      <x:c r="Q295" s="22" t="str"/>
      <x:c r="R295" s="22" t="n">
        <x:f>COUNTIF($M$6:$M$1177,M295)</x:f>
        <x:v>1</x:v>
      </x:c>
      <x:c r="S295" s="22" t="str">
        <x:v>Other / utility</x:v>
      </x:c>
      <x:c r="T295" s="22" t="str">
        <x:v>Not established</x:v>
      </x:c>
    </x:row>
    <x:row r="296" ht="48" customHeight="1">
      <x:c r="A296" s="22" t="n">
        <x:v>291</x:v>
      </x:c>
      <x:c r="B296" s="22" t="str">
        <x:v>NETSCOUT Cyber Threat Horizon</x:v>
      </x:c>
      <x:c r="C296" s="31" t="str">
        <x:v>U</x:v>
      </x:c>
      <x:c r="D296" s="22" t="str">
        <x:v>Unassessed</x:v>
      </x:c>
      <x:c r="E296" s="22" t="str">
        <x:v>THREAT INTEL</x:v>
      </x:c>
      <x:c r="F296" s="22" t="str">
        <x:v>Technical security observations</x:v>
      </x:c>
      <x:c r="G296" s="22" t="str">
        <x:v>Check the underlying observation and date. A security label is not a finding about a human.</x:v>
      </x:c>
      <x:c r="H296" s="22" t="str">
        <x:v>Verify publisher, source and current function before reliance</x:v>
      </x:c>
      <x:c r="I296" s="22" t="str">
        <x:v>Not checked</x:v>
      </x:c>
      <x:c r="J296" s="22" t="str">
        <x:v>Saved bookmark metadata only</x:v>
      </x:c>
      <x:c r="K296" s="22" t="str"/>
      <x:c r="L296" s="24" t="str"/>
      <x:c r="M296" s="24" t="str">
        <x:v>https://horizon.netscout.com/</x:v>
      </x:c>
      <x:c r="N296" s="22" t="str">
        <x:v>287000323</x:v>
      </x:c>
      <x:c r="O296" s="22" t="n">
        <x:v>1003</x:v>
      </x:c>
      <x:c r="P296" s="22" t="n">
        <x:v>16</x:v>
      </x:c>
      <x:c r="Q296" s="22" t="str"/>
      <x:c r="R296" s="22" t="n">
        <x:f>COUNTIF($M$6:$M$1177,M296)</x:f>
        <x:v>1</x:v>
      </x:c>
      <x:c r="S296" s="22" t="str">
        <x:v>Other / utility</x:v>
      </x:c>
      <x:c r="T296" s="22" t="str">
        <x:v>Not established</x:v>
      </x:c>
    </x:row>
    <x:row r="297" ht="48" customHeight="1">
      <x:c r="A297" s="22" t="n">
        <x:v>292</x:v>
      </x:c>
      <x:c r="B297" s="22" t="str">
        <x:v>APTnotes</x:v>
      </x:c>
      <x:c r="C297" s="31" t="str">
        <x:v>U</x:v>
      </x:c>
      <x:c r="D297" s="22" t="str">
        <x:v>Unassessed</x:v>
      </x:c>
      <x:c r="E297" s="22" t="str">
        <x:v>THREAT INTEL</x:v>
      </x:c>
      <x:c r="F297" s="22" t="str">
        <x:v>Technical security observations</x:v>
      </x:c>
      <x:c r="G297" s="22" t="str">
        <x:v>Check the underlying observation and date. A security label is not a finding about a human.</x:v>
      </x:c>
      <x:c r="H297" s="22" t="str">
        <x:v>Verify publisher, source and current function before reliance</x:v>
      </x:c>
      <x:c r="I297" s="22" t="str">
        <x:v>Not checked</x:v>
      </x:c>
      <x:c r="J297" s="22" t="str">
        <x:v>Saved bookmark metadata only</x:v>
      </x:c>
      <x:c r="K297" s="22" t="str"/>
      <x:c r="L297" s="24" t="str"/>
      <x:c r="M297" s="24" t="str">
        <x:v>https://github.com/aptnotes/data</x:v>
      </x:c>
      <x:c r="N297" s="22" t="str">
        <x:v>286994569</x:v>
      </x:c>
      <x:c r="O297" s="22" t="n">
        <x:v>1003</x:v>
      </x:c>
      <x:c r="P297" s="22" t="n">
        <x:v>17</x:v>
      </x:c>
      <x:c r="Q297" s="22" t="str"/>
      <x:c r="R297" s="22" t="n">
        <x:f>COUNTIF($M$6:$M$1177,M297)</x:f>
        <x:v>2</x:v>
      </x:c>
      <x:c r="S297" s="22" t="str">
        <x:v>Other / utility</x:v>
      </x:c>
      <x:c r="T297" s="22" t="str">
        <x:v>Not established</x:v>
      </x:c>
    </x:row>
    <x:row r="298" ht="48" customHeight="1">
      <x:c r="A298" s="22" t="n">
        <x:v>293</x:v>
      </x:c>
      <x:c r="B298" s="22" t="str">
        <x:v>IntelTechniques OSINT</x:v>
      </x:c>
      <x:c r="C298" s="39" t="str">
        <x:v>C</x:v>
      </x:c>
      <x:c r="D298" s="22" t="str">
        <x:v>Documented</x:v>
      </x:c>
      <x:c r="E298" s="22" t="str">
        <x:v>UNIFIED SEARCH</x:v>
      </x:c>
      <x:c r="F298" s="22" t="str">
        <x:v>Search launcher / investigation utilities</x:v>
      </x:c>
      <x:c r="G298" s="22" t="str">
        <x:v>The tools page explicitly retains some nonfunctional tools. Its update date does not validate every module or external result.</x:v>
      </x:c>
      <x:c r="H298" s="22" t="str">
        <x:v>Corroborate before attribution</x:v>
      </x:c>
      <x:c r="I298" s="22" t="str">
        <x:v>Tools page readable; individual modules not run</x:v>
      </x:c>
      <x:c r="J298" s="22" t="str">
        <x:v>Provider documentation</x:v>
      </x:c>
      <x:c r="K298" s="22" t="str">
        <x:v>S055</x:v>
      </x:c>
      <x:c r="L298" s="24" t="str">
        <x:v>https://inteltechniques.com/tools/</x:v>
      </x:c>
      <x:c r="M298" s="24" t="str">
        <x:v>https://inteltechniques.com/tools/</x:v>
      </x:c>
      <x:c r="N298" s="22" t="str">
        <x:v>314726027</x:v>
      </x:c>
      <x:c r="O298" s="22" t="n">
        <x:v>1003</x:v>
      </x:c>
      <x:c r="P298" s="22" t="n">
        <x:v>1</x:v>
      </x:c>
      <x:c r="Q298" s="22" t="str">
        <x:v>2026-09-15</x:v>
      </x:c>
      <x:c r="R298" s="22" t="n">
        <x:f>COUNTIF($M$6:$M$1177,M298)</x:f>
        <x:v>1</x:v>
      </x:c>
      <x:c r="S298" s="22" t="str">
        <x:v>Contacts / records</x:v>
      </x:c>
      <x:c r="T298" s="22" t="str">
        <x:v>Scoped desk assessment</x:v>
      </x:c>
    </x:row>
    <x:row r="299" ht="54" customHeight="1">
      <x:c r="A299" s="22" t="n">
        <x:v>294</x:v>
      </x:c>
      <x:c r="B299" s="22" t="str">
        <x:v>SynapsInt</x:v>
      </x:c>
      <x:c r="C299" s="39" t="str">
        <x:v>C</x:v>
      </x:c>
      <x:c r="D299" s="22" t="str">
        <x:v>Documented</x:v>
      </x:c>
      <x:c r="E299" s="22" t="str">
        <x:v>UNIFIED SEARCH</x:v>
      </x:c>
      <x:c r="F299" s="22" t="str">
        <x:v>Multi-field discovery search</x:v>
      </x:c>
      <x:c r="G299" s="22" t="str">
        <x:v>Search interface for several identifier types. No independently tested matching accuracy or complete data provenance established in this review.</x:v>
      </x:c>
      <x:c r="H299" s="22" t="str">
        <x:v>Corroborate before attribution</x:v>
      </x:c>
      <x:c r="I299" s="22" t="str">
        <x:v>Content readable; lookup not tested</x:v>
      </x:c>
      <x:c r="J299" s="22" t="str">
        <x:v>Provider landing page</x:v>
      </x:c>
      <x:c r="K299" s="22" t="str">
        <x:v>S056</x:v>
      </x:c>
      <x:c r="L299" s="24" t="str">
        <x:v>https://synapsint.com/</x:v>
      </x:c>
      <x:c r="M299" s="24" t="str">
        <x:v>https://synapsint.com/</x:v>
      </x:c>
      <x:c r="N299" s="22" t="str">
        <x:v>268507161</x:v>
      </x:c>
      <x:c r="O299" s="22" t="n">
        <x:v>1003</x:v>
      </x:c>
      <x:c r="P299" s="22" t="n">
        <x:v>2</x:v>
      </x:c>
      <x:c r="Q299" s="22" t="str">
        <x:v>2026-09-15</x:v>
      </x:c>
      <x:c r="R299" s="22" t="n">
        <x:f>COUNTIF($M$6:$M$1177,M299)</x:f>
        <x:v>1</x:v>
      </x:c>
      <x:c r="S299" s="22" t="str">
        <x:v>Contacts / records</x:v>
      </x:c>
      <x:c r="T299" s="22" t="str">
        <x:v>Scoped desk assessment</x:v>
      </x:c>
    </x:row>
    <x:row r="300" ht="48" customHeight="1">
      <x:c r="A300" s="22" t="n">
        <x:v>295</x:v>
      </x:c>
      <x:c r="B300" s="22" t="str">
        <x:v>InfoTracer</x:v>
      </x:c>
      <x:c r="C300" s="31" t="str">
        <x:v>U</x:v>
      </x:c>
      <x:c r="D300" s="22" t="str">
        <x:v>Access unresolved</x:v>
      </x:c>
      <x:c r="E300" s="22" t="str">
        <x:v>UNIFIED SEARCH</x:v>
      </x:c>
      <x:c r="F300" s="22" t="str">
        <x:v>Multi-source discovery</x:v>
      </x:c>
      <x:c r="G300" s="22" t="str">
        <x:v>Several returned websites may share one underlying source. Verify the original record.</x:v>
      </x:c>
      <x:c r="H300" s="22" t="str">
        <x:v>Check manually; retrieval failure is not evidence the service is unreliable</x:v>
      </x:c>
      <x:c r="I300" s="22" t="str">
        <x:v>Unresolved reader access; website status unknown</x:v>
      </x:c>
      <x:c r="J300" s="22" t="str">
        <x:v>Fetch attempted; no usable substantive content</x:v>
      </x:c>
      <x:c r="K300" s="22" t="str"/>
      <x:c r="L300" s="24" t="str"/>
      <x:c r="M300" s="24" t="str">
        <x:v>https://infotracer.com/</x:v>
      </x:c>
      <x:c r="N300" s="22" t="str">
        <x:v>290381874</x:v>
      </x:c>
      <x:c r="O300" s="22" t="n">
        <x:v>1003</x:v>
      </x:c>
      <x:c r="P300" s="22" t="n">
        <x:v>3</x:v>
      </x:c>
      <x:c r="Q300" s="22" t="str">
        <x:v>2026-09-15</x:v>
      </x:c>
      <x:c r="R300" s="22" t="n">
        <x:f>COUNTIF($M$6:$M$1177,M300)</x:f>
        <x:v>1</x:v>
      </x:c>
      <x:c r="S300" s="22" t="str">
        <x:v>Contacts / records</x:v>
      </x:c>
      <x:c r="T300" s="22" t="str">
        <x:v>Not established</x:v>
      </x:c>
    </x:row>
    <x:row r="301" ht="54" customHeight="1">
      <x:c r="A301" s="22" t="n">
        <x:v>296</x:v>
      </x:c>
      <x:c r="B301" s="22" t="str">
        <x:v>MetaDefender</x:v>
      </x:c>
      <x:c r="C301" s="35" t="str">
        <x:v>B</x:v>
      </x:c>
      <x:c r="D301" s="22" t="str">
        <x:v>Documented</x:v>
      </x:c>
      <x:c r="E301" s="22" t="str">
        <x:v>UNIFIED SEARCH</x:v>
      </x:c>
      <x:c r="F301" s="22" t="str">
        <x:v>File and domain security analysis</x:v>
      </x:c>
      <x:c r="G301" s="22" t="str">
        <x:v>OPSWAT describes malware and threat-intelligence analysis. This is not a people-search database; scanner verdicts are not proof about a person.</x:v>
      </x:c>
      <x:c r="H301" s="22" t="str">
        <x:v>Corroborate before attribution</x:v>
      </x:c>
      <x:c r="I301" s="22" t="str">
        <x:v>Provider documentation readable; old bookmark redirects; nothing submitted</x:v>
      </x:c>
      <x:c r="J301" s="22" t="str">
        <x:v>Provider product documentation</x:v>
      </x:c>
      <x:c r="K301" s="22" t="str">
        <x:v>S094</x:v>
      </x:c>
      <x:c r="L301" s="24" t="str">
        <x:v>https://www.opswat.com/products/metadefender/cloud</x:v>
      </x:c>
      <x:c r="M301" s="24" t="str">
        <x:v>https://metadefender.opswat.com/</x:v>
      </x:c>
      <x:c r="N301" s="22" t="str">
        <x:v>286997900</x:v>
      </x:c>
      <x:c r="O301" s="22" t="n">
        <x:v>1003</x:v>
      </x:c>
      <x:c r="P301" s="22" t="n">
        <x:v>4</x:v>
      </x:c>
      <x:c r="Q301" s="22" t="str">
        <x:v>2026-09-15</x:v>
      </x:c>
      <x:c r="R301" s="22" t="n">
        <x:f>COUNTIF($M$6:$M$1177,M301)</x:f>
        <x:v>1</x:v>
      </x:c>
      <x:c r="S301" s="22" t="str">
        <x:v>Contacts / records</x:v>
      </x:c>
      <x:c r="T301" s="22" t="str">
        <x:v>Scoped desk assessment</x:v>
      </x:c>
    </x:row>
    <x:row r="302" ht="54" customHeight="1">
      <x:c r="A302" s="22" t="n">
        <x:v>297</x:v>
      </x:c>
      <x:c r="B302" s="22" t="str">
        <x:v>Username Search</x:v>
      </x:c>
      <x:c r="C302" s="39" t="str">
        <x:v>C</x:v>
      </x:c>
      <x:c r="D302" s="22" t="str">
        <x:v>Documented</x:v>
      </x:c>
      <x:c r="E302" s="22" t="str">
        <x:v>UNIFIED SEARCH</x:v>
      </x:c>
      <x:c r="F302" s="22" t="str">
        <x:v>Username-profile discovery</x:v>
      </x:c>
      <x:c r="G302" s="22" t="str">
        <x:v>The .org service describes username-only search; email search is directed elsewhere. Candidate profiles are not verified personal associations.</x:v>
      </x:c>
      <x:c r="H302" s="22" t="str">
        <x:v>Corroborate before attribution</x:v>
      </x:c>
      <x:c r="I302" s="22" t="str">
        <x:v>Content readable; lookup not tested</x:v>
      </x:c>
      <x:c r="J302" s="22" t="str">
        <x:v>Provider landing page</x:v>
      </x:c>
      <x:c r="K302" s="22" t="str">
        <x:v>S057</x:v>
      </x:c>
      <x:c r="L302" s="24" t="str">
        <x:v>https://usersearch.org/</x:v>
      </x:c>
      <x:c r="M302" s="24" t="str">
        <x:v>https://usersearch.org/</x:v>
      </x:c>
      <x:c r="N302" s="22" t="str">
        <x:v>268374426</x:v>
      </x:c>
      <x:c r="O302" s="22" t="n">
        <x:v>1003</x:v>
      </x:c>
      <x:c r="P302" s="22" t="n">
        <x:v>5</x:v>
      </x:c>
      <x:c r="Q302" s="22" t="str">
        <x:v>2026-09-15</x:v>
      </x:c>
      <x:c r="R302" s="22" t="n">
        <x:f>COUNTIF($M$6:$M$1177,M302)</x:f>
        <x:v>1</x:v>
      </x:c>
      <x:c r="S302" s="22" t="str">
        <x:v>Contacts / records</x:v>
      </x:c>
      <x:c r="T302" s="22" t="str">
        <x:v>Scoped desk assessment</x:v>
      </x:c>
    </x:row>
    <x:row r="303" ht="48" customHeight="1">
      <x:c r="A303" s="22" t="n">
        <x:v>298</x:v>
      </x:c>
      <x:c r="B303" s="22" t="str">
        <x:v>SpyTox</x:v>
      </x:c>
      <x:c r="C303" s="31" t="str">
        <x:v>U</x:v>
      </x:c>
      <x:c r="D303" s="22" t="str">
        <x:v>Access unresolved</x:v>
      </x:c>
      <x:c r="E303" s="22" t="str">
        <x:v>UNIFIED SEARCH</x:v>
      </x:c>
      <x:c r="F303" s="22" t="str">
        <x:v>Multi-source discovery</x:v>
      </x:c>
      <x:c r="G303" s="22" t="str">
        <x:v>Several returned websites may share one underlying source. Verify the original record.</x:v>
      </x:c>
      <x:c r="H303" s="22" t="str">
        <x:v>Check manually; retrieval failure is not evidence the service is unreliable</x:v>
      </x:c>
      <x:c r="I303" s="22" t="str">
        <x:v>Unresolved reader access; website status unknown</x:v>
      </x:c>
      <x:c r="J303" s="22" t="str">
        <x:v>Fetch attempted; no usable substantive content</x:v>
      </x:c>
      <x:c r="K303" s="22" t="str"/>
      <x:c r="L303" s="24" t="str"/>
      <x:c r="M303" s="24" t="str">
        <x:v>https://www.spytox.com/</x:v>
      </x:c>
      <x:c r="N303" s="22" t="str">
        <x:v>297339909</x:v>
      </x:c>
      <x:c r="O303" s="22" t="n">
        <x:v>1003</x:v>
      </x:c>
      <x:c r="P303" s="22" t="n">
        <x:v>6</x:v>
      </x:c>
      <x:c r="Q303" s="22" t="str">
        <x:v>2026-09-15</x:v>
      </x:c>
      <x:c r="R303" s="22" t="n">
        <x:f>COUNTIF($M$6:$M$1177,M303)</x:f>
        <x:v>1</x:v>
      </x:c>
      <x:c r="S303" s="22" t="str">
        <x:v>Contacts / records</x:v>
      </x:c>
      <x:c r="T303" s="22" t="str">
        <x:v>Not established</x:v>
      </x:c>
    </x:row>
    <x:row r="304" ht="48" customHeight="1">
      <x:c r="A304" s="22" t="n">
        <x:v>299</x:v>
      </x:c>
      <x:c r="B304" s="22" t="str">
        <x:v>Effect Group</x:v>
      </x:c>
      <x:c r="C304" s="39" t="str">
        <x:v>C</x:v>
      </x:c>
      <x:c r="D304" s="22" t="str">
        <x:v>Documented</x:v>
      </x:c>
      <x:c r="E304" s="22" t="str">
        <x:v>UNIFIED SEARCH</x:v>
      </x:c>
      <x:c r="F304" s="22" t="str">
        <x:v>Aggregated relationship leads</x:v>
      </x:c>
      <x:c r="G304" s="22" t="str">
        <x:v>Marketing examples are not evidence of real accuracy. Verify original sources for any returned identity, relative or contact connection.</x:v>
      </x:c>
      <x:c r="H304" s="22" t="str">
        <x:v>Corroborate before attribution</x:v>
      </x:c>
      <x:c r="I304" s="22" t="str">
        <x:v>Content readable; lookup not tested</x:v>
      </x:c>
      <x:c r="J304" s="22" t="str">
        <x:v>Provider landing page</x:v>
      </x:c>
      <x:c r="K304" s="22" t="str">
        <x:v>S058</x:v>
      </x:c>
      <x:c r="L304" s="24" t="str">
        <x:v>https://www.effectgroup.io/</x:v>
      </x:c>
      <x:c r="M304" s="24" t="str">
        <x:v>https://effectgroup.io/</x:v>
      </x:c>
      <x:c r="N304" s="22" t="str">
        <x:v>290063430</x:v>
      </x:c>
      <x:c r="O304" s="22" t="n">
        <x:v>1003</x:v>
      </x:c>
      <x:c r="P304" s="22" t="n">
        <x:v>7</x:v>
      </x:c>
      <x:c r="Q304" s="22" t="str">
        <x:v>2026-09-15</x:v>
      </x:c>
      <x:c r="R304" s="22" t="n">
        <x:f>COUNTIF($M$6:$M$1177,M304)</x:f>
        <x:v>1</x:v>
      </x:c>
      <x:c r="S304" s="22" t="str">
        <x:v>Contacts / records</x:v>
      </x:c>
      <x:c r="T304" s="22" t="str">
        <x:v>Scoped desk assessment</x:v>
      </x:c>
    </x:row>
    <x:row r="305" ht="48" customHeight="1">
      <x:c r="A305" s="22" t="n">
        <x:v>300</x:v>
      </x:c>
      <x:c r="B305" s="22" t="str">
        <x:v>osrframework</x:v>
      </x:c>
      <x:c r="C305" s="39" t="str">
        <x:v>C</x:v>
      </x:c>
      <x:c r="D305" s="22" t="str">
        <x:v>Documented</x:v>
      </x:c>
      <x:c r="E305" s="22" t="str">
        <x:v>UNIFIED SEARCH</x:v>
      </x:c>
      <x:c r="F305" s="22" t="str">
        <x:v>Software-assisted identifier discovery</x:v>
      </x:c>
      <x:c r="G305" s="22" t="str">
        <x:v>The linked PyPI release history stops at November 2021. Package age is a compatibility caution, not proof that every module is broken.</x:v>
      </x:c>
      <x:c r="H305" s="22" t="str">
        <x:v>Corroborate before attribution</x:v>
      </x:c>
      <x:c r="I305" s="22" t="str">
        <x:v>Package page readable; software not installed or run</x:v>
      </x:c>
      <x:c r="J305" s="22" t="str">
        <x:v>Maintainer package metadata</x:v>
      </x:c>
      <x:c r="K305" s="22" t="str">
        <x:v>S059</x:v>
      </x:c>
      <x:c r="L305" s="24" t="str">
        <x:v>https://pypi.org/project/osrframework/</x:v>
      </x:c>
      <x:c r="M305" s="24" t="str">
        <x:v>https://pypi.org/project/osrframework/</x:v>
      </x:c>
      <x:c r="N305" s="22" t="str">
        <x:v>286870545</x:v>
      </x:c>
      <x:c r="O305" s="22" t="n">
        <x:v>1003</x:v>
      </x:c>
      <x:c r="P305" s="22" t="n">
        <x:v>8</x:v>
      </x:c>
      <x:c r="Q305" s="22" t="str">
        <x:v>2026-09-15</x:v>
      </x:c>
      <x:c r="R305" s="22" t="n">
        <x:f>COUNTIF($M$6:$M$1177,M305)</x:f>
        <x:v>1</x:v>
      </x:c>
      <x:c r="S305" s="22" t="str">
        <x:v>Contacts / records</x:v>
      </x:c>
      <x:c r="T305" s="22" t="str">
        <x:v>Scoped desk assessment</x:v>
      </x:c>
    </x:row>
    <x:row r="306" ht="48" customHeight="1">
      <x:c r="A306" s="22" t="n">
        <x:v>301</x:v>
      </x:c>
      <x:c r="B306" s="22" t="str">
        <x:v>Google Custom Search</x:v>
      </x:c>
      <x:c r="C306" s="43" t="str">
        <x:v>C-P</x:v>
      </x:c>
      <x:c r="D306" s="22" t="str">
        <x:v>Provisional</x:v>
      </x:c>
      <x:c r="E306" s="22" t="str">
        <x:v>UNIFIED SEARCH</x:v>
      </x:c>
      <x:c r="F306" s="22" t="str">
        <x:v>Custom-search discovery only</x:v>
      </x:c>
      <x:c r="G306" s="22" t="str">
        <x:v>The saved URL identifies a custom search. This engine's configuration, coverage and query results were not tested.</x:v>
      </x:c>
      <x:c r="H306" s="22" t="str">
        <x:v>Open and verify the original result; do not count the search as corroboration</x:v>
      </x:c>
      <x:c r="I306" s="22" t="str">
        <x:v>Not checked</x:v>
      </x:c>
      <x:c r="J306" s="22" t="str">
        <x:v>Saved bookmark metadata only</x:v>
      </x:c>
      <x:c r="K306" s="22" t="str"/>
      <x:c r="L306" s="24" t="str"/>
      <x:c r="M306" s="24" t="str">
        <x:v>https://cse.google.com/cse?cx=017648920863780530960:lddgpbzqgoi</x:v>
      </x:c>
      <x:c r="N306" s="22" t="str">
        <x:v>290064970</x:v>
      </x:c>
      <x:c r="O306" s="22" t="n">
        <x:v>1003</x:v>
      </x:c>
      <x:c r="P306" s="22" t="n">
        <x:v>9</x:v>
      </x:c>
      <x:c r="Q306" s="22" t="str"/>
      <x:c r="R306" s="22" t="n">
        <x:f>COUNTIF($M$6:$M$1177,M306)</x:f>
        <x:v>1</x:v>
      </x:c>
      <x:c r="S306" s="22" t="str">
        <x:v>Contacts / records</x:v>
      </x:c>
      <x:c r="T306" s="22" t="str">
        <x:v>Low</x:v>
      </x:c>
    </x:row>
    <x:row r="307" ht="48" customHeight="1">
      <x:c r="A307" s="22" t="n">
        <x:v>302</x:v>
      </x:c>
      <x:c r="B307" s="22" t="str">
        <x:v>OSINT Search Engine</x:v>
      </x:c>
      <x:c r="C307" s="43" t="str">
        <x:v>C-P</x:v>
      </x:c>
      <x:c r="D307" s="22" t="str">
        <x:v>Provisional</x:v>
      </x:c>
      <x:c r="E307" s="22" t="str">
        <x:v>UNIFIED SEARCH</x:v>
      </x:c>
      <x:c r="F307" s="22" t="str">
        <x:v>Custom-search discovery only</x:v>
      </x:c>
      <x:c r="G307" s="22" t="str">
        <x:v>The saved URL identifies a custom search. This engine's configuration, coverage and query results were not tested.</x:v>
      </x:c>
      <x:c r="H307" s="22" t="str">
        <x:v>Open and verify the original result; do not count the search as corroboration</x:v>
      </x:c>
      <x:c r="I307" s="22" t="str">
        <x:v>Not checked</x:v>
      </x:c>
      <x:c r="J307" s="22" t="str">
        <x:v>Saved bookmark metadata only</x:v>
      </x:c>
      <x:c r="K307" s="22" t="str"/>
      <x:c r="L307" s="24" t="str"/>
      <x:c r="M307" s="24" t="str">
        <x:v>https://cse.google.com/cse/publicurl?cx=006290531980334157382:qcaf4enph7i</x:v>
      </x:c>
      <x:c r="N307" s="22" t="str">
        <x:v>290065381</x:v>
      </x:c>
      <x:c r="O307" s="22" t="n">
        <x:v>1003</x:v>
      </x:c>
      <x:c r="P307" s="22" t="n">
        <x:v>10</x:v>
      </x:c>
      <x:c r="Q307" s="22" t="str"/>
      <x:c r="R307" s="22" t="n">
        <x:f>COUNTIF($M$6:$M$1177,M307)</x:f>
        <x:v>1</x:v>
      </x:c>
      <x:c r="S307" s="22" t="str">
        <x:v>Contacts / records</x:v>
      </x:c>
      <x:c r="T307" s="22" t="str">
        <x:v>Low</x:v>
      </x:c>
    </x:row>
    <x:row r="308" ht="48" customHeight="1">
      <x:c r="A308" s="22" t="n">
        <x:v>303</x:v>
      </x:c>
      <x:c r="B308" s="22" t="str">
        <x:v>LinkScope</x:v>
      </x:c>
      <x:c r="C308" s="27" t="str">
        <x:v>N/A</x:v>
      </x:c>
      <x:c r="D308" s="22" t="str">
        <x:v>Documented</x:v>
      </x:c>
      <x:c r="E308" s="22" t="str">
        <x:v>UNIFIED SEARCH</x:v>
      </x:c>
      <x:c r="F308" s="22" t="str">
        <x:v>Graph-analysis software</x:v>
      </x:c>
      <x:c r="G308" s="22" t="str">
        <x:v>A graph represents imported or derived relationships; the visualization does not independently validate its edges.</x:v>
      </x:c>
      <x:c r="H308" s="22" t="str">
        <x:v>Attach evidence to each graph edge</x:v>
      </x:c>
      <x:c r="I308" s="22" t="str">
        <x:v>Repository documentation readable; software not run</x:v>
      </x:c>
      <x:c r="J308" s="22" t="str">
        <x:v>Maintainer documentation</x:v>
      </x:c>
      <x:c r="K308" s="22" t="str">
        <x:v>S060</x:v>
      </x:c>
      <x:c r="L308" s="24" t="str">
        <x:v>https://github.com/AccentuSoft/LinkScope_Client</x:v>
      </x:c>
      <x:c r="M308" s="24" t="str">
        <x:v>https://github.com/AccentuSoft/LinkScope_Client</x:v>
      </x:c>
      <x:c r="N308" s="22" t="str">
        <x:v>296690797</x:v>
      </x:c>
      <x:c r="O308" s="22" t="n">
        <x:v>1003</x:v>
      </x:c>
      <x:c r="P308" s="22" t="n">
        <x:v>11</x:v>
      </x:c>
      <x:c r="Q308" s="22" t="str">
        <x:v>2026-09-15</x:v>
      </x:c>
      <x:c r="R308" s="22" t="n">
        <x:f>COUNTIF($M$6:$M$1177,M308)</x:f>
        <x:v>1</x:v>
      </x:c>
      <x:c r="S308" s="22" t="str">
        <x:v>Contacts / records</x:v>
      </x:c>
      <x:c r="T308" s="22" t="str">
        <x:v>Scoped desk assessment</x:v>
      </x:c>
    </x:row>
    <x:row r="309" ht="48" customHeight="1">
      <x:c r="A309" s="22" t="n">
        <x:v>304</x:v>
      </x:c>
      <x:c r="B309" s="22" t="str">
        <x:v>IOA</x:v>
      </x:c>
      <x:c r="C309" s="31" t="str">
        <x:v>U</x:v>
      </x:c>
      <x:c r="D309" s="22" t="str">
        <x:v>Access unresolved</x:v>
      </x:c>
      <x:c r="E309" s="22" t="str">
        <x:v>UNIFIED SEARCH</x:v>
      </x:c>
      <x:c r="F309" s="22" t="str">
        <x:v>Multi-source discovery</x:v>
      </x:c>
      <x:c r="G309" s="22" t="str">
        <x:v>Several returned websites may share one underlying source. Verify the original record.</x:v>
      </x:c>
      <x:c r="H309" s="22" t="str">
        <x:v>Check manually; retrieval failure is not evidence the service is unreliable</x:v>
      </x:c>
      <x:c r="I309" s="22" t="str">
        <x:v>Unresolved reader access; website status unknown</x:v>
      </x:c>
      <x:c r="J309" s="22" t="str">
        <x:v>Fetch attempted; no usable substantive content</x:v>
      </x:c>
      <x:c r="K309" s="22" t="str"/>
      <x:c r="L309" s="24" t="str"/>
      <x:c r="M309" s="24" t="str">
        <x:v>https://www.io-archive.org/</x:v>
      </x:c>
      <x:c r="N309" s="22" t="str">
        <x:v>297339786</x:v>
      </x:c>
      <x:c r="O309" s="22" t="n">
        <x:v>1004</x:v>
      </x:c>
      <x:c r="P309" s="22" t="n">
        <x:v>12</x:v>
      </x:c>
      <x:c r="Q309" s="22" t="str">
        <x:v>2026-09-15</x:v>
      </x:c>
      <x:c r="R309" s="22" t="n">
        <x:f>COUNTIF($M$6:$M$1177,M309)</x:f>
        <x:v>1</x:v>
      </x:c>
      <x:c r="S309" s="22" t="str">
        <x:v>Contacts / records</x:v>
      </x:c>
      <x:c r="T309" s="22" t="str">
        <x:v>Not established</x:v>
      </x:c>
    </x:row>
    <x:row r="310" ht="54" customHeight="1">
      <x:c r="A310" s="22" t="n">
        <x:v>305</x:v>
      </x:c>
      <x:c r="B310" s="22" t="str">
        <x:v>Criminal IP</x:v>
      </x:c>
      <x:c r="C310" s="35" t="str">
        <x:v>B</x:v>
      </x:c>
      <x:c r="D310" s="22" t="str">
        <x:v>Documented</x:v>
      </x:c>
      <x:c r="E310" s="22" t="str">
        <x:v>UNIFIED SEARCH</x:v>
      </x:c>
      <x:c r="F310" s="22" t="str">
        <x:v>IP/domain threat-intelligence observations</x:v>
      </x:c>
      <x:c r="G310" s="22" t="str">
        <x:v>Technical security intelligence, not a person's criminal-history service. Preserve the observation date; network association is not human attribution.</x:v>
      </x:c>
      <x:c r="H310" s="22" t="str">
        <x:v>Corroborate before attribution</x:v>
      </x:c>
      <x:c r="I310" s="22" t="str">
        <x:v>Content readable; lookup not tested</x:v>
      </x:c>
      <x:c r="J310" s="22" t="str">
        <x:v>Provider product documentation</x:v>
      </x:c>
      <x:c r="K310" s="22" t="str">
        <x:v>S061</x:v>
      </x:c>
      <x:c r="L310" s="24" t="str">
        <x:v>https://www.criminalip.io/</x:v>
      </x:c>
      <x:c r="M310" s="24" t="str">
        <x:v>https://www.criminalip.io/</x:v>
      </x:c>
      <x:c r="N310" s="22" t="str">
        <x:v>309551357</x:v>
      </x:c>
      <x:c r="O310" s="22" t="n">
        <x:v>1004</x:v>
      </x:c>
      <x:c r="P310" s="22" t="n">
        <x:v>13</x:v>
      </x:c>
      <x:c r="Q310" s="22" t="str">
        <x:v>2026-09-15</x:v>
      </x:c>
      <x:c r="R310" s="22" t="n">
        <x:f>COUNTIF($M$6:$M$1177,M310)</x:f>
        <x:v>1</x:v>
      </x:c>
      <x:c r="S310" s="22" t="str">
        <x:v>Contacts / records</x:v>
      </x:c>
      <x:c r="T310" s="22" t="str">
        <x:v>Scoped desk assessment</x:v>
      </x:c>
    </x:row>
    <x:row r="311" ht="48" customHeight="1">
      <x:c r="A311" s="22" t="n">
        <x:v>306</x:v>
      </x:c>
      <x:c r="B311" s="22" t="str">
        <x:v>IDCrawl</x:v>
      </x:c>
      <x:c r="C311" s="39" t="str">
        <x:v>C</x:v>
      </x:c>
      <x:c r="D311" s="22" t="str">
        <x:v>Documented</x:v>
      </x:c>
      <x:c r="E311" s="22" t="str">
        <x:v>PEOPLE</x:v>
      </x:c>
      <x:c r="F311" s="22" t="str">
        <x:v>Public profile and contact discovery</x:v>
      </x:c>
      <x:c r="G311" s="22" t="str">
        <x:v>Aggregates profiles and public-record leads. Marketing claims were not independently validated; resolve identity at the original page.</x:v>
      </x:c>
      <x:c r="H311" s="22" t="str">
        <x:v>Corroborate before attribution</x:v>
      </x:c>
      <x:c r="I311" s="22" t="str">
        <x:v>Content readable; lookup not tested</x:v>
      </x:c>
      <x:c r="J311" s="22" t="str">
        <x:v>Provider landing page</x:v>
      </x:c>
      <x:c r="K311" s="22" t="str">
        <x:v>S001</x:v>
      </x:c>
      <x:c r="L311" s="24" t="str">
        <x:v>https://www.idcrawl.com/</x:v>
      </x:c>
      <x:c r="M311" s="24" t="str">
        <x:v>https://www.idcrawl.com/</x:v>
      </x:c>
      <x:c r="N311" s="22" t="str">
        <x:v>286823760</x:v>
      </x:c>
      <x:c r="O311" s="22" t="n">
        <x:v>1004</x:v>
      </x:c>
      <x:c r="P311" s="22" t="n">
        <x:v>1</x:v>
      </x:c>
      <x:c r="Q311" s="22" t="str">
        <x:v>2026-09-15</x:v>
      </x:c>
      <x:c r="R311" s="22" t="n">
        <x:f>COUNTIF($M$6:$M$1177,M311)</x:f>
        <x:v>1</x:v>
      </x:c>
      <x:c r="S311" s="22" t="str">
        <x:v>Contacts / records</x:v>
      </x:c>
      <x:c r="T311" s="22" t="str">
        <x:v>Scoped desk assessment</x:v>
      </x:c>
    </x:row>
    <x:row r="312" ht="48" customHeight="1">
      <x:c r="A312" s="22" t="n">
        <x:v>307</x:v>
      </x:c>
      <x:c r="B312" s="22" t="str">
        <x:v>WebMii</x:v>
      </x:c>
      <x:c r="C312" s="39" t="str">
        <x:v>C</x:v>
      </x:c>
      <x:c r="D312" s="22" t="str">
        <x:v>Documented</x:v>
      </x:c>
      <x:c r="E312" s="22" t="str">
        <x:v>PEOPLE</x:v>
      </x:c>
      <x:c r="F312" s="22" t="str">
        <x:v>Public-web name discovery</x:v>
      </x:c>
      <x:c r="G312" s="22" t="str">
        <x:v>Searches public-web information and offers keyword filtering for homonyms; not an identity-verification record.</x:v>
      </x:c>
      <x:c r="H312" s="22" t="str">
        <x:v>Corroborate before attribution</x:v>
      </x:c>
      <x:c r="I312" s="22" t="str">
        <x:v>Content readable; lookup not tested</x:v>
      </x:c>
      <x:c r="J312" s="22" t="str">
        <x:v>Provider landing page</x:v>
      </x:c>
      <x:c r="K312" s="22" t="str">
        <x:v>S002</x:v>
      </x:c>
      <x:c r="L312" s="24" t="str">
        <x:v>https://webmii.com/</x:v>
      </x:c>
      <x:c r="M312" s="24" t="str">
        <x:v>https://webmii.com/</x:v>
      </x:c>
      <x:c r="N312" s="22" t="str">
        <x:v>286686924</x:v>
      </x:c>
      <x:c r="O312" s="22" t="n">
        <x:v>1004</x:v>
      </x:c>
      <x:c r="P312" s="22" t="n">
        <x:v>2</x:v>
      </x:c>
      <x:c r="Q312" s="22" t="str">
        <x:v>2026-09-15</x:v>
      </x:c>
      <x:c r="R312" s="22" t="n">
        <x:f>COUNTIF($M$6:$M$1177,M312)</x:f>
        <x:v>1</x:v>
      </x:c>
      <x:c r="S312" s="22" t="str">
        <x:v>Contacts / records</x:v>
      </x:c>
      <x:c r="T312" s="22" t="str">
        <x:v>Scoped desk assessment</x:v>
      </x:c>
    </x:row>
    <x:row r="313" ht="48" customHeight="1">
      <x:c r="A313" s="22" t="n">
        <x:v>308</x:v>
      </x:c>
      <x:c r="B313" s="22" t="str">
        <x:v>Tools</x:v>
      </x:c>
      <x:c r="C313" s="39" t="str">
        <x:v>C</x:v>
      </x:c>
      <x:c r="D313" s="22" t="str">
        <x:v>Documented</x:v>
      </x:c>
      <x:c r="E313" s="22" t="str">
        <x:v>PEOPLE</x:v>
      </x:c>
      <x:c r="F313" s="22" t="str">
        <x:v>Third-party search launcher</x:v>
      </x:c>
      <x:c r="G313" s="22" t="str">
        <x:v>Routes searches to other services and disclaims their results. Multiple routed results are not automatically independent evidence.</x:v>
      </x:c>
      <x:c r="H313" s="22" t="str">
        <x:v>Corroborate before attribution</x:v>
      </x:c>
      <x:c r="I313" s="22" t="str">
        <x:v>Content readable; lookup not tested</x:v>
      </x:c>
      <x:c r="J313" s="22" t="str">
        <x:v>Provider documentation</x:v>
      </x:c>
      <x:c r="K313" s="22" t="str">
        <x:v>S003</x:v>
      </x:c>
      <x:c r="L313" s="24" t="str">
        <x:v>https://intelx.io/tools</x:v>
      </x:c>
      <x:c r="M313" s="24" t="str">
        <x:v>https://intelx.io/tools?tab=person</x:v>
      </x:c>
      <x:c r="N313" s="22" t="str">
        <x:v>311645321</x:v>
      </x:c>
      <x:c r="O313" s="22" t="n">
        <x:v>1004</x:v>
      </x:c>
      <x:c r="P313" s="22" t="n">
        <x:v>3</x:v>
      </x:c>
      <x:c r="Q313" s="22" t="str">
        <x:v>2026-09-15</x:v>
      </x:c>
      <x:c r="R313" s="22" t="n">
        <x:f>COUNTIF($M$6:$M$1177,M313)</x:f>
        <x:v>1</x:v>
      </x:c>
      <x:c r="S313" s="22" t="str">
        <x:v>Contacts / records</x:v>
      </x:c>
      <x:c r="T313" s="22" t="str">
        <x:v>Scoped desk assessment</x:v>
      </x:c>
    </x:row>
    <x:row r="314" ht="48" customHeight="1">
      <x:c r="A314" s="22" t="n">
        <x:v>309</x:v>
      </x:c>
      <x:c r="B314" s="22" t="str">
        <x:v>TruePeopleSearch</x:v>
      </x:c>
      <x:c r="C314" s="31" t="str">
        <x:v>U</x:v>
      </x:c>
      <x:c r="D314" s="22" t="str">
        <x:v>Access unresolved</x:v>
      </x:c>
      <x:c r="E314" s="22" t="str">
        <x:v>PEOPLE</x:v>
      </x:c>
      <x:c r="F314" s="22" t="str">
        <x:v>Identity / contact / relationship leads</x:v>
      </x:c>
      <x:c r="G314" s="22" t="str">
        <x:v>Do not turn a name, old address or suggested relative into a verified identity or relationship.</x:v>
      </x:c>
      <x:c r="H314" s="22" t="str">
        <x:v>Check manually; retrieval failure is not evidence the service is unreliable</x:v>
      </x:c>
      <x:c r="I314" s="22" t="str">
        <x:v>Unresolved reader access; website status unknown</x:v>
      </x:c>
      <x:c r="J314" s="22" t="str">
        <x:v>Fetch attempted; no usable substantive content</x:v>
      </x:c>
      <x:c r="K314" s="22" t="str"/>
      <x:c r="L314" s="24" t="str"/>
      <x:c r="M314" s="24" t="str">
        <x:v>https://www.truepeoplesearch.com/</x:v>
      </x:c>
      <x:c r="N314" s="22" t="str">
        <x:v>291767500</x:v>
      </x:c>
      <x:c r="O314" s="22" t="n">
        <x:v>1004</x:v>
      </x:c>
      <x:c r="P314" s="22" t="n">
        <x:v>4</x:v>
      </x:c>
      <x:c r="Q314" s="22" t="str">
        <x:v>2026-09-15</x:v>
      </x:c>
      <x:c r="R314" s="22" t="n">
        <x:f>COUNTIF($M$6:$M$1177,M314)</x:f>
        <x:v>1</x:v>
      </x:c>
      <x:c r="S314" s="22" t="str">
        <x:v>Contacts / records</x:v>
      </x:c>
      <x:c r="T314" s="22" t="str">
        <x:v>Not established</x:v>
      </x:c>
    </x:row>
    <x:row r="315" ht="54" customHeight="1">
      <x:c r="A315" s="22" t="n">
        <x:v>310</x:v>
      </x:c>
      <x:c r="B315" s="22" t="str">
        <x:v>Free People Search</x:v>
      </x:c>
      <x:c r="C315" s="39" t="str">
        <x:v>C</x:v>
      </x:c>
      <x:c r="D315" s="22" t="str">
        <x:v>Documented</x:v>
      </x:c>
      <x:c r="E315" s="22" t="str">
        <x:v>PEOPLE</x:v>
      </x:c>
      <x:c r="F315" s="22" t="str">
        <x:v>Aggregated people-search leads</x:v>
      </x:c>
      <x:c r="G315" s="22" t="str">
        <x:v>The page identifies Intelius as provider. Treat relationship/background claims as leads, not original records; listed FCRA uses are prohibited by its terms notice.</x:v>
      </x:c>
      <x:c r="H315" s="22" t="str">
        <x:v>Corroborate before attribution</x:v>
      </x:c>
      <x:c r="I315" s="22" t="str">
        <x:v>Content readable; lookup not tested</x:v>
      </x:c>
      <x:c r="J315" s="22" t="str">
        <x:v>Provider landing page</x:v>
      </x:c>
      <x:c r="K315" s="22" t="str">
        <x:v>S004</x:v>
      </x:c>
      <x:c r="L315" s="24" t="str">
        <x:v>https://www.peoplefinder.com/</x:v>
      </x:c>
      <x:c r="M315" s="24" t="str">
        <x:v>https://www.peoplefinder.com/</x:v>
      </x:c>
      <x:c r="N315" s="22" t="str">
        <x:v>291767493</x:v>
      </x:c>
      <x:c r="O315" s="22" t="n">
        <x:v>1004</x:v>
      </x:c>
      <x:c r="P315" s="22" t="n">
        <x:v>5</x:v>
      </x:c>
      <x:c r="Q315" s="22" t="str">
        <x:v>2026-09-15</x:v>
      </x:c>
      <x:c r="R315" s="22" t="n">
        <x:f>COUNTIF($M$6:$M$1177,M315)</x:f>
        <x:v>1</x:v>
      </x:c>
      <x:c r="S315" s="22" t="str">
        <x:v>Contacts / records</x:v>
      </x:c>
      <x:c r="T315" s="22" t="str">
        <x:v>Scoped desk assessment</x:v>
      </x:c>
    </x:row>
    <x:row r="316" ht="48" customHeight="1">
      <x:c r="A316" s="22" t="n">
        <x:v>311</x:v>
      </x:c>
      <x:c r="B316" s="22" t="str">
        <x:v>fastpeoplesearch</x:v>
      </x:c>
      <x:c r="C316" s="31" t="str">
        <x:v>U</x:v>
      </x:c>
      <x:c r="D316" s="22" t="str">
        <x:v>Access unresolved</x:v>
      </x:c>
      <x:c r="E316" s="22" t="str">
        <x:v>PEOPLE</x:v>
      </x:c>
      <x:c r="F316" s="22" t="str">
        <x:v>Identity / contact / relationship leads</x:v>
      </x:c>
      <x:c r="G316" s="22" t="str">
        <x:v>Do not turn a name, old address or suggested relative into a verified identity or relationship.</x:v>
      </x:c>
      <x:c r="H316" s="22" t="str">
        <x:v>Check manually; retrieval failure is not evidence the service is unreliable</x:v>
      </x:c>
      <x:c r="I316" s="22" t="str">
        <x:v>Unresolved reader access; website status unknown</x:v>
      </x:c>
      <x:c r="J316" s="22" t="str">
        <x:v>Fetch attempted; no usable substantive content</x:v>
      </x:c>
      <x:c r="K316" s="22" t="str"/>
      <x:c r="L316" s="24" t="str"/>
      <x:c r="M316" s="24" t="str">
        <x:v>https://fastpeoplesearch.com/</x:v>
      </x:c>
      <x:c r="N316" s="22" t="str">
        <x:v>297337659</x:v>
      </x:c>
      <x:c r="O316" s="22" t="n">
        <x:v>1004</x:v>
      </x:c>
      <x:c r="P316" s="22" t="n">
        <x:v>6</x:v>
      </x:c>
      <x:c r="Q316" s="22" t="str">
        <x:v>2026-09-15</x:v>
      </x:c>
      <x:c r="R316" s="22" t="n">
        <x:f>COUNTIF($M$6:$M$1177,M316)</x:f>
        <x:v>1</x:v>
      </x:c>
      <x:c r="S316" s="22" t="str">
        <x:v>Contacts / records</x:v>
      </x:c>
      <x:c r="T316" s="22" t="str">
        <x:v>Not established</x:v>
      </x:c>
    </x:row>
    <x:row r="317" ht="48" customHeight="1">
      <x:c r="A317" s="22" t="n">
        <x:v>312</x:v>
      </x:c>
      <x:c r="B317" s="22" t="str">
        <x:v>Yandex People Search</x:v>
      </x:c>
      <x:c r="C317" s="31" t="str">
        <x:v>U</x:v>
      </x:c>
      <x:c r="D317" s="22" t="str">
        <x:v>Access unresolved</x:v>
      </x:c>
      <x:c r="E317" s="22" t="str">
        <x:v>PEOPLE</x:v>
      </x:c>
      <x:c r="F317" s="22" t="str">
        <x:v>Identity / contact / relationship leads</x:v>
      </x:c>
      <x:c r="G317" s="22" t="str">
        <x:v>Do not turn a name, old address or suggested relative into a verified identity or relationship.</x:v>
      </x:c>
      <x:c r="H317" s="22" t="str">
        <x:v>Check manually; retrieval failure is not evidence the service is unreliable</x:v>
      </x:c>
      <x:c r="I317" s="22" t="str">
        <x:v>Unresolved reader access; website status unknown</x:v>
      </x:c>
      <x:c r="J317" s="22" t="str">
        <x:v>Fetch attempted; no usable substantive content</x:v>
      </x:c>
      <x:c r="K317" s="22" t="str"/>
      <x:c r="L317" s="24" t="str"/>
      <x:c r="M317" s="24" t="str">
        <x:v>https://yandex.ru/people</x:v>
      </x:c>
      <x:c r="N317" s="22" t="str">
        <x:v>291767509</x:v>
      </x:c>
      <x:c r="O317" s="22" t="n">
        <x:v>1004</x:v>
      </x:c>
      <x:c r="P317" s="22" t="n">
        <x:v>7</x:v>
      </x:c>
      <x:c r="Q317" s="22" t="str">
        <x:v>2026-09-15</x:v>
      </x:c>
      <x:c r="R317" s="22" t="n">
        <x:f>COUNTIF($M$6:$M$1177,M317)</x:f>
        <x:v>1</x:v>
      </x:c>
      <x:c r="S317" s="22" t="str">
        <x:v>Contacts / records</x:v>
      </x:c>
      <x:c r="T317" s="22" t="str">
        <x:v>Not established</x:v>
      </x:c>
    </x:row>
    <x:row r="318" ht="48" customHeight="1">
      <x:c r="A318" s="22" t="n">
        <x:v>313</x:v>
      </x:c>
      <x:c r="B318" s="22" t="str">
        <x:v>FamilyTree</x:v>
      </x:c>
      <x:c r="C318" s="31" t="str">
        <x:v>U</x:v>
      </x:c>
      <x:c r="D318" s="22" t="str">
        <x:v>Access unresolved</x:v>
      </x:c>
      <x:c r="E318" s="22" t="str">
        <x:v>PEOPLE</x:v>
      </x:c>
      <x:c r="F318" s="22" t="str">
        <x:v>Identity / contact / relationship leads</x:v>
      </x:c>
      <x:c r="G318" s="22" t="str">
        <x:v>Do not turn a name, old address or suggested relative into a verified identity or relationship.</x:v>
      </x:c>
      <x:c r="H318" s="22" t="str">
        <x:v>Check manually; retrieval failure is not evidence the service is unreliable</x:v>
      </x:c>
      <x:c r="I318" s="22" t="str">
        <x:v>Unresolved reader access; website status unknown</x:v>
      </x:c>
      <x:c r="J318" s="22" t="str">
        <x:v>Fetch attempted; no usable substantive content</x:v>
      </x:c>
      <x:c r="K318" s="22" t="str"/>
      <x:c r="L318" s="24" t="str"/>
      <x:c r="M318" s="24" t="str">
        <x:v>https://www.familytreenow.com/</x:v>
      </x:c>
      <x:c r="N318" s="22" t="str">
        <x:v>291767503</x:v>
      </x:c>
      <x:c r="O318" s="22" t="n">
        <x:v>1004</x:v>
      </x:c>
      <x:c r="P318" s="22" t="n">
        <x:v>8</x:v>
      </x:c>
      <x:c r="Q318" s="22" t="str">
        <x:v>2026-09-15</x:v>
      </x:c>
      <x:c r="R318" s="22" t="n">
        <x:f>COUNTIF($M$6:$M$1177,M318)</x:f>
        <x:v>1</x:v>
      </x:c>
      <x:c r="S318" s="22" t="str">
        <x:v>Contacts / records</x:v>
      </x:c>
      <x:c r="T318" s="22" t="str">
        <x:v>Not established</x:v>
      </x:c>
    </x:row>
    <x:row r="319" ht="48" customHeight="1">
      <x:c r="A319" s="22" t="n">
        <x:v>314</x:v>
      </x:c>
      <x:c r="B319" s="22" t="str">
        <x:v>People Search</x:v>
      </x:c>
      <x:c r="C319" s="31" t="str">
        <x:v>U</x:v>
      </x:c>
      <x:c r="D319" s="22" t="str">
        <x:v>Access unresolved</x:v>
      </x:c>
      <x:c r="E319" s="22" t="str">
        <x:v>PEOPLE</x:v>
      </x:c>
      <x:c r="F319" s="22" t="str">
        <x:v>Identity / contact / relationship leads</x:v>
      </x:c>
      <x:c r="G319" s="22" t="str">
        <x:v>Do not turn a name, old address or suggested relative into a verified identity or relationship.</x:v>
      </x:c>
      <x:c r="H319" s="22" t="str">
        <x:v>Check manually; retrieval failure is not evidence the service is unreliable</x:v>
      </x:c>
      <x:c r="I319" s="22" t="str">
        <x:v>Unresolved reader access; website status unknown</x:v>
      </x:c>
      <x:c r="J319" s="22" t="str">
        <x:v>Fetch attempted; no usable substantive content</x:v>
      </x:c>
      <x:c r="K319" s="22" t="str"/>
      <x:c r="L319" s="24" t="str"/>
      <x:c r="M319" s="24" t="str">
        <x:v>http://itools.com/search/people-search</x:v>
      </x:c>
      <x:c r="N319" s="22" t="str">
        <x:v>268408399</x:v>
      </x:c>
      <x:c r="O319" s="22" t="n">
        <x:v>1004</x:v>
      </x:c>
      <x:c r="P319" s="22" t="n">
        <x:v>9</x:v>
      </x:c>
      <x:c r="Q319" s="22" t="str">
        <x:v>2026-09-15</x:v>
      </x:c>
      <x:c r="R319" s="22" t="n">
        <x:f>COUNTIF($M$6:$M$1177,M319)</x:f>
        <x:v>1</x:v>
      </x:c>
      <x:c r="S319" s="22" t="str">
        <x:v>Contacts / records</x:v>
      </x:c>
      <x:c r="T319" s="22" t="str">
        <x:v>Not established</x:v>
      </x:c>
    </x:row>
    <x:row r="320" ht="48" customHeight="1">
      <x:c r="A320" s="22" t="n">
        <x:v>315</x:v>
      </x:c>
      <x:c r="B320" s="22" t="str">
        <x:v>People Search Engine</x:v>
      </x:c>
      <x:c r="C320" s="43" t="str">
        <x:v>C-P</x:v>
      </x:c>
      <x:c r="D320" s="22" t="str">
        <x:v>Provisional</x:v>
      </x:c>
      <x:c r="E320" s="22" t="str">
        <x:v>PEOPLE</x:v>
      </x:c>
      <x:c r="F320" s="22" t="str">
        <x:v>Custom-search discovery only</x:v>
      </x:c>
      <x:c r="G320" s="22" t="str">
        <x:v>The saved URL identifies a custom search. This engine's configuration, coverage and query results were not tested.</x:v>
      </x:c>
      <x:c r="H320" s="22" t="str">
        <x:v>Open and verify the original result; do not count the search as corroboration</x:v>
      </x:c>
      <x:c r="I320" s="22" t="str">
        <x:v>Not checked</x:v>
      </x:c>
      <x:c r="J320" s="22" t="str">
        <x:v>Saved bookmark metadata only</x:v>
      </x:c>
      <x:c r="K320" s="22" t="str"/>
      <x:c r="L320" s="24" t="str"/>
      <x:c r="M320" s="24" t="str">
        <x:v>https://cse.google.com/cse?cx=14db36e158cd791c0</x:v>
      </x:c>
      <x:c r="N320" s="22" t="str">
        <x:v>286819682</x:v>
      </x:c>
      <x:c r="O320" s="22" t="n">
        <x:v>1004</x:v>
      </x:c>
      <x:c r="P320" s="22" t="n">
        <x:v>10</x:v>
      </x:c>
      <x:c r="Q320" s="22" t="str"/>
      <x:c r="R320" s="22" t="n">
        <x:f>COUNTIF($M$6:$M$1177,M320)</x:f>
        <x:v>1</x:v>
      </x:c>
      <x:c r="S320" s="22" t="str">
        <x:v>Contacts / records</x:v>
      </x:c>
      <x:c r="T320" s="22" t="str">
        <x:v>Low</x:v>
      </x:c>
    </x:row>
    <x:row r="321" ht="48" customHeight="1">
      <x:c r="A321" s="22" t="n">
        <x:v>316</x:v>
      </x:c>
      <x:c r="B321" s="22" t="str">
        <x:v>Dating Sites Search Engine</x:v>
      </x:c>
      <x:c r="C321" s="43" t="str">
        <x:v>C-P</x:v>
      </x:c>
      <x:c r="D321" s="22" t="str">
        <x:v>Provisional</x:v>
      </x:c>
      <x:c r="E321" s="22" t="str">
        <x:v>PEOPLE</x:v>
      </x:c>
      <x:c r="F321" s="22" t="str">
        <x:v>Custom-search discovery only</x:v>
      </x:c>
      <x:c r="G321" s="22" t="str">
        <x:v>The saved URL identifies a custom search. This engine's configuration, coverage and query results were not tested.</x:v>
      </x:c>
      <x:c r="H321" s="22" t="str">
        <x:v>Open and verify the original result; do not count the search as corroboration</x:v>
      </x:c>
      <x:c r="I321" s="22" t="str">
        <x:v>Not checked</x:v>
      </x:c>
      <x:c r="J321" s="22" t="str">
        <x:v>Saved bookmark metadata only</x:v>
      </x:c>
      <x:c r="K321" s="22" t="str"/>
      <x:c r="L321" s="24" t="str"/>
      <x:c r="M321" s="24" t="str">
        <x:v>https://cse.google.com/cse?cx=c7b340447e1e12653</x:v>
      </x:c>
      <x:c r="N321" s="22" t="str">
        <x:v>286819707</x:v>
      </x:c>
      <x:c r="O321" s="22" t="n">
        <x:v>1004</x:v>
      </x:c>
      <x:c r="P321" s="22" t="n">
        <x:v>11</x:v>
      </x:c>
      <x:c r="Q321" s="22" t="str"/>
      <x:c r="R321" s="22" t="n">
        <x:f>COUNTIF($M$6:$M$1177,M321)</x:f>
        <x:v>1</x:v>
      </x:c>
      <x:c r="S321" s="22" t="str">
        <x:v>Contacts / records</x:v>
      </x:c>
      <x:c r="T321" s="22" t="str">
        <x:v>Low</x:v>
      </x:c>
    </x:row>
    <x:row r="322" ht="48" customHeight="1">
      <x:c r="A322" s="22" t="n">
        <x:v>317</x:v>
      </x:c>
      <x:c r="B322" s="22" t="str">
        <x:v>192</x:v>
      </x:c>
      <x:c r="C322" s="35" t="str">
        <x:v>B</x:v>
      </x:c>
      <x:c r="D322" s="22" t="str">
        <x:v>Documented</x:v>
      </x:c>
      <x:c r="E322" s="22" t="str">
        <x:v>PEOPLE</x:v>
      </x:c>
      <x:c r="F322" s="22" t="str">
        <x:v>Dated UK directory records</x:v>
      </x:c>
      <x:c r="G322" s="22" t="str">
        <x:v>Directory/electoral-roll discovery. Preserve the source year and record type; do not infer a current relationship from a shared listing.</x:v>
      </x:c>
      <x:c r="H322" s="22" t="str">
        <x:v>Corroborate before attribution</x:v>
      </x:c>
      <x:c r="I322" s="22" t="str">
        <x:v>Content readable; lookup not tested</x:v>
      </x:c>
      <x:c r="J322" s="22" t="str">
        <x:v>Provider landing page</x:v>
      </x:c>
      <x:c r="K322" s="22" t="str">
        <x:v>S005</x:v>
      </x:c>
      <x:c r="L322" s="24" t="str">
        <x:v>https://www.192.com/</x:v>
      </x:c>
      <x:c r="M322" s="24" t="str">
        <x:v>https://www.192.com/</x:v>
      </x:c>
      <x:c r="N322" s="22" t="str">
        <x:v>268408402</x:v>
      </x:c>
      <x:c r="O322" s="22" t="n">
        <x:v>1004</x:v>
      </x:c>
      <x:c r="P322" s="22" t="n">
        <x:v>12</x:v>
      </x:c>
      <x:c r="Q322" s="22" t="str">
        <x:v>2026-09-15</x:v>
      </x:c>
      <x:c r="R322" s="22" t="n">
        <x:f>COUNTIF($M$6:$M$1177,M322)</x:f>
        <x:v>1</x:v>
      </x:c>
      <x:c r="S322" s="22" t="str">
        <x:v>Contacts / records</x:v>
      </x:c>
      <x:c r="T322" s="22" t="str">
        <x:v>Scoped desk assessment</x:v>
      </x:c>
    </x:row>
    <x:row r="323" ht="54" customHeight="1">
      <x:c r="A323" s="22" t="n">
        <x:v>318</x:v>
      </x:c>
      <x:c r="B323" s="22" t="str">
        <x:v>International</x:v>
      </x:c>
      <x:c r="C323" s="39" t="str">
        <x:v>C</x:v>
      </x:c>
      <x:c r="D323" s="22" t="str">
        <x:v>Documented</x:v>
      </x:c>
      <x:c r="E323" s="22" t="str">
        <x:v>PEOPLE</x:v>
      </x:c>
      <x:c r="F323" s="22" t="str">
        <x:v>Business directory discovery</x:v>
      </x:c>
      <x:c r="G323" s="22" t="str">
        <x:v>Current landing page is an international business directory; the saved label 'International' is not a promise of complete people coverage.</x:v>
      </x:c>
      <x:c r="H323" s="22" t="str">
        <x:v>Corroborate before attribution</x:v>
      </x:c>
      <x:c r="I323" s="22" t="str">
        <x:v>Content readable; lookup not tested</x:v>
      </x:c>
      <x:c r="J323" s="22" t="str">
        <x:v>Provider landing page</x:v>
      </x:c>
      <x:c r="K323" s="22" t="str">
        <x:v>S006</x:v>
      </x:c>
      <x:c r="L323" s="24" t="str">
        <x:v>https://www.infobel.com/</x:v>
      </x:c>
      <x:c r="M323" s="24" t="str">
        <x:v>https://www.infobel.com/</x:v>
      </x:c>
      <x:c r="N323" s="22" t="str">
        <x:v>297341179</x:v>
      </x:c>
      <x:c r="O323" s="22" t="n">
        <x:v>1005</x:v>
      </x:c>
      <x:c r="P323" s="22" t="n">
        <x:v>13</x:v>
      </x:c>
      <x:c r="Q323" s="22" t="str">
        <x:v>2026-09-15</x:v>
      </x:c>
      <x:c r="R323" s="22" t="n">
        <x:f>COUNTIF($M$6:$M$1177,M323)</x:f>
        <x:v>1</x:v>
      </x:c>
      <x:c r="S323" s="22" t="str">
        <x:v>Contacts / records</x:v>
      </x:c>
      <x:c r="T323" s="22" t="str">
        <x:v>Scoped desk assessment</x:v>
      </x:c>
    </x:row>
    <x:row r="324" ht="48" customHeight="1">
      <x:c r="A324" s="22" t="n">
        <x:v>319</x:v>
      </x:c>
      <x:c r="B324" s="22" t="str">
        <x:v>People search Tool</x:v>
      </x:c>
      <x:c r="C324" s="39" t="str">
        <x:v>C</x:v>
      </x:c>
      <x:c r="D324" s="22" t="str">
        <x:v>Documented</x:v>
      </x:c>
      <x:c r="E324" s="22" t="str">
        <x:v>PEOPLE</x:v>
      </x:c>
      <x:c r="F324" s="22" t="str">
        <x:v>People query builder</x:v>
      </x:c>
      <x:c r="G324" s="22" t="str">
        <x:v>Generates searches for external engines. Assess the originating result rather than counting this tool as corroboration.</x:v>
      </x:c>
      <x:c r="H324" s="22" t="str">
        <x:v>Corroborate before attribution</x:v>
      </x:c>
      <x:c r="I324" s="22" t="str">
        <x:v>Content readable; lookup not tested</x:v>
      </x:c>
      <x:c r="J324" s="22" t="str">
        <x:v>Provider documentation</x:v>
      </x:c>
      <x:c r="K324" s="22" t="str">
        <x:v>S007</x:v>
      </x:c>
      <x:c r="L324" s="24" t="str">
        <x:v>https://www.aware-online.com/en/osint-tools/people-search-tool/</x:v>
      </x:c>
      <x:c r="M324" s="24" t="str">
        <x:v>https://www.aware-online.com/en/osint-tools/people-search-tool/</x:v>
      </x:c>
      <x:c r="N324" s="22" t="str">
        <x:v>268503236</x:v>
      </x:c>
      <x:c r="O324" s="22" t="n">
        <x:v>1005</x:v>
      </x:c>
      <x:c r="P324" s="22" t="n">
        <x:v>14</x:v>
      </x:c>
      <x:c r="Q324" s="22" t="str">
        <x:v>2026-09-15</x:v>
      </x:c>
      <x:c r="R324" s="22" t="n">
        <x:f>COUNTIF($M$6:$M$1177,M324)</x:f>
        <x:v>1</x:v>
      </x:c>
      <x:c r="S324" s="22" t="str">
        <x:v>Contacts / records</x:v>
      </x:c>
      <x:c r="T324" s="22" t="str">
        <x:v>Scoped desk assessment</x:v>
      </x:c>
    </x:row>
    <x:row r="325" ht="48" customHeight="1">
      <x:c r="A325" s="22" t="n">
        <x:v>320</x:v>
      </x:c>
      <x:c r="B325" s="22" t="str">
        <x:v>PeekYou</x:v>
      </x:c>
      <x:c r="C325" s="31" t="str">
        <x:v>U</x:v>
      </x:c>
      <x:c r="D325" s="22" t="str">
        <x:v>Access unresolved</x:v>
      </x:c>
      <x:c r="E325" s="22" t="str">
        <x:v>PEOPLE</x:v>
      </x:c>
      <x:c r="F325" s="22" t="str">
        <x:v>Identity / contact / relationship leads</x:v>
      </x:c>
      <x:c r="G325" s="22" t="str">
        <x:v>Do not turn a name, old address or suggested relative into a verified identity or relationship.</x:v>
      </x:c>
      <x:c r="H325" s="22" t="str">
        <x:v>Check manually; retrieval failure is not evidence the service is unreliable</x:v>
      </x:c>
      <x:c r="I325" s="22" t="str">
        <x:v>Unresolved reader access; website status unknown</x:v>
      </x:c>
      <x:c r="J325" s="22" t="str">
        <x:v>Fetch attempted; no usable substantive content</x:v>
      </x:c>
      <x:c r="K325" s="22" t="str"/>
      <x:c r="L325" s="24" t="str"/>
      <x:c r="M325" s="24" t="str">
        <x:v>https://www.peekyou.com/</x:v>
      </x:c>
      <x:c r="N325" s="22" t="str">
        <x:v>268408301</x:v>
      </x:c>
      <x:c r="O325" s="22" t="n">
        <x:v>1005</x:v>
      </x:c>
      <x:c r="P325" s="22" t="n">
        <x:v>15</x:v>
      </x:c>
      <x:c r="Q325" s="22" t="str">
        <x:v>2026-09-15</x:v>
      </x:c>
      <x:c r="R325" s="22" t="n">
        <x:f>COUNTIF($M$6:$M$1177,M325)</x:f>
        <x:v>1</x:v>
      </x:c>
      <x:c r="S325" s="22" t="str">
        <x:v>Contacts / records</x:v>
      </x:c>
      <x:c r="T325" s="22" t="str">
        <x:v>Not established</x:v>
      </x:c>
    </x:row>
    <x:row r="326" ht="48" customHeight="1">
      <x:c r="A326" s="22" t="n">
        <x:v>321</x:v>
      </x:c>
      <x:c r="B326" s="22" t="str">
        <x:v>White Pages</x:v>
      </x:c>
      <x:c r="C326" s="31" t="str">
        <x:v>U</x:v>
      </x:c>
      <x:c r="D326" s="22" t="str">
        <x:v>Access unresolved</x:v>
      </x:c>
      <x:c r="E326" s="22" t="str">
        <x:v>PEOPLE</x:v>
      </x:c>
      <x:c r="F326" s="22" t="str">
        <x:v>Identity / contact / relationship leads</x:v>
      </x:c>
      <x:c r="G326" s="22" t="str">
        <x:v>Do not turn a name, old address or suggested relative into a verified identity or relationship.</x:v>
      </x:c>
      <x:c r="H326" s="22" t="str">
        <x:v>Check manually; retrieval failure is not evidence the service is unreliable</x:v>
      </x:c>
      <x:c r="I326" s="22" t="str">
        <x:v>Unresolved reader access; website status unknown</x:v>
      </x:c>
      <x:c r="J326" s="22" t="str">
        <x:v>Fetch attempted; no usable substantive content</x:v>
      </x:c>
      <x:c r="K326" s="22" t="str"/>
      <x:c r="L326" s="24" t="str"/>
      <x:c r="M326" s="24" t="str">
        <x:v>https://www.whitepages.com/</x:v>
      </x:c>
      <x:c r="N326" s="22" t="str">
        <x:v>268390408</x:v>
      </x:c>
      <x:c r="O326" s="22" t="n">
        <x:v>1005</x:v>
      </x:c>
      <x:c r="P326" s="22" t="n">
        <x:v>16</x:v>
      </x:c>
      <x:c r="Q326" s="22" t="str">
        <x:v>2026-09-15</x:v>
      </x:c>
      <x:c r="R326" s="22" t="n">
        <x:f>COUNTIF($M$6:$M$1177,M326)</x:f>
        <x:v>1</x:v>
      </x:c>
      <x:c r="S326" s="22" t="str">
        <x:v>Contacts / records</x:v>
      </x:c>
      <x:c r="T326" s="22" t="str">
        <x:v>Not established</x:v>
      </x:c>
    </x:row>
    <x:row r="327" ht="48" customHeight="1">
      <x:c r="A327" s="22" t="n">
        <x:v>322</x:v>
      </x:c>
      <x:c r="B327" s="22" t="str">
        <x:v>New Canada 411</x:v>
      </x:c>
      <x:c r="C327" s="31" t="str">
        <x:v>U</x:v>
      </x:c>
      <x:c r="D327" s="22" t="str">
        <x:v>Access unresolved</x:v>
      </x:c>
      <x:c r="E327" s="22" t="str">
        <x:v>PEOPLE</x:v>
      </x:c>
      <x:c r="F327" s="22" t="str">
        <x:v>Identity / contact / relationship leads</x:v>
      </x:c>
      <x:c r="G327" s="22" t="str">
        <x:v>Do not turn a name, old address or suggested relative into a verified identity or relationship.</x:v>
      </x:c>
      <x:c r="H327" s="22" t="str">
        <x:v>Check manually; retrieval failure is not evidence the service is unreliable</x:v>
      </x:c>
      <x:c r="I327" s="22" t="str">
        <x:v>Unresolved reader access; website status unknown</x:v>
      </x:c>
      <x:c r="J327" s="22" t="str">
        <x:v>Fetch attempted; no usable substantive content</x:v>
      </x:c>
      <x:c r="K327" s="22" t="str"/>
      <x:c r="L327" s="24" t="str"/>
      <x:c r="M327" s="24" t="str">
        <x:v>https://www.canada411.ca/</x:v>
      </x:c>
      <x:c r="N327" s="22" t="str">
        <x:v>268390413</x:v>
      </x:c>
      <x:c r="O327" s="22" t="n">
        <x:v>1005</x:v>
      </x:c>
      <x:c r="P327" s="22" t="n">
        <x:v>17</x:v>
      </x:c>
      <x:c r="Q327" s="22" t="str">
        <x:v>2026-09-15</x:v>
      </x:c>
      <x:c r="R327" s="22" t="n">
        <x:f>COUNTIF($M$6:$M$1177,M327)</x:f>
        <x:v>1</x:v>
      </x:c>
      <x:c r="S327" s="22" t="str">
        <x:v>Contacts / records</x:v>
      </x:c>
      <x:c r="T327" s="22" t="str">
        <x:v>Not established</x:v>
      </x:c>
    </x:row>
    <x:row r="328" ht="48" customHeight="1">
      <x:c r="A328" s="22" t="n">
        <x:v>323</x:v>
      </x:c>
      <x:c r="B328" s="22" t="str">
        <x:v>411</x:v>
      </x:c>
      <x:c r="C328" s="31" t="str">
        <x:v>U</x:v>
      </x:c>
      <x:c r="D328" s="22" t="str">
        <x:v>Unassessed</x:v>
      </x:c>
      <x:c r="E328" s="22" t="str">
        <x:v>PEOPLE</x:v>
      </x:c>
      <x:c r="F328" s="22" t="str">
        <x:v>Identity / contact / relationship leads</x:v>
      </x:c>
      <x:c r="G328" s="22" t="str">
        <x:v>Do not turn a name, old address or suggested relative into a verified identity or relationship.</x:v>
      </x:c>
      <x:c r="H328" s="22" t="str">
        <x:v>Verify publisher, source and current function before reliance</x:v>
      </x:c>
      <x:c r="I328" s="22" t="str">
        <x:v>Not checked</x:v>
      </x:c>
      <x:c r="J328" s="22" t="str">
        <x:v>Saved bookmark metadata only</x:v>
      </x:c>
      <x:c r="K328" s="22" t="str"/>
      <x:c r="L328" s="24" t="str"/>
      <x:c r="M328" s="24" t="str">
        <x:v>http://411.com/</x:v>
      </x:c>
      <x:c r="N328" s="22" t="str">
        <x:v>268398085</x:v>
      </x:c>
      <x:c r="O328" s="22" t="n">
        <x:v>1005</x:v>
      </x:c>
      <x:c r="P328" s="22" t="n">
        <x:v>18</x:v>
      </x:c>
      <x:c r="Q328" s="22" t="str"/>
      <x:c r="R328" s="22" t="n">
        <x:f>COUNTIF($M$6:$M$1177,M328)</x:f>
        <x:v>1</x:v>
      </x:c>
      <x:c r="S328" s="22" t="str">
        <x:v>Contacts / records</x:v>
      </x:c>
      <x:c r="T328" s="22" t="str">
        <x:v>Not established</x:v>
      </x:c>
    </x:row>
    <x:row r="329" ht="54" customHeight="1">
      <x:c r="A329" s="22" t="n">
        <x:v>324</x:v>
      </x:c>
      <x:c r="B329" s="22" t="str">
        <x:v>TruthFinder</x:v>
      </x:c>
      <x:c r="C329" s="47" t="str">
        <x:v>D</x:v>
      </x:c>
      <x:c r="D329" s="22" t="str">
        <x:v>Documented</x:v>
      </x:c>
      <x:c r="E329" s="22" t="str">
        <x:v>PEOPLE</x:v>
      </x:c>
      <x:c r="F329" s="22" t="str">
        <x:v>Background and relationship claims</x:v>
      </x:c>
      <x:c r="G329" s="22" t="str">
        <x:v>FTC's 2023 complaint/settlement announcement documented accuracy and verification concerns. Historical caution, not a measured present-day error rate.</x:v>
      </x:c>
      <x:c r="H329" s="22" t="str">
        <x:v>Use original records instead</x:v>
      </x:c>
      <x:c r="I329" s="22" t="str">
        <x:v>Regulatory documentation read; service not tested</x:v>
      </x:c>
      <x:c r="J329" s="22" t="str">
        <x:v>Regulatory source</x:v>
      </x:c>
      <x:c r="K329" s="22" t="str">
        <x:v>S008</x:v>
      </x:c>
      <x:c r="L329" s="24" t="str">
        <x:v>https://www.ftc.gov/news-events/news/press-releases/2023/09/ftc-says-truthfinder-instant-checkmate-deceived-users-about-background-report-accuracy-violated-fcra</x:v>
      </x:c>
      <x:c r="M329" s="24" t="str">
        <x:v>https://www.truthfinder.com/</x:v>
      </x:c>
      <x:c r="N329" s="22" t="str">
        <x:v>268398195</x:v>
      </x:c>
      <x:c r="O329" s="22" t="n">
        <x:v>1005</x:v>
      </x:c>
      <x:c r="P329" s="22" t="n">
        <x:v>19</x:v>
      </x:c>
      <x:c r="Q329" s="22" t="str">
        <x:v>2026-09-15</x:v>
      </x:c>
      <x:c r="R329" s="22" t="n">
        <x:f>COUNTIF($M$6:$M$1177,M329)</x:f>
        <x:v>1</x:v>
      </x:c>
      <x:c r="S329" s="22" t="str">
        <x:v>Contacts / records</x:v>
      </x:c>
      <x:c r="T329" s="22" t="str">
        <x:v>Scoped desk assessment</x:v>
      </x:c>
    </x:row>
    <x:row r="330" ht="48" customHeight="1">
      <x:c r="A330" s="22" t="n">
        <x:v>325</x:v>
      </x:c>
      <x:c r="B330" s="22" t="str">
        <x:v>zaba search</x:v>
      </x:c>
      <x:c r="C330" s="31" t="str">
        <x:v>U</x:v>
      </x:c>
      <x:c r="D330" s="22" t="str">
        <x:v>Access unresolved</x:v>
      </x:c>
      <x:c r="E330" s="22" t="str">
        <x:v>PEOPLE</x:v>
      </x:c>
      <x:c r="F330" s="22" t="str">
        <x:v>Identity / contact / relationship leads</x:v>
      </x:c>
      <x:c r="G330" s="22" t="str">
        <x:v>Do not turn a name, old address or suggested relative into a verified identity or relationship.</x:v>
      </x:c>
      <x:c r="H330" s="22" t="str">
        <x:v>Check manually; retrieval failure is not evidence the service is unreliable</x:v>
      </x:c>
      <x:c r="I330" s="22" t="str">
        <x:v>Unresolved reader access; website status unknown</x:v>
      </x:c>
      <x:c r="J330" s="22" t="str">
        <x:v>Fetch attempted; no usable substantive content</x:v>
      </x:c>
      <x:c r="K330" s="22" t="str"/>
      <x:c r="L330" s="24" t="str"/>
      <x:c r="M330" s="24" t="str">
        <x:v>https://www.zabasearch.com/</x:v>
      </x:c>
      <x:c r="N330" s="22" t="str">
        <x:v>268404895</x:v>
      </x:c>
      <x:c r="O330" s="22" t="n">
        <x:v>1005</x:v>
      </x:c>
      <x:c r="P330" s="22" t="n">
        <x:v>20</x:v>
      </x:c>
      <x:c r="Q330" s="22" t="str">
        <x:v>2026-09-15</x:v>
      </x:c>
      <x:c r="R330" s="22" t="n">
        <x:f>COUNTIF($M$6:$M$1177,M330)</x:f>
        <x:v>1</x:v>
      </x:c>
      <x:c r="S330" s="22" t="str">
        <x:v>Contacts / records</x:v>
      </x:c>
      <x:c r="T330" s="22" t="str">
        <x:v>Not established</x:v>
      </x:c>
    </x:row>
    <x:row r="331" ht="48" customHeight="1">
      <x:c r="A331" s="22" t="n">
        <x:v>326</x:v>
      </x:c>
      <x:c r="B331" s="22" t="str">
        <x:v>Thats them</x:v>
      </x:c>
      <x:c r="C331" s="31" t="str">
        <x:v>U</x:v>
      </x:c>
      <x:c r="D331" s="22" t="str">
        <x:v>Access unresolved</x:v>
      </x:c>
      <x:c r="E331" s="22" t="str">
        <x:v>PEOPLE</x:v>
      </x:c>
      <x:c r="F331" s="22" t="str">
        <x:v>Identity / contact / relationship leads</x:v>
      </x:c>
      <x:c r="G331" s="22" t="str">
        <x:v>Do not turn a name, old address or suggested relative into a verified identity or relationship.</x:v>
      </x:c>
      <x:c r="H331" s="22" t="str">
        <x:v>Check manually; retrieval failure is not evidence the service is unreliable</x:v>
      </x:c>
      <x:c r="I331" s="22" t="str">
        <x:v>Unresolved reader access; website status unknown</x:v>
      </x:c>
      <x:c r="J331" s="22" t="str">
        <x:v>Fetch attempted; no usable substantive content</x:v>
      </x:c>
      <x:c r="K331" s="22" t="str"/>
      <x:c r="L331" s="24" t="str"/>
      <x:c r="M331" s="24" t="str">
        <x:v>https://thatsthem.com/</x:v>
      </x:c>
      <x:c r="N331" s="22" t="str">
        <x:v>268408306</x:v>
      </x:c>
      <x:c r="O331" s="22" t="n">
        <x:v>1005</x:v>
      </x:c>
      <x:c r="P331" s="22" t="n">
        <x:v>21</x:v>
      </x:c>
      <x:c r="Q331" s="22" t="str">
        <x:v>2026-09-15</x:v>
      </x:c>
      <x:c r="R331" s="22" t="n">
        <x:f>COUNTIF($M$6:$M$1177,M331)</x:f>
        <x:v>1</x:v>
      </x:c>
      <x:c r="S331" s="22" t="str">
        <x:v>Contacts / records</x:v>
      </x:c>
      <x:c r="T331" s="22" t="str">
        <x:v>Not established</x:v>
      </x:c>
    </x:row>
    <x:row r="332" ht="48" customHeight="1">
      <x:c r="A332" s="22" t="n">
        <x:v>327</x:v>
      </x:c>
      <x:c r="B332" s="22" t="str">
        <x:v>People search</x:v>
      </x:c>
      <x:c r="C332" s="31" t="str">
        <x:v>U</x:v>
      </x:c>
      <x:c r="D332" s="22" t="str">
        <x:v>Access unresolved</x:v>
      </x:c>
      <x:c r="E332" s="22" t="str">
        <x:v>PEOPLE</x:v>
      </x:c>
      <x:c r="F332" s="22" t="str">
        <x:v>Identity / contact / relationship leads</x:v>
      </x:c>
      <x:c r="G332" s="22" t="str">
        <x:v>Do not turn a name, old address or suggested relative into a verified identity or relationship.</x:v>
      </x:c>
      <x:c r="H332" s="22" t="str">
        <x:v>Check manually; retrieval failure is not evidence the service is unreliable</x:v>
      </x:c>
      <x:c r="I332" s="22" t="str">
        <x:v>Unresolved reader access; website status unknown</x:v>
      </x:c>
      <x:c r="J332" s="22" t="str">
        <x:v>Fetch attempted; no usable substantive content</x:v>
      </x:c>
      <x:c r="K332" s="22" t="str"/>
      <x:c r="L332" s="24" t="str"/>
      <x:c r="M332" s="24" t="str">
        <x:v>https://radaris.com/</x:v>
      </x:c>
      <x:c r="N332" s="22" t="str">
        <x:v>268408352</x:v>
      </x:c>
      <x:c r="O332" s="22" t="n">
        <x:v>1005</x:v>
      </x:c>
      <x:c r="P332" s="22" t="n">
        <x:v>22</x:v>
      </x:c>
      <x:c r="Q332" s="22" t="str">
        <x:v>2026-09-15</x:v>
      </x:c>
      <x:c r="R332" s="22" t="n">
        <x:f>COUNTIF($M$6:$M$1177,M332)</x:f>
        <x:v>1</x:v>
      </x:c>
      <x:c r="S332" s="22" t="str">
        <x:v>Contacts / records</x:v>
      </x:c>
      <x:c r="T332" s="22" t="str">
        <x:v>Not established</x:v>
      </x:c>
    </x:row>
    <x:row r="333" ht="48" customHeight="1">
      <x:c r="A333" s="22" t="n">
        <x:v>328</x:v>
      </x:c>
      <x:c r="B333" s="22" t="str">
        <x:v>No.1 Free People Search</x:v>
      </x:c>
      <x:c r="C333" s="31" t="str">
        <x:v>U</x:v>
      </x:c>
      <x:c r="D333" s="22" t="str">
        <x:v>Access unresolved</x:v>
      </x:c>
      <x:c r="E333" s="22" t="str">
        <x:v>PEOPLE</x:v>
      </x:c>
      <x:c r="F333" s="22" t="str">
        <x:v>Identity / contact / relationship leads</x:v>
      </x:c>
      <x:c r="G333" s="22" t="str">
        <x:v>Do not turn a name, old address or suggested relative into a verified identity or relationship.</x:v>
      </x:c>
      <x:c r="H333" s="22" t="str">
        <x:v>Check manually; retrieval failure is not evidence the service is unreliable</x:v>
      </x:c>
      <x:c r="I333" s="22" t="str">
        <x:v>Unresolved reader access; website status unknown</x:v>
      </x:c>
      <x:c r="J333" s="22" t="str">
        <x:v>Fetch attempted; no usable substantive content</x:v>
      </x:c>
      <x:c r="K333" s="22" t="str"/>
      <x:c r="L333" s="24" t="str"/>
      <x:c r="M333" s="24" t="str">
        <x:v>http://www.yasni.com/</x:v>
      </x:c>
      <x:c r="N333" s="22" t="str">
        <x:v>268408353</x:v>
      </x:c>
      <x:c r="O333" s="22" t="n">
        <x:v>1005</x:v>
      </x:c>
      <x:c r="P333" s="22" t="n">
        <x:v>23</x:v>
      </x:c>
      <x:c r="Q333" s="22" t="str">
        <x:v>2026-09-15</x:v>
      </x:c>
      <x:c r="R333" s="22" t="n">
        <x:f>COUNTIF($M$6:$M$1177,M333)</x:f>
        <x:v>1</x:v>
      </x:c>
      <x:c r="S333" s="22" t="str">
        <x:v>Contacts / records</x:v>
      </x:c>
      <x:c r="T333" s="22" t="str">
        <x:v>Not established</x:v>
      </x:c>
    </x:row>
    <x:row r="334" ht="48" customHeight="1">
      <x:c r="A334" s="22" t="n">
        <x:v>329</x:v>
      </x:c>
      <x:c r="B334" s="22" t="str">
        <x:v>Gofindwho.com</x:v>
      </x:c>
      <x:c r="C334" s="31" t="str">
        <x:v>U</x:v>
      </x:c>
      <x:c r="D334" s="22" t="str">
        <x:v>Access unresolved</x:v>
      </x:c>
      <x:c r="E334" s="22" t="str">
        <x:v>PEOPLE</x:v>
      </x:c>
      <x:c r="F334" s="22" t="str">
        <x:v>Identity / contact / relationship leads</x:v>
      </x:c>
      <x:c r="G334" s="22" t="str">
        <x:v>Do not turn a name, old address or suggested relative into a verified identity or relationship.</x:v>
      </x:c>
      <x:c r="H334" s="22" t="str">
        <x:v>Check manually; retrieval failure is not evidence the service is unreliable</x:v>
      </x:c>
      <x:c r="I334" s="22" t="str">
        <x:v>Unresolved reader access; website status unknown</x:v>
      </x:c>
      <x:c r="J334" s="22" t="str">
        <x:v>Fetch attempted; no usable substantive content</x:v>
      </x:c>
      <x:c r="K334" s="22" t="str"/>
      <x:c r="L334" s="24" t="str"/>
      <x:c r="M334" s="24" t="str">
        <x:v>https://gofindwho.com/</x:v>
      </x:c>
      <x:c r="N334" s="22" t="str">
        <x:v>286825968</x:v>
      </x:c>
      <x:c r="O334" s="22" t="n">
        <x:v>1005</x:v>
      </x:c>
      <x:c r="P334" s="22" t="n">
        <x:v>24</x:v>
      </x:c>
      <x:c r="Q334" s="22" t="str">
        <x:v>2026-09-15</x:v>
      </x:c>
      <x:c r="R334" s="22" t="n">
        <x:f>COUNTIF($M$6:$M$1177,M334)</x:f>
        <x:v>1</x:v>
      </x:c>
      <x:c r="S334" s="22" t="str">
        <x:v>Contacts / records</x:v>
      </x:c>
      <x:c r="T334" s="22" t="str">
        <x:v>Not established</x:v>
      </x:c>
    </x:row>
    <x:row r="335" ht="48" customHeight="1">
      <x:c r="A335" s="22" t="n">
        <x:v>330</x:v>
      </x:c>
      <x:c r="B335" s="22" t="str">
        <x:v>xlek</x:v>
      </x:c>
      <x:c r="C335" s="31" t="str">
        <x:v>U</x:v>
      </x:c>
      <x:c r="D335" s="22" t="str">
        <x:v>Access unresolved</x:v>
      </x:c>
      <x:c r="E335" s="22" t="str">
        <x:v>PEOPLE</x:v>
      </x:c>
      <x:c r="F335" s="22" t="str">
        <x:v>Identity / contact / relationship leads</x:v>
      </x:c>
      <x:c r="G335" s="22" t="str">
        <x:v>Do not turn a name, old address or suggested relative into a verified identity or relationship.</x:v>
      </x:c>
      <x:c r="H335" s="22" t="str">
        <x:v>Check manually; retrieval failure is not evidence the service is unreliable</x:v>
      </x:c>
      <x:c r="I335" s="22" t="str">
        <x:v>Unresolved reader access; website status unknown</x:v>
      </x:c>
      <x:c r="J335" s="22" t="str">
        <x:v>Fetch attempted; no usable substantive content</x:v>
      </x:c>
      <x:c r="K335" s="22" t="str"/>
      <x:c r="L335" s="24" t="str"/>
      <x:c r="M335" s="24" t="str">
        <x:v>https://xlek.com/</x:v>
      </x:c>
      <x:c r="N335" s="22" t="str">
        <x:v>297341232</x:v>
      </x:c>
      <x:c r="O335" s="22" t="n">
        <x:v>1005</x:v>
      </x:c>
      <x:c r="P335" s="22" t="n">
        <x:v>25</x:v>
      </x:c>
      <x:c r="Q335" s="22" t="str">
        <x:v>2026-09-15</x:v>
      </x:c>
      <x:c r="R335" s="22" t="n">
        <x:f>COUNTIF($M$6:$M$1177,M335)</x:f>
        <x:v>1</x:v>
      </x:c>
      <x:c r="S335" s="22" t="str">
        <x:v>Contacts / records</x:v>
      </x:c>
      <x:c r="T335" s="22" t="str">
        <x:v>Not established</x:v>
      </x:c>
    </x:row>
    <x:row r="336" ht="48" customHeight="1">
      <x:c r="A336" s="22" t="n">
        <x:v>331</x:v>
      </x:c>
      <x:c r="B336" s="22" t="str">
        <x:v>Ufind.name</x:v>
      </x:c>
      <x:c r="C336" s="31" t="str">
        <x:v>U</x:v>
      </x:c>
      <x:c r="D336" s="22" t="str">
        <x:v>Access unresolved</x:v>
      </x:c>
      <x:c r="E336" s="22" t="str">
        <x:v>PEOPLE</x:v>
      </x:c>
      <x:c r="F336" s="22" t="str">
        <x:v>Identity / contact / relationship leads</x:v>
      </x:c>
      <x:c r="G336" s="22" t="str">
        <x:v>Do not turn a name, old address or suggested relative into a verified identity or relationship.</x:v>
      </x:c>
      <x:c r="H336" s="22" t="str">
        <x:v>Check manually; retrieval failure is not evidence the service is unreliable</x:v>
      </x:c>
      <x:c r="I336" s="22" t="str">
        <x:v>Unresolved reader access; website status unknown</x:v>
      </x:c>
      <x:c r="J336" s="22" t="str">
        <x:v>Fetch attempted; no usable substantive content</x:v>
      </x:c>
      <x:c r="K336" s="22" t="str"/>
      <x:c r="L336" s="24" t="str"/>
      <x:c r="M336" s="24" t="str">
        <x:v>https://ufind.name/</x:v>
      </x:c>
      <x:c r="N336" s="22" t="str">
        <x:v>297341234</x:v>
      </x:c>
      <x:c r="O336" s="22" t="n">
        <x:v>1005</x:v>
      </x:c>
      <x:c r="P336" s="22" t="n">
        <x:v>26</x:v>
      </x:c>
      <x:c r="Q336" s="22" t="str">
        <x:v>2026-09-15</x:v>
      </x:c>
      <x:c r="R336" s="22" t="n">
        <x:f>COUNTIF($M$6:$M$1177,M336)</x:f>
        <x:v>1</x:v>
      </x:c>
      <x:c r="S336" s="22" t="str">
        <x:v>Contacts / records</x:v>
      </x:c>
      <x:c r="T336" s="22" t="str">
        <x:v>Not established</x:v>
      </x:c>
    </x:row>
    <x:row r="337" ht="54" customHeight="1">
      <x:c r="A337" s="22" t="n">
        <x:v>332</x:v>
      </x:c>
      <x:c r="B337" s="22" t="str">
        <x:v>WhatsMyName Web</x:v>
      </x:c>
      <x:c r="C337" s="39" t="str">
        <x:v>C</x:v>
      </x:c>
      <x:c r="D337" s="22" t="str">
        <x:v>Documented</x:v>
      </x:c>
      <x:c r="E337" s="22" t="str">
        <x:v>USERNAME</x:v>
      </x:c>
      <x:c r="F337" s="22" t="str">
        <x:v>Username-existence leads</x:v>
      </x:c>
      <x:c r="G337" s="22" t="str">
        <x:v>Maintainer documents per-site detection rules and the web app. Rules need maintenance; a matching handle does not establish common ownership.</x:v>
      </x:c>
      <x:c r="H337" s="22" t="str">
        <x:v>Corroborate before attribution</x:v>
      </x:c>
      <x:c r="I337" s="22" t="str">
        <x:v>Underlying project reviewed; web app not tested</x:v>
      </x:c>
      <x:c r="J337" s="22" t="str">
        <x:v>Maintainer documentation</x:v>
      </x:c>
      <x:c r="K337" s="22" t="str">
        <x:v>S009</x:v>
      </x:c>
      <x:c r="L337" s="24" t="str">
        <x:v>https://github.com/WebBreacher/WhatsMyName</x:v>
      </x:c>
      <x:c r="M337" s="24" t="str">
        <x:v>https://whatsmyname.app/</x:v>
      </x:c>
      <x:c r="N337" s="22" t="str">
        <x:v>268508857</x:v>
      </x:c>
      <x:c r="O337" s="22" t="n">
        <x:v>1005</x:v>
      </x:c>
      <x:c r="P337" s="22" t="n">
        <x:v>1</x:v>
      </x:c>
      <x:c r="Q337" s="22" t="str">
        <x:v>2026-09-15</x:v>
      </x:c>
      <x:c r="R337" s="22" t="n">
        <x:f>COUNTIF($M$6:$M$1177,M337)</x:f>
        <x:v>1</x:v>
      </x:c>
      <x:c r="S337" s="22" t="str">
        <x:v>Contacts / records</x:v>
      </x:c>
      <x:c r="T337" s="22" t="str">
        <x:v>Scoped desk assessment</x:v>
      </x:c>
    </x:row>
    <x:row r="338" ht="54" customHeight="1">
      <x:c r="A338" s="22" t="n">
        <x:v>333</x:v>
      </x:c>
      <x:c r="B338" s="22" t="str">
        <x:v>Username Checker</x:v>
      </x:c>
      <x:c r="C338" s="39" t="str">
        <x:v>C</x:v>
      </x:c>
      <x:c r="D338" s="22" t="str">
        <x:v>Documented</x:v>
      </x:c>
      <x:c r="E338" s="22" t="str">
        <x:v>USERNAME</x:v>
      </x:c>
      <x:c r="F338" s="22" t="str">
        <x:v>Username availability and profile leads</x:v>
      </x:c>
      <x:c r="G338" s="22" t="str">
        <x:v>Its own FAQ explains that the same username can belong to different people on different sites. Review the source account before linking identities.</x:v>
      </x:c>
      <x:c r="H338" s="22" t="str">
        <x:v>Corroborate before attribution</x:v>
      </x:c>
      <x:c r="I338" s="22" t="str">
        <x:v>Content readable; lookup not tested</x:v>
      </x:c>
      <x:c r="J338" s="22" t="str">
        <x:v>Provider FAQ</x:v>
      </x:c>
      <x:c r="K338" s="22" t="str">
        <x:v>S078</x:v>
      </x:c>
      <x:c r="L338" s="24" t="str">
        <x:v>https://analyzeid.com/username/</x:v>
      </x:c>
      <x:c r="M338" s="24" t="str">
        <x:v>https://analyzeid.com/username/</x:v>
      </x:c>
      <x:c r="N338" s="22" t="str">
        <x:v>304994898</x:v>
      </x:c>
      <x:c r="O338" s="22" t="n">
        <x:v>1005</x:v>
      </x:c>
      <x:c r="P338" s="22" t="n">
        <x:v>2</x:v>
      </x:c>
      <x:c r="Q338" s="22" t="str">
        <x:v>2026-09-15</x:v>
      </x:c>
      <x:c r="R338" s="22" t="n">
        <x:f>COUNTIF($M$6:$M$1177,M338)</x:f>
        <x:v>1</x:v>
      </x:c>
      <x:c r="S338" s="22" t="str">
        <x:v>Contacts / records</x:v>
      </x:c>
      <x:c r="T338" s="22" t="str">
        <x:v>Scoped desk assessment</x:v>
      </x:c>
    </x:row>
    <x:row r="339" ht="48" customHeight="1">
      <x:c r="A339" s="22" t="n">
        <x:v>334</x:v>
      </x:c>
      <x:c r="B339" s="22" t="str">
        <x:v>Username Search</x:v>
      </x:c>
      <x:c r="C339" s="39" t="str">
        <x:v>C</x:v>
      </x:c>
      <x:c r="D339" s="22" t="str">
        <x:v>Documented</x:v>
      </x:c>
      <x:c r="E339" s="22" t="str">
        <x:v>USERNAME</x:v>
      </x:c>
      <x:c r="F339" s="22" t="str">
        <x:v>Public profile and contact discovery</x:v>
      </x:c>
      <x:c r="G339" s="22" t="str">
        <x:v>Aggregates profiles and public-record leads. Marketing claims were not independently validated; resolve identity at the original page.</x:v>
      </x:c>
      <x:c r="H339" s="22" t="str">
        <x:v>Corroborate before attribution</x:v>
      </x:c>
      <x:c r="I339" s="22" t="str">
        <x:v>Content readable; lookup not tested</x:v>
      </x:c>
      <x:c r="J339" s="22" t="str">
        <x:v>Provider landing page</x:v>
      </x:c>
      <x:c r="K339" s="22" t="str">
        <x:v>S001</x:v>
      </x:c>
      <x:c r="L339" s="24" t="str">
        <x:v>https://www.idcrawl.com/</x:v>
      </x:c>
      <x:c r="M339" s="24" t="str">
        <x:v>https://www.idcrawl.com/username</x:v>
      </x:c>
      <x:c r="N339" s="22" t="str">
        <x:v>291767421</x:v>
      </x:c>
      <x:c r="O339" s="22" t="n">
        <x:v>1005</x:v>
      </x:c>
      <x:c r="P339" s="22" t="n">
        <x:v>3</x:v>
      </x:c>
      <x:c r="Q339" s="22" t="str">
        <x:v>2026-09-15</x:v>
      </x:c>
      <x:c r="R339" s="22" t="n">
        <x:f>COUNTIF($M$6:$M$1177,M339)</x:f>
        <x:v>1</x:v>
      </x:c>
      <x:c r="S339" s="22" t="str">
        <x:v>Contacts / records</x:v>
      </x:c>
      <x:c r="T339" s="22" t="str">
        <x:v>Scoped desk assessment</x:v>
      </x:c>
    </x:row>
    <x:row r="340" ht="48" customHeight="1">
      <x:c r="A340" s="22" t="n">
        <x:v>335</x:v>
      </x:c>
      <x:c r="B340" s="22" t="str">
        <x:v>Tools</x:v>
      </x:c>
      <x:c r="C340" s="39" t="str">
        <x:v>C</x:v>
      </x:c>
      <x:c r="D340" s="22" t="str">
        <x:v>Documented</x:v>
      </x:c>
      <x:c r="E340" s="22" t="str">
        <x:v>USERNAME</x:v>
      </x:c>
      <x:c r="F340" s="22" t="str">
        <x:v>Third-party search launcher</x:v>
      </x:c>
      <x:c r="G340" s="22" t="str">
        <x:v>Routes searches to other services and disclaims their results. Multiple routed results are not automatically independent evidence.</x:v>
      </x:c>
      <x:c r="H340" s="22" t="str">
        <x:v>Corroborate before attribution</x:v>
      </x:c>
      <x:c r="I340" s="22" t="str">
        <x:v>Content readable; lookup not tested</x:v>
      </x:c>
      <x:c r="J340" s="22" t="str">
        <x:v>Provider documentation</x:v>
      </x:c>
      <x:c r="K340" s="22" t="str">
        <x:v>S003</x:v>
      </x:c>
      <x:c r="L340" s="24" t="str">
        <x:v>https://intelx.io/tools</x:v>
      </x:c>
      <x:c r="M340" s="24" t="str">
        <x:v>https://intelx.io/tools?tab=username</x:v>
      </x:c>
      <x:c r="N340" s="22" t="str">
        <x:v>311645311</x:v>
      </x:c>
      <x:c r="O340" s="22" t="n">
        <x:v>1005</x:v>
      </x:c>
      <x:c r="P340" s="22" t="n">
        <x:v>4</x:v>
      </x:c>
      <x:c r="Q340" s="22" t="str">
        <x:v>2026-09-15</x:v>
      </x:c>
      <x:c r="R340" s="22" t="n">
        <x:f>COUNTIF($M$6:$M$1177,M340)</x:f>
        <x:v>1</x:v>
      </x:c>
      <x:c r="S340" s="22" t="str">
        <x:v>Contacts / records</x:v>
      </x:c>
      <x:c r="T340" s="22" t="str">
        <x:v>Scoped desk assessment</x:v>
      </x:c>
    </x:row>
    <x:row r="341" ht="54" customHeight="1">
      <x:c r="A341" s="22" t="n">
        <x:v>336</x:v>
      </x:c>
      <x:c r="B341" s="22" t="str">
        <x:v>maigret</x:v>
      </x:c>
      <x:c r="C341" s="39" t="str">
        <x:v>C</x:v>
      </x:c>
      <x:c r="D341" s="22" t="str">
        <x:v>Documented</x:v>
      </x:c>
      <x:c r="E341" s="22" t="str">
        <x:v>USERNAME</x:v>
      </x:c>
      <x:c r="F341" s="22" t="str">
        <x:v>Username search / public profile correlation</x:v>
      </x:c>
      <x:c r="G341" s="22" t="str">
        <x:v>Package and project links are available. Correlated profiles remain candidate matches; package availability does not validate each detector.</x:v>
      </x:c>
      <x:c r="H341" s="22" t="str">
        <x:v>Corroborate before attribution</x:v>
      </x:c>
      <x:c r="I341" s="22" t="str">
        <x:v>Package page readable; software not run</x:v>
      </x:c>
      <x:c r="J341" s="22" t="str">
        <x:v>Package metadata</x:v>
      </x:c>
      <x:c r="K341" s="22" t="str">
        <x:v>S011</x:v>
      </x:c>
      <x:c r="L341" s="24" t="str">
        <x:v>https://pypi.org/project/maigret/</x:v>
      </x:c>
      <x:c r="M341" s="24" t="str">
        <x:v>https://pypi.org/project/maigret/</x:v>
      </x:c>
      <x:c r="N341" s="22" t="str">
        <x:v>304994890</x:v>
      </x:c>
      <x:c r="O341" s="22" t="n">
        <x:v>1005</x:v>
      </x:c>
      <x:c r="P341" s="22" t="n">
        <x:v>5</x:v>
      </x:c>
      <x:c r="Q341" s="22" t="str">
        <x:v>2026-09-15</x:v>
      </x:c>
      <x:c r="R341" s="22" t="n">
        <x:f>COUNTIF($M$6:$M$1177,M341)</x:f>
        <x:v>1</x:v>
      </x:c>
      <x:c r="S341" s="22" t="str">
        <x:v>Contacts / records</x:v>
      </x:c>
      <x:c r="T341" s="22" t="str">
        <x:v>Scoped desk assessment</x:v>
      </x:c>
    </x:row>
    <x:row r="342" ht="54" customHeight="1">
      <x:c r="A342" s="22" t="n">
        <x:v>337</x:v>
      </x:c>
      <x:c r="B342" s="22" t="str">
        <x:v>sherlock</x:v>
      </x:c>
      <x:c r="C342" s="39" t="str">
        <x:v>C</x:v>
      </x:c>
      <x:c r="D342" s="22" t="str">
        <x:v>Documented</x:v>
      </x:c>
      <x:c r="E342" s="22" t="str">
        <x:v>USERNAME</x:v>
      </x:c>
      <x:c r="F342" s="22" t="str">
        <x:v>Username-existence leads</x:v>
      </x:c>
      <x:c r="G342" s="22" t="str">
        <x:v>Official repository documents username searches and false-positive exclusions. Review every returned profile; installed versions and detectors can differ.</x:v>
      </x:c>
      <x:c r="H342" s="22" t="str">
        <x:v>Corroborate before attribution</x:v>
      </x:c>
      <x:c r="I342" s="22" t="str">
        <x:v>Repository readable; software not run</x:v>
      </x:c>
      <x:c r="J342" s="22" t="str">
        <x:v>Maintainer documentation</x:v>
      </x:c>
      <x:c r="K342" s="22" t="str">
        <x:v>S010</x:v>
      </x:c>
      <x:c r="L342" s="24" t="str">
        <x:v>https://github.com/sherlock-project/sherlock</x:v>
      </x:c>
      <x:c r="M342" s="24" t="str">
        <x:v>https://github.com/sherlock-project/sherlock</x:v>
      </x:c>
      <x:c r="N342" s="22" t="str">
        <x:v>289965214</x:v>
      </x:c>
      <x:c r="O342" s="22" t="n">
        <x:v>1005</x:v>
      </x:c>
      <x:c r="P342" s="22" t="n">
        <x:v>6</x:v>
      </x:c>
      <x:c r="Q342" s="22" t="str">
        <x:v>2026-09-15</x:v>
      </x:c>
      <x:c r="R342" s="22" t="n">
        <x:f>COUNTIF($M$6:$M$1177,M342)</x:f>
        <x:v>1</x:v>
      </x:c>
      <x:c r="S342" s="22" t="str">
        <x:v>Contacts / records</x:v>
      </x:c>
      <x:c r="T342" s="22" t="str">
        <x:v>Scoped desk assessment</x:v>
      </x:c>
    </x:row>
    <x:row r="343" ht="54" customHeight="1">
      <x:c r="A343" s="22" t="n">
        <x:v>338</x:v>
      </x:c>
      <x:c r="B343" s="22" t="str">
        <x:v>socialscan</x:v>
      </x:c>
      <x:c r="C343" s="39" t="str">
        <x:v>C</x:v>
      </x:c>
      <x:c r="D343" s="22" t="str">
        <x:v>Documented</x:v>
      </x:c>
      <x:c r="E343" s="22" t="str">
        <x:v>USERNAME</x:v>
      </x:c>
      <x:c r="F343" s="22" t="str">
        <x:v>Account availability signals</x:v>
      </x:c>
      <x:c r="G343" s="22" t="str">
        <x:v>A username/email availability checker is not proof of the same person across accounts. Verify platform responses and current module behavior.</x:v>
      </x:c>
      <x:c r="H343" s="22" t="str">
        <x:v>Corroborate before attribution</x:v>
      </x:c>
      <x:c r="I343" s="22" t="str">
        <x:v>Package page readable; software not run</x:v>
      </x:c>
      <x:c r="J343" s="22" t="str">
        <x:v>Package documentation</x:v>
      </x:c>
      <x:c r="K343" s="22" t="str">
        <x:v>S012</x:v>
      </x:c>
      <x:c r="L343" s="24" t="str">
        <x:v>https://pypi.org/project/socialscan/</x:v>
      </x:c>
      <x:c r="M343" s="24" t="str">
        <x:v>https://pypi.org/project/socialscan/</x:v>
      </x:c>
      <x:c r="N343" s="22" t="str">
        <x:v>268399022</x:v>
      </x:c>
      <x:c r="O343" s="22" t="n">
        <x:v>1005</x:v>
      </x:c>
      <x:c r="P343" s="22" t="n">
        <x:v>7</x:v>
      </x:c>
      <x:c r="Q343" s="22" t="str">
        <x:v>2026-09-15</x:v>
      </x:c>
      <x:c r="R343" s="22" t="n">
        <x:f>COUNTIF($M$6:$M$1177,M343)</x:f>
        <x:v>1</x:v>
      </x:c>
      <x:c r="S343" s="22" t="str">
        <x:v>Contacts / records</x:v>
      </x:c>
      <x:c r="T343" s="22" t="str">
        <x:v>Scoped desk assessment</x:v>
      </x:c>
    </x:row>
    <x:row r="344" ht="54" customHeight="1">
      <x:c r="A344" s="22" t="n">
        <x:v>339</x:v>
      </x:c>
      <x:c r="B344" s="22" t="str">
        <x:v>socid-extractor</x:v>
      </x:c>
      <x:c r="C344" s="35" t="str">
        <x:v>B</x:v>
      </x:c>
      <x:c r="D344" s="22" t="str">
        <x:v>Documented</x:v>
      </x:c>
      <x:c r="E344" s="22" t="str">
        <x:v>USERNAME</x:v>
      </x:c>
      <x:c r="F344" s="22" t="str">
        <x:v>Extraction from supplied public profile pages</x:v>
      </x:c>
      <x:c r="G344" s="22" t="str">
        <x:v>Extracts identifiers from page content. B applies to inspectable extraction, not authenticating the profile owner; compare fields with the original page.</x:v>
      </x:c>
      <x:c r="H344" s="22" t="str">
        <x:v>Corroborate before attribution</x:v>
      </x:c>
      <x:c r="I344" s="22" t="str">
        <x:v>Package page readable; software not run</x:v>
      </x:c>
      <x:c r="J344" s="22" t="str">
        <x:v>Package documentation</x:v>
      </x:c>
      <x:c r="K344" s="22" t="str">
        <x:v>S013</x:v>
      </x:c>
      <x:c r="L344" s="24" t="str">
        <x:v>https://pypi.org/project/socid-extractor/</x:v>
      </x:c>
      <x:c r="M344" s="24" t="str">
        <x:v>https://pypi.org/project/socid-extractor/</x:v>
      </x:c>
      <x:c r="N344" s="22" t="str">
        <x:v>304994948</x:v>
      </x:c>
      <x:c r="O344" s="22" t="n">
        <x:v>1005</x:v>
      </x:c>
      <x:c r="P344" s="22" t="n">
        <x:v>8</x:v>
      </x:c>
      <x:c r="Q344" s="22" t="str">
        <x:v>2026-09-15</x:v>
      </x:c>
      <x:c r="R344" s="22" t="n">
        <x:f>COUNTIF($M$6:$M$1177,M344)</x:f>
        <x:v>1</x:v>
      </x:c>
      <x:c r="S344" s="22" t="str">
        <x:v>Contacts / records</x:v>
      </x:c>
      <x:c r="T344" s="22" t="str">
        <x:v>Scoped desk assessment</x:v>
      </x:c>
    </x:row>
    <x:row r="345" ht="48" customHeight="1">
      <x:c r="A345" s="22" t="n">
        <x:v>340</x:v>
      </x:c>
      <x:c r="B345" s="22" t="str">
        <x:v>social-analyzer</x:v>
      </x:c>
      <x:c r="C345" s="39" t="str">
        <x:v>C</x:v>
      </x:c>
      <x:c r="D345" s="22" t="str">
        <x:v>Documented</x:v>
      </x:c>
      <x:c r="E345" s="22" t="str">
        <x:v>USERNAME</x:v>
      </x:c>
      <x:c r="F345" s="22" t="str">
        <x:v>Social-profile discovery</x:v>
      </x:c>
      <x:c r="G345" s="22" t="str">
        <x:v>Combines profile-search and analysis methods. Confidence scores are not independently calibrated identity probabilities in this audit.</x:v>
      </x:c>
      <x:c r="H345" s="22" t="str">
        <x:v>Corroborate before attribution</x:v>
      </x:c>
      <x:c r="I345" s="22" t="str">
        <x:v>Project readable; software not run</x:v>
      </x:c>
      <x:c r="J345" s="22" t="str">
        <x:v>Maintainer documentation</x:v>
      </x:c>
      <x:c r="K345" s="22" t="str">
        <x:v>S014</x:v>
      </x:c>
      <x:c r="L345" s="24" t="str">
        <x:v>https://github.com/qeeqbox/social-analyzer</x:v>
      </x:c>
      <x:c r="M345" s="24" t="str">
        <x:v>https://pypi.org/project/social-analyzer/</x:v>
      </x:c>
      <x:c r="N345" s="22" t="str">
        <x:v>289966190</x:v>
      </x:c>
      <x:c r="O345" s="22" t="n">
        <x:v>1005</x:v>
      </x:c>
      <x:c r="P345" s="22" t="n">
        <x:v>9</x:v>
      </x:c>
      <x:c r="Q345" s="22" t="str">
        <x:v>2026-09-15</x:v>
      </x:c>
      <x:c r="R345" s="22" t="n">
        <x:f>COUNTIF($M$6:$M$1177,M345)</x:f>
        <x:v>1</x:v>
      </x:c>
      <x:c r="S345" s="22" t="str">
        <x:v>Contacts / records</x:v>
      </x:c>
      <x:c r="T345" s="22" t="str">
        <x:v>Scoped desk assessment</x:v>
      </x:c>
    </x:row>
    <x:row r="346" ht="48" customHeight="1">
      <x:c r="A346" s="22" t="n">
        <x:v>341</x:v>
      </x:c>
      <x:c r="B346" s="22" t="str">
        <x:v>KnowEm</x:v>
      </x:c>
      <x:c r="C346" s="31" t="str">
        <x:v>U</x:v>
      </x:c>
      <x:c r="D346" s="22" t="str">
        <x:v>Access unresolved</x:v>
      </x:c>
      <x:c r="E346" s="22" t="str">
        <x:v>USERNAME</x:v>
      </x:c>
      <x:c r="F346" s="22" t="str">
        <x:v>Handle / account discovery</x:v>
      </x:c>
      <x:c r="G346" s="22" t="str">
        <x:v>A repeated handle is not proof of a common owner. Missing results are not proof of absence.</x:v>
      </x:c>
      <x:c r="H346" s="22" t="str">
        <x:v>Check manually; retrieval failure is not evidence the service is unreliable</x:v>
      </x:c>
      <x:c r="I346" s="22" t="str">
        <x:v>Unresolved reader access; website status unknown</x:v>
      </x:c>
      <x:c r="J346" s="22" t="str">
        <x:v>Fetch attempted; no usable substantive content</x:v>
      </x:c>
      <x:c r="K346" s="22" t="str"/>
      <x:c r="L346" s="24" t="str"/>
      <x:c r="M346" s="24" t="str">
        <x:v>https://knowem.com/</x:v>
      </x:c>
      <x:c r="N346" s="22" t="str">
        <x:v>268392547</x:v>
      </x:c>
      <x:c r="O346" s="22" t="n">
        <x:v>1005</x:v>
      </x:c>
      <x:c r="P346" s="22" t="n">
        <x:v>10</x:v>
      </x:c>
      <x:c r="Q346" s="22" t="str">
        <x:v>2026-09-15</x:v>
      </x:c>
      <x:c r="R346" s="22" t="n">
        <x:f>COUNTIF($M$6:$M$1177,M346)</x:f>
        <x:v>1</x:v>
      </x:c>
      <x:c r="S346" s="22" t="str">
        <x:v>Contacts / records</x:v>
      </x:c>
      <x:c r="T346" s="22" t="str">
        <x:v>Not established</x:v>
      </x:c>
    </x:row>
    <x:row r="347" ht="48" customHeight="1">
      <x:c r="A347" s="22" t="n">
        <x:v>342</x:v>
      </x:c>
      <x:c r="B347" s="22" t="str">
        <x:v>Check Usernames</x:v>
      </x:c>
      <x:c r="C347" s="31" t="str">
        <x:v>U</x:v>
      </x:c>
      <x:c r="D347" s="22" t="str">
        <x:v>Access unresolved</x:v>
      </x:c>
      <x:c r="E347" s="22" t="str">
        <x:v>USERNAME</x:v>
      </x:c>
      <x:c r="F347" s="22" t="str">
        <x:v>Handle / account discovery</x:v>
      </x:c>
      <x:c r="G347" s="22" t="str">
        <x:v>A repeated handle is not proof of a common owner. Missing results are not proof of absence.</x:v>
      </x:c>
      <x:c r="H347" s="22" t="str">
        <x:v>Check manually; retrieval failure is not evidence the service is unreliable</x:v>
      </x:c>
      <x:c r="I347" s="22" t="str">
        <x:v>Unresolved reader access; website status unknown</x:v>
      </x:c>
      <x:c r="J347" s="22" t="str">
        <x:v>Fetch attempted; no usable substantive content</x:v>
      </x:c>
      <x:c r="K347" s="22" t="str"/>
      <x:c r="L347" s="24" t="str"/>
      <x:c r="M347" s="24" t="str">
        <x:v>https://checkusernames.com/</x:v>
      </x:c>
      <x:c r="N347" s="22" t="str">
        <x:v>268395970</x:v>
      </x:c>
      <x:c r="O347" s="22" t="n">
        <x:v>1005</x:v>
      </x:c>
      <x:c r="P347" s="22" t="n">
        <x:v>11</x:v>
      </x:c>
      <x:c r="Q347" s="22" t="str">
        <x:v>2026-09-15</x:v>
      </x:c>
      <x:c r="R347" s="22" t="n">
        <x:f>COUNTIF($M$6:$M$1177,M347)</x:f>
        <x:v>1</x:v>
      </x:c>
      <x:c r="S347" s="22" t="str">
        <x:v>Contacts / records</x:v>
      </x:c>
      <x:c r="T347" s="22" t="str">
        <x:v>Not established</x:v>
      </x:c>
    </x:row>
    <x:row r="348" ht="48" customHeight="1">
      <x:c r="A348" s="22" t="n">
        <x:v>343</x:v>
      </x:c>
      <x:c r="B348" s="22" t="str">
        <x:v>Username Checker</x:v>
      </x:c>
      <x:c r="C348" s="39" t="str">
        <x:v>C</x:v>
      </x:c>
      <x:c r="D348" s="22" t="str">
        <x:v>Documented</x:v>
      </x:c>
      <x:c r="E348" s="22" t="str">
        <x:v>USERNAME</x:v>
      </x:c>
      <x:c r="F348" s="22" t="str">
        <x:v>Handle-availability checks</x:v>
      </x:c>
      <x:c r="G348" s="22" t="str">
        <x:v>Designed for username availability and branding. Taken or unavailable does not establish a person's ownership or a relationship.</x:v>
      </x:c>
      <x:c r="H348" s="22" t="str">
        <x:v>Corroborate before attribution</x:v>
      </x:c>
      <x:c r="I348" s="22" t="str">
        <x:v>Content readable; lookup not tested</x:v>
      </x:c>
      <x:c r="J348" s="22" t="str">
        <x:v>Provider landing page</x:v>
      </x:c>
      <x:c r="K348" s="22" t="str">
        <x:v>S079</x:v>
      </x:c>
      <x:c r="L348" s="24" t="str">
        <x:v>https://checkuser.org/</x:v>
      </x:c>
      <x:c r="M348" s="24" t="str">
        <x:v>https://checkuser.org/</x:v>
      </x:c>
      <x:c r="N348" s="22" t="str">
        <x:v>268508894</x:v>
      </x:c>
      <x:c r="O348" s="22" t="n">
        <x:v>1005</x:v>
      </x:c>
      <x:c r="P348" s="22" t="n">
        <x:v>12</x:v>
      </x:c>
      <x:c r="Q348" s="22" t="str">
        <x:v>2026-09-15</x:v>
      </x:c>
      <x:c r="R348" s="22" t="n">
        <x:f>COUNTIF($M$6:$M$1177,M348)</x:f>
        <x:v>1</x:v>
      </x:c>
      <x:c r="S348" s="22" t="str">
        <x:v>Contacts / records</x:v>
      </x:c>
      <x:c r="T348" s="22" t="str">
        <x:v>Scoped desk assessment</x:v>
      </x:c>
    </x:row>
    <x:row r="349" ht="48" customHeight="1">
      <x:c r="A349" s="22" t="n">
        <x:v>344</x:v>
      </x:c>
      <x:c r="B349" s="22" t="str">
        <x:v>Namechk</x:v>
      </x:c>
      <x:c r="C349" s="39" t="str">
        <x:v>C</x:v>
      </x:c>
      <x:c r="D349" s="22" t="str">
        <x:v>Documented</x:v>
      </x:c>
      <x:c r="E349" s="22" t="str">
        <x:v>USERNAME</x:v>
      </x:c>
      <x:c r="F349" s="22" t="str">
        <x:v>Username/domain availability</x:v>
      </x:c>
      <x:c r="G349" s="22" t="str">
        <x:v>Availability checker, not evidence of a person's ownership. An unavailable handle can be reserved, blocked, or owned by somebody else.</x:v>
      </x:c>
      <x:c r="H349" s="22" t="str">
        <x:v>Corroborate before attribution</x:v>
      </x:c>
      <x:c r="I349" s="22" t="str">
        <x:v>Content readable; lookup not tested</x:v>
      </x:c>
      <x:c r="J349" s="22" t="str">
        <x:v>Provider landing page</x:v>
      </x:c>
      <x:c r="K349" s="22" t="str">
        <x:v>S016</x:v>
      </x:c>
      <x:c r="L349" s="24" t="str">
        <x:v>https://namechk.com/</x:v>
      </x:c>
      <x:c r="M349" s="24" t="str">
        <x:v>https://namechk.com/</x:v>
      </x:c>
      <x:c r="N349" s="22" t="str">
        <x:v>268392550</x:v>
      </x:c>
      <x:c r="O349" s="22" t="n">
        <x:v>1005</x:v>
      </x:c>
      <x:c r="P349" s="22" t="n">
        <x:v>13</x:v>
      </x:c>
      <x:c r="Q349" s="22" t="str">
        <x:v>2026-09-15</x:v>
      </x:c>
      <x:c r="R349" s="22" t="n">
        <x:f>COUNTIF($M$6:$M$1177,M349)</x:f>
        <x:v>1</x:v>
      </x:c>
      <x:c r="S349" s="22" t="str">
        <x:v>Contacts / records</x:v>
      </x:c>
      <x:c r="T349" s="22" t="str">
        <x:v>Scoped desk assessment</x:v>
      </x:c>
    </x:row>
    <x:row r="350" ht="48" customHeight="1">
      <x:c r="A350" s="22" t="n">
        <x:v>345</x:v>
      </x:c>
      <x:c r="B350" s="22" t="str">
        <x:v>Lullar Com</x:v>
      </x:c>
      <x:c r="C350" s="39" t="str">
        <x:v>C</x:v>
      </x:c>
      <x:c r="D350" s="22" t="str">
        <x:v>Documented</x:v>
      </x:c>
      <x:c r="E350" s="22" t="str">
        <x:v>USERNAME</x:v>
      </x:c>
      <x:c r="F350" s="22" t="str">
        <x:v>Multi-platform profile discovery</x:v>
      </x:c>
      <x:c r="G350" s="22" t="str">
        <x:v>Search and referral interface. Provider marketing and privacy assurances were not independently tested; verify each underlying profile.</x:v>
      </x:c>
      <x:c r="H350" s="22" t="str">
        <x:v>Corroborate before attribution</x:v>
      </x:c>
      <x:c r="I350" s="22" t="str">
        <x:v>Content readable; lookup not tested</x:v>
      </x:c>
      <x:c r="J350" s="22" t="str">
        <x:v>Provider landing page</x:v>
      </x:c>
      <x:c r="K350" s="22" t="str">
        <x:v>S080</x:v>
      </x:c>
      <x:c r="L350" s="24" t="str">
        <x:v>https://com.lullar.com/</x:v>
      </x:c>
      <x:c r="M350" s="24" t="str">
        <x:v>https://com.lullar.com/</x:v>
      </x:c>
      <x:c r="N350" s="22" t="str">
        <x:v>268395987</x:v>
      </x:c>
      <x:c r="O350" s="22" t="n">
        <x:v>1005</x:v>
      </x:c>
      <x:c r="P350" s="22" t="n">
        <x:v>14</x:v>
      </x:c>
      <x:c r="Q350" s="22" t="str">
        <x:v>2026-09-15</x:v>
      </x:c>
      <x:c r="R350" s="22" t="n">
        <x:f>COUNTIF($M$6:$M$1177,M350)</x:f>
        <x:v>1</x:v>
      </x:c>
      <x:c r="S350" s="22" t="str">
        <x:v>Contacts / records</x:v>
      </x:c>
      <x:c r="T350" s="22" t="str">
        <x:v>Scoped desk assessment</x:v>
      </x:c>
    </x:row>
    <x:row r="351" ht="48" customHeight="1">
      <x:c r="A351" s="22" t="n">
        <x:v>346</x:v>
      </x:c>
      <x:c r="B351" s="22" t="str">
        <x:v>SearchPOF.com</x:v>
      </x:c>
      <x:c r="C351" s="39" t="str">
        <x:v>C</x:v>
      </x:c>
      <x:c r="D351" s="22" t="str">
        <x:v>Documented</x:v>
      </x:c>
      <x:c r="E351" s="22" t="str">
        <x:v>USERNAME</x:v>
      </x:c>
      <x:c r="F351" s="22" t="str">
        <x:v>POF username discovery</x:v>
      </x:c>
      <x:c r="G351" s="22" t="str">
        <x:v>A search interface for possible dating profiles. A name/handle hit does not establish identity, present membership or behavior.</x:v>
      </x:c>
      <x:c r="H351" s="22" t="str">
        <x:v>Corroborate before attribution</x:v>
      </x:c>
      <x:c r="I351" s="22" t="str">
        <x:v>Content readable; lookup not tested</x:v>
      </x:c>
      <x:c r="J351" s="22" t="str">
        <x:v>Provider landing page</x:v>
      </x:c>
      <x:c r="K351" s="22" t="str">
        <x:v>S081</x:v>
      </x:c>
      <x:c r="L351" s="24" t="str">
        <x:v>https://searchpof.com/</x:v>
      </x:c>
      <x:c r="M351" s="24" t="str">
        <x:v>https://searchpof.com/</x:v>
      </x:c>
      <x:c r="N351" s="22" t="str">
        <x:v>268409467</x:v>
      </x:c>
      <x:c r="O351" s="22" t="n">
        <x:v>1005</x:v>
      </x:c>
      <x:c r="P351" s="22" t="n">
        <x:v>15</x:v>
      </x:c>
      <x:c r="Q351" s="22" t="str">
        <x:v>2026-09-15</x:v>
      </x:c>
      <x:c r="R351" s="22" t="n">
        <x:f>COUNTIF($M$6:$M$1177,M351)</x:f>
        <x:v>1</x:v>
      </x:c>
      <x:c r="S351" s="22" t="str">
        <x:v>Contacts / records</x:v>
      </x:c>
      <x:c r="T351" s="22" t="str">
        <x:v>Scoped desk assessment</x:v>
      </x:c>
    </x:row>
    <x:row r="352" ht="48" customHeight="1">
      <x:c r="A352" s="22" t="n">
        <x:v>347</x:v>
      </x:c>
      <x:c r="B352" s="22" t="str">
        <x:v>OSINT Toolkit</x:v>
      </x:c>
      <x:c r="C352" s="39" t="str">
        <x:v>C</x:v>
      </x:c>
      <x:c r="D352" s="22" t="str">
        <x:v>Documented</x:v>
      </x:c>
      <x:c r="E352" s="22" t="str">
        <x:v>USERNAME</x:v>
      </x:c>
      <x:c r="F352" s="22" t="str">
        <x:v>Username search shortcuts</x:v>
      </x:c>
      <x:c r="G352" s="22" t="str">
        <x:v>The tool itself warns that results are approximate and that a negative result does not establish non-use.</x:v>
      </x:c>
      <x:c r="H352" s="22" t="str">
        <x:v>Corroborate before attribution</x:v>
      </x:c>
      <x:c r="I352" s="22" t="str">
        <x:v>Content readable; lookup not tested</x:v>
      </x:c>
      <x:c r="J352" s="22" t="str">
        <x:v>Provider documentation</x:v>
      </x:c>
      <x:c r="K352" s="22" t="str">
        <x:v>S018</x:v>
      </x:c>
      <x:c r="L352" s="24" t="str">
        <x:v>https://one-plus.github.io/EmailUsername</x:v>
      </x:c>
      <x:c r="M352" s="24" t="str">
        <x:v>https://one-plus.github.io/EmailUsername</x:v>
      </x:c>
      <x:c r="N352" s="22" t="str">
        <x:v>286013229</x:v>
      </x:c>
      <x:c r="O352" s="22" t="n">
        <x:v>1005</x:v>
      </x:c>
      <x:c r="P352" s="22" t="n">
        <x:v>16</x:v>
      </x:c>
      <x:c r="Q352" s="22" t="str">
        <x:v>2026-09-15</x:v>
      </x:c>
      <x:c r="R352" s="22" t="n">
        <x:f>COUNTIF($M$6:$M$1177,M352)</x:f>
        <x:v>1</x:v>
      </x:c>
      <x:c r="S352" s="22" t="str">
        <x:v>Contacts / records</x:v>
      </x:c>
      <x:c r="T352" s="22" t="str">
        <x:v>Scoped desk assessment</x:v>
      </x:c>
    </x:row>
    <x:row r="353" ht="48" customHeight="1">
      <x:c r="A353" s="22" t="n">
        <x:v>348</x:v>
      </x:c>
      <x:c r="B353" s="22" t="str">
        <x:v>Username search tool</x:v>
      </x:c>
      <x:c r="C353" s="39" t="str">
        <x:v>C</x:v>
      </x:c>
      <x:c r="D353" s="22" t="str">
        <x:v>Documented</x:v>
      </x:c>
      <x:c r="E353" s="22" t="str">
        <x:v>USERNAME</x:v>
      </x:c>
      <x:c r="F353" s="22" t="str">
        <x:v>Username query builder</x:v>
      </x:c>
      <x:c r="G353" s="22" t="str">
        <x:v>Creates external searches rather than independently authenticating account ownership.</x:v>
      </x:c>
      <x:c r="H353" s="22" t="str">
        <x:v>Corroborate before attribution</x:v>
      </x:c>
      <x:c r="I353" s="22" t="str">
        <x:v>Content readable; lookup not tested</x:v>
      </x:c>
      <x:c r="J353" s="22" t="str">
        <x:v>Provider documentation</x:v>
      </x:c>
      <x:c r="K353" s="22" t="str">
        <x:v>S017</x:v>
      </x:c>
      <x:c r="L353" s="24" t="str">
        <x:v>https://www.aware-online.com/en/osint-tools/username-search-tool/</x:v>
      </x:c>
      <x:c r="M353" s="24" t="str">
        <x:v>https://www.aware-online.com/en/osint-tools/username-search-tool/</x:v>
      </x:c>
      <x:c r="N353" s="22" t="str">
        <x:v>268503234</x:v>
      </x:c>
      <x:c r="O353" s="22" t="n">
        <x:v>1008</x:v>
      </x:c>
      <x:c r="P353" s="22" t="n">
        <x:v>17</x:v>
      </x:c>
      <x:c r="Q353" s="22" t="str">
        <x:v>2026-09-15</x:v>
      </x:c>
      <x:c r="R353" s="22" t="n">
        <x:f>COUNTIF($M$6:$M$1177,M353)</x:f>
        <x:v>1</x:v>
      </x:c>
      <x:c r="S353" s="22" t="str">
        <x:v>Contacts / records</x:v>
      </x:c>
      <x:c r="T353" s="22" t="str">
        <x:v>Scoped desk assessment</x:v>
      </x:c>
    </x:row>
    <x:row r="354" ht="54" customHeight="1">
      <x:c r="A354" s="22" t="n">
        <x:v>349</x:v>
      </x:c>
      <x:c r="B354" s="22" t="str">
        <x:v>snoop</x:v>
      </x:c>
      <x:c r="C354" s="39" t="str">
        <x:v>C</x:v>
      </x:c>
      <x:c r="D354" s="22" t="str">
        <x:v>Documented</x:v>
      </x:c>
      <x:c r="E354" s="22" t="str">
        <x:v>USERNAME</x:v>
      </x:c>
      <x:c r="F354" s="22" t="str">
        <x:v>Username search</x:v>
      </x:c>
      <x:c r="G354" s="22" t="str">
        <x:v>Public project describes username-based discovery. A match remains a lead; language/site coverage and detector behavior require checking.</x:v>
      </x:c>
      <x:c r="H354" s="22" t="str">
        <x:v>Corroborate before attribution</x:v>
      </x:c>
      <x:c r="I354" s="22" t="str">
        <x:v>Project readable; software not run</x:v>
      </x:c>
      <x:c r="J354" s="22" t="str">
        <x:v>Maintainer documentation</x:v>
      </x:c>
      <x:c r="K354" s="22" t="str">
        <x:v>S015</x:v>
      </x:c>
      <x:c r="L354" s="24" t="str">
        <x:v>https://github.com/snooppr/snoop</x:v>
      </x:c>
      <x:c r="M354" s="24" t="str">
        <x:v>https://github.com/snooppr/snoop</x:v>
      </x:c>
      <x:c r="N354" s="22" t="str">
        <x:v>289966163</x:v>
      </x:c>
      <x:c r="O354" s="22" t="n">
        <x:v>1008</x:v>
      </x:c>
      <x:c r="P354" s="22" t="n">
        <x:v>18</x:v>
      </x:c>
      <x:c r="Q354" s="22" t="str">
        <x:v>2026-09-15</x:v>
      </x:c>
      <x:c r="R354" s="22" t="n">
        <x:f>COUNTIF($M$6:$M$1177,M354)</x:f>
        <x:v>1</x:v>
      </x:c>
      <x:c r="S354" s="22" t="str">
        <x:v>Contacts / records</x:v>
      </x:c>
      <x:c r="T354" s="22" t="str">
        <x:v>Scoped desk assessment</x:v>
      </x:c>
    </x:row>
    <x:row r="355" ht="48" customHeight="1">
      <x:c r="A355" s="22" t="n">
        <x:v>350</x:v>
      </x:c>
      <x:c r="B355" s="22" t="str">
        <x:v>quidam</x:v>
      </x:c>
      <x:c r="C355" s="39" t="str">
        <x:v>C</x:v>
      </x:c>
      <x:c r="D355" s="22" t="str">
        <x:v>Documented</x:v>
      </x:c>
      <x:c r="E355" s="22" t="str">
        <x:v>USERNAME</x:v>
      </x:c>
      <x:c r="F355" s="22" t="str">
        <x:v>Social-profile lookup software</x:v>
      </x:c>
      <x:c r="G355" s="22" t="str">
        <x:v>Package documentation identifies a profile-discovery tool. No account matching, API compatibility or false-positive rate was tested.</x:v>
      </x:c>
      <x:c r="H355" s="22" t="str">
        <x:v>Corroborate before attribution</x:v>
      </x:c>
      <x:c r="I355" s="22" t="str">
        <x:v>Package page readable; software not run</x:v>
      </x:c>
      <x:c r="J355" s="22" t="str">
        <x:v>Maintainer package documentation</x:v>
      </x:c>
      <x:c r="K355" s="22" t="str">
        <x:v>S082</x:v>
      </x:c>
      <x:c r="L355" s="24" t="str">
        <x:v>https://pypi.org/project/quidam/</x:v>
      </x:c>
      <x:c r="M355" s="24" t="str">
        <x:v>https://pypi.org/project/quidam/</x:v>
      </x:c>
      <x:c r="N355" s="22" t="str">
        <x:v>309551499</x:v>
      </x:c>
      <x:c r="O355" s="22" t="n">
        <x:v>1008</x:v>
      </x:c>
      <x:c r="P355" s="22" t="n">
        <x:v>19</x:v>
      </x:c>
      <x:c r="Q355" s="22" t="str">
        <x:v>2026-09-15</x:v>
      </x:c>
      <x:c r="R355" s="22" t="n">
        <x:f>COUNTIF($M$6:$M$1177,M355)</x:f>
        <x:v>1</x:v>
      </x:c>
      <x:c r="S355" s="22" t="str">
        <x:v>Contacts / records</x:v>
      </x:c>
      <x:c r="T355" s="22" t="str">
        <x:v>Scoped desk assessment</x:v>
      </x:c>
    </x:row>
    <x:row r="356" ht="48" customHeight="1">
      <x:c r="A356" s="22" t="n">
        <x:v>351</x:v>
      </x:c>
      <x:c r="B356" s="22" t="str">
        <x:v>Identificator.space</x:v>
      </x:c>
      <x:c r="C356" s="31" t="str">
        <x:v>U</x:v>
      </x:c>
      <x:c r="D356" s="22" t="str">
        <x:v>Unassessed</x:v>
      </x:c>
      <x:c r="E356" s="22" t="str">
        <x:v>EMAIL</x:v>
      </x:c>
      <x:c r="F356" s="22" t="str">
        <x:v>Email-related discovery or analysis</x:v>
      </x:c>
      <x:c r="G356" s="22" t="str">
        <x:v>Distinguish an address pattern, deliverability, account existence and actual mailbox ownership.</x:v>
      </x:c>
      <x:c r="H356" s="22" t="str">
        <x:v>Verify publisher, source and current function before reliance</x:v>
      </x:c>
      <x:c r="I356" s="22" t="str">
        <x:v>Not checked</x:v>
      </x:c>
      <x:c r="J356" s="22" t="str">
        <x:v>Saved bookmark metadata only</x:v>
      </x:c>
      <x:c r="K356" s="22" t="str"/>
      <x:c r="L356" s="24" t="str"/>
      <x:c r="M356" s="24" t="str">
        <x:v>https://identificator.space/</x:v>
      </x:c>
      <x:c r="N356" s="22" t="str">
        <x:v>321752569</x:v>
      </x:c>
      <x:c r="O356" s="22" t="n">
        <x:v>1009</x:v>
      </x:c>
      <x:c r="P356" s="22" t="n">
        <x:v>1</x:v>
      </x:c>
      <x:c r="Q356" s="22" t="str"/>
      <x:c r="R356" s="22" t="n">
        <x:f>COUNTIF($M$6:$M$1177,M356)</x:f>
        <x:v>1</x:v>
      </x:c>
      <x:c r="S356" s="22" t="str">
        <x:v>Contacts / records</x:v>
      </x:c>
      <x:c r="T356" s="22" t="str">
        <x:v>Not established</x:v>
      </x:c>
    </x:row>
    <x:row r="357" ht="48" customHeight="1">
      <x:c r="A357" s="22" t="n">
        <x:v>352</x:v>
      </x:c>
      <x:c r="B357" s="22" t="str">
        <x:v>Epieos Email Lookup</x:v>
      </x:c>
      <x:c r="C357" s="39" t="str">
        <x:v>C</x:v>
      </x:c>
      <x:c r="D357" s="22" t="str">
        <x:v>Documented</x:v>
      </x:c>
      <x:c r="E357" s="22" t="str">
        <x:v>EMAIL</x:v>
      </x:c>
      <x:c r="F357" s="22" t="str">
        <x:v>Email/phone account-association leads</x:v>
      </x:c>
      <x:c r="G357" s="22" t="str">
        <x:v>Real-time and no-false-positive statements are vendor claims; this review did not benchmark them or validate identity attribution.</x:v>
      </x:c>
      <x:c r="H357" s="22" t="str">
        <x:v>Corroborate before attribution</x:v>
      </x:c>
      <x:c r="I357" s="22" t="str">
        <x:v>Content readable; lookup not tested</x:v>
      </x:c>
      <x:c r="J357" s="22" t="str">
        <x:v>Provider landing page</x:v>
      </x:c>
      <x:c r="K357" s="22" t="str">
        <x:v>S020</x:v>
      </x:c>
      <x:c r="L357" s="24" t="str">
        <x:v>https://epieos.com/</x:v>
      </x:c>
      <x:c r="M357" s="24" t="str">
        <x:v>https://epieos.com/</x:v>
      </x:c>
      <x:c r="N357" s="22" t="str">
        <x:v>302156235</x:v>
      </x:c>
      <x:c r="O357" s="22" t="n">
        <x:v>1009</x:v>
      </x:c>
      <x:c r="P357" s="22" t="n">
        <x:v>2</x:v>
      </x:c>
      <x:c r="Q357" s="22" t="str">
        <x:v>2026-09-15</x:v>
      </x:c>
      <x:c r="R357" s="22" t="n">
        <x:f>COUNTIF($M$6:$M$1177,M357)</x:f>
        <x:v>1</x:v>
      </x:c>
      <x:c r="S357" s="22" t="str">
        <x:v>Contacts / records</x:v>
      </x:c>
      <x:c r="T357" s="22" t="str">
        <x:v>Scoped desk assessment</x:v>
      </x:c>
    </x:row>
    <x:row r="358" ht="48" customHeight="1">
      <x:c r="A358" s="22" t="n">
        <x:v>353</x:v>
      </x:c>
      <x:c r="B358" s="22" t="str">
        <x:v>Intelligence X</x:v>
      </x:c>
      <x:c r="C358" s="39" t="str">
        <x:v>C</x:v>
      </x:c>
      <x:c r="D358" s="22" t="str">
        <x:v>Documented</x:v>
      </x:c>
      <x:c r="E358" s="22" t="str">
        <x:v>EMAIL</x:v>
      </x:c>
      <x:c r="F358" s="22" t="str">
        <x:v>Third-party search launcher</x:v>
      </x:c>
      <x:c r="G358" s="22" t="str">
        <x:v>Routes searches to other services and disclaims their results. Multiple routed results are not automatically independent evidence.</x:v>
      </x:c>
      <x:c r="H358" s="22" t="str">
        <x:v>Corroborate before attribution</x:v>
      </x:c>
      <x:c r="I358" s="22" t="str">
        <x:v>Content readable; lookup not tested</x:v>
      </x:c>
      <x:c r="J358" s="22" t="str">
        <x:v>Provider documentation</x:v>
      </x:c>
      <x:c r="K358" s="22" t="str">
        <x:v>S003</x:v>
      </x:c>
      <x:c r="L358" s="24" t="str">
        <x:v>https://intelx.io/tools</x:v>
      </x:c>
      <x:c r="M358" s="24" t="str">
        <x:v>https://intelx.io/tools?tab=email</x:v>
      </x:c>
      <x:c r="N358" s="22" t="str">
        <x:v>311645301</x:v>
      </x:c>
      <x:c r="O358" s="22" t="n">
        <x:v>1009</x:v>
      </x:c>
      <x:c r="P358" s="22" t="n">
        <x:v>3</x:v>
      </x:c>
      <x:c r="Q358" s="22" t="str">
        <x:v>2026-09-15</x:v>
      </x:c>
      <x:c r="R358" s="22" t="n">
        <x:f>COUNTIF($M$6:$M$1177,M358)</x:f>
        <x:v>1</x:v>
      </x:c>
      <x:c r="S358" s="22" t="str">
        <x:v>Contacts / records</x:v>
      </x:c>
      <x:c r="T358" s="22" t="str">
        <x:v>Scoped desk assessment</x:v>
      </x:c>
    </x:row>
    <x:row r="359" ht="54" customHeight="1">
      <x:c r="A359" s="22" t="n">
        <x:v>354</x:v>
      </x:c>
      <x:c r="B359" s="22" t="str">
        <x:v>holehe</x:v>
      </x:c>
      <x:c r="C359" s="39" t="str">
        <x:v>C</x:v>
      </x:c>
      <x:c r="D359" s="22" t="str">
        <x:v>Documented</x:v>
      </x:c>
      <x:c r="E359" s="22" t="str">
        <x:v>EMAIL</x:v>
      </x:c>
      <x:c r="F359" s="22" t="str">
        <x:v>Account-enumeration leads</x:v>
      </x:c>
      <x:c r="G359" s="22" t="str">
        <x:v>The linked PyPI page lists a July 2022 release. Check current upstream modules; an old package date alone does not prove the repository is abandoned.</x:v>
      </x:c>
      <x:c r="H359" s="22" t="str">
        <x:v>Corroborate before attribution</x:v>
      </x:c>
      <x:c r="I359" s="22" t="str">
        <x:v>Package page readable; software not run</x:v>
      </x:c>
      <x:c r="J359" s="22" t="str">
        <x:v>Package metadata</x:v>
      </x:c>
      <x:c r="K359" s="22" t="str">
        <x:v>S021</x:v>
      </x:c>
      <x:c r="L359" s="24" t="str">
        <x:v>https://pypi.org/project/holehe/</x:v>
      </x:c>
      <x:c r="M359" s="24" t="str">
        <x:v>https://pypi.org/project/holehe/</x:v>
      </x:c>
      <x:c r="N359" s="22" t="str">
        <x:v>268401609</x:v>
      </x:c>
      <x:c r="O359" s="22" t="n">
        <x:v>1009</x:v>
      </x:c>
      <x:c r="P359" s="22" t="n">
        <x:v>4</x:v>
      </x:c>
      <x:c r="Q359" s="22" t="str">
        <x:v>2026-09-15</x:v>
      </x:c>
      <x:c r="R359" s="22" t="n">
        <x:f>COUNTIF($M$6:$M$1177,M359)</x:f>
        <x:v>1</x:v>
      </x:c>
      <x:c r="S359" s="22" t="str">
        <x:v>Contacts / records</x:v>
      </x:c>
      <x:c r="T359" s="22" t="str">
        <x:v>Scoped desk assessment</x:v>
      </x:c>
    </x:row>
    <x:row r="360" ht="48" customHeight="1">
      <x:c r="A360" s="22" t="n">
        <x:v>355</x:v>
      </x:c>
      <x:c r="B360" s="22" t="str">
        <x:v>Infoga</x:v>
      </x:c>
      <x:c r="C360" s="31" t="str">
        <x:v>U</x:v>
      </x:c>
      <x:c r="D360" s="22" t="str">
        <x:v>Unassessed</x:v>
      </x:c>
      <x:c r="E360" s="22" t="str">
        <x:v>EMAIL</x:v>
      </x:c>
      <x:c r="F360" s="22" t="str">
        <x:v>Email-related discovery or analysis</x:v>
      </x:c>
      <x:c r="G360" s="22" t="str">
        <x:v>Distinguish an address pattern, deliverability, account existence and actual mailbox ownership.</x:v>
      </x:c>
      <x:c r="H360" s="22" t="str">
        <x:v>Verify publisher, source and current function before reliance</x:v>
      </x:c>
      <x:c r="I360" s="22" t="str">
        <x:v>Not checked</x:v>
      </x:c>
      <x:c r="J360" s="22" t="str">
        <x:v>Saved bookmark metadata only</x:v>
      </x:c>
      <x:c r="K360" s="22" t="str"/>
      <x:c r="L360" s="24" t="str"/>
      <x:c r="M360" s="24" t="str">
        <x:v>http://github.com/m4ll0k/Infoga</x:v>
      </x:c>
      <x:c r="N360" s="22" t="str">
        <x:v>268401603</x:v>
      </x:c>
      <x:c r="O360" s="22" t="n">
        <x:v>1009</x:v>
      </x:c>
      <x:c r="P360" s="22" t="n">
        <x:v>5</x:v>
      </x:c>
      <x:c r="Q360" s="22" t="str"/>
      <x:c r="R360" s="22" t="n">
        <x:f>COUNTIF($M$6:$M$1177,M360)</x:f>
        <x:v>1</x:v>
      </x:c>
      <x:c r="S360" s="22" t="str">
        <x:v>Contacts / records</x:v>
      </x:c>
      <x:c r="T360" s="22" t="str">
        <x:v>Not established</x:v>
      </x:c>
    </x:row>
    <x:row r="361" ht="48" customHeight="1">
      <x:c r="A361" s="22" t="n">
        <x:v>356</x:v>
      </x:c>
      <x:c r="B361" s="22" t="str">
        <x:v>email2phonenumber</x:v>
      </x:c>
      <x:c r="C361" s="31" t="str">
        <x:v>U</x:v>
      </x:c>
      <x:c r="D361" s="22" t="str">
        <x:v>Unassessed</x:v>
      </x:c>
      <x:c r="E361" s="22" t="str">
        <x:v>EMAIL</x:v>
      </x:c>
      <x:c r="F361" s="22" t="str">
        <x:v>Email-related discovery or analysis</x:v>
      </x:c>
      <x:c r="G361" s="22" t="str">
        <x:v>Distinguish an address pattern, deliverability, account existence and actual mailbox ownership.</x:v>
      </x:c>
      <x:c r="H361" s="22" t="str">
        <x:v>Verify publisher, source and current function before reliance</x:v>
      </x:c>
      <x:c r="I361" s="22" t="str">
        <x:v>Not checked</x:v>
      </x:c>
      <x:c r="J361" s="22" t="str">
        <x:v>Saved bookmark metadata only</x:v>
      </x:c>
      <x:c r="K361" s="22" t="str"/>
      <x:c r="L361" s="24" t="str"/>
      <x:c r="M361" s="24" t="str">
        <x:v>https://github.com/martinvigo/email2phonenumber</x:v>
      </x:c>
      <x:c r="N361" s="22" t="str">
        <x:v>289970283</x:v>
      </x:c>
      <x:c r="O361" s="22" t="n">
        <x:v>1010</x:v>
      </x:c>
      <x:c r="P361" s="22" t="n">
        <x:v>6</x:v>
      </x:c>
      <x:c r="Q361" s="22" t="str"/>
      <x:c r="R361" s="22" t="n">
        <x:f>COUNTIF($M$6:$M$1177,M361)</x:f>
        <x:v>1</x:v>
      </x:c>
      <x:c r="S361" s="22" t="str">
        <x:v>Contacts / records</x:v>
      </x:c>
      <x:c r="T361" s="22" t="str">
        <x:v>Not established</x:v>
      </x:c>
    </x:row>
    <x:row r="362" ht="54" customHeight="1">
      <x:c r="A362" s="22" t="n">
        <x:v>357</x:v>
      </x:c>
      <x:c r="B362" s="22" t="str">
        <x:v>Trumail</x:v>
      </x:c>
      <x:c r="C362" s="35" t="str">
        <x:v>B</x:v>
      </x:c>
      <x:c r="D362" s="22" t="str">
        <x:v>Documented</x:v>
      </x:c>
      <x:c r="E362" s="22" t="str">
        <x:v>EMAIL</x:v>
      </x:c>
      <x:c r="F362" s="22" t="str">
        <x:v>Email validation API, not identity</x:v>
      </x:c>
      <x:c r="G362" s="22" t="str">
        <x:v>Trumail's saved URL redirects to Emailable's API product. Validation concerns email deliverability, not the identity of the mailbox controller.</x:v>
      </x:c>
      <x:c r="H362" s="22" t="str">
        <x:v>Update bookmark name; do not count as independent of Emailable</x:v>
      </x:c>
      <x:c r="I362" s="22" t="str">
        <x:v>Redirect to Emailable API; no validation run</x:v>
      </x:c>
      <x:c r="J362" s="22" t="str">
        <x:v>Observed redirect and provider documentation</x:v>
      </x:c>
      <x:c r="K362" s="22" t="str">
        <x:v>S083</x:v>
      </x:c>
      <x:c r="L362" s="24" t="str">
        <x:v>https://emailable.com/api/?redirect_source=trumail</x:v>
      </x:c>
      <x:c r="M362" s="24" t="str">
        <x:v>https://trumail.io/</x:v>
      </x:c>
      <x:c r="N362" s="22" t="str">
        <x:v>297339970</x:v>
      </x:c>
      <x:c r="O362" s="22" t="n">
        <x:v>1010</x:v>
      </x:c>
      <x:c r="P362" s="22" t="n">
        <x:v>7</x:v>
      </x:c>
      <x:c r="Q362" s="22" t="str">
        <x:v>2026-09-15</x:v>
      </x:c>
      <x:c r="R362" s="22" t="n">
        <x:f>COUNTIF($M$6:$M$1177,M362)</x:f>
        <x:v>1</x:v>
      </x:c>
      <x:c r="S362" s="22" t="str">
        <x:v>Contacts / records</x:v>
      </x:c>
      <x:c r="T362" s="22" t="str">
        <x:v>Scoped desk assessment</x:v>
      </x:c>
    </x:row>
    <x:row r="363" ht="54" customHeight="1">
      <x:c r="A363" s="22" t="n">
        <x:v>358</x:v>
      </x:c>
      <x:c r="B363" s="22" t="str">
        <x:v>Email Verifier</x:v>
      </x:c>
      <x:c r="C363" s="35" t="str">
        <x:v>B</x:v>
      </x:c>
      <x:c r="D363" s="22" t="str">
        <x:v>Documented</x:v>
      </x:c>
      <x:c r="E363" s="22" t="str">
        <x:v>EMAIL</x:v>
      </x:c>
      <x:c r="F363" s="22" t="str">
        <x:v>Email deliverability only</x:v>
      </x:c>
      <x:c r="G363" s="22" t="str">
        <x:v>Documents syntax, MX and SMTP checks plus catch-all handling. Deliverability is not mailbox ownership, employment, or identity confirmation.</x:v>
      </x:c>
      <x:c r="H363" s="22" t="str">
        <x:v>Corroborate before attribution</x:v>
      </x:c>
      <x:c r="I363" s="22" t="str">
        <x:v>Content readable; lookup not tested</x:v>
      </x:c>
      <x:c r="J363" s="22" t="str">
        <x:v>Provider documentation</x:v>
      </x:c>
      <x:c r="K363" s="22" t="str">
        <x:v>S019</x:v>
      </x:c>
      <x:c r="L363" s="24" t="str">
        <x:v>https://hunter.io/email-verifier</x:v>
      </x:c>
      <x:c r="M363" s="24" t="str">
        <x:v>https://hunter.io/email-verifier</x:v>
      </x:c>
      <x:c r="N363" s="22" t="str">
        <x:v>268397039</x:v>
      </x:c>
      <x:c r="O363" s="22" t="n">
        <x:v>1010</x:v>
      </x:c>
      <x:c r="P363" s="22" t="n">
        <x:v>8</x:v>
      </x:c>
      <x:c r="Q363" s="22" t="str">
        <x:v>2026-09-15</x:v>
      </x:c>
      <x:c r="R363" s="22" t="n">
        <x:f>COUNTIF($M$6:$M$1177,M363)</x:f>
        <x:v>1</x:v>
      </x:c>
      <x:c r="S363" s="22" t="str">
        <x:v>Contacts / records</x:v>
      </x:c>
      <x:c r="T363" s="22" t="str">
        <x:v>Scoped desk assessment</x:v>
      </x:c>
    </x:row>
    <x:row r="364" ht="54" customHeight="1">
      <x:c r="A364" s="22" t="n">
        <x:v>359</x:v>
      </x:c>
      <x:c r="B364" s="22" t="str">
        <x:v>Verify Email</x:v>
      </x:c>
      <x:c r="C364" s="35" t="str">
        <x:v>B</x:v>
      </x:c>
      <x:c r="D364" s="22" t="str">
        <x:v>Documented</x:v>
      </x:c>
      <x:c r="E364" s="22" t="str">
        <x:v>EMAIL</x:v>
      </x:c>
      <x:c r="F364" s="22" t="str">
        <x:v>Email deliverability, not identity</x:v>
      </x:c>
      <x:c r="G364" s="22" t="str">
        <x:v>Verify-email's saved URL redirects to Emailable. This and Trumail are not independent validation providers at their observed destinations.</x:v>
      </x:c>
      <x:c r="H364" s="22" t="str">
        <x:v>Update bookmark name; do not count as independent of Trumail</x:v>
      </x:c>
      <x:c r="I364" s="22" t="str">
        <x:v>Redirect to Emailable; no validation run</x:v>
      </x:c>
      <x:c r="J364" s="22" t="str">
        <x:v>Observed redirect and provider documentation</x:v>
      </x:c>
      <x:c r="K364" s="22" t="str">
        <x:v>S084</x:v>
      </x:c>
      <x:c r="L364" s="24" t="str">
        <x:v>https://emailable.com/?redirect_source=verify-email</x:v>
      </x:c>
      <x:c r="M364" s="24" t="str">
        <x:v>https://verify-email.org/</x:v>
      </x:c>
      <x:c r="N364" s="22" t="str">
        <x:v>297340636</x:v>
      </x:c>
      <x:c r="O364" s="22" t="n">
        <x:v>1010</x:v>
      </x:c>
      <x:c r="P364" s="22" t="n">
        <x:v>9</x:v>
      </x:c>
      <x:c r="Q364" s="22" t="str">
        <x:v>2026-09-15</x:v>
      </x:c>
      <x:c r="R364" s="22" t="n">
        <x:f>COUNTIF($M$6:$M$1177,M364)</x:f>
        <x:v>1</x:v>
      </x:c>
      <x:c r="S364" s="22" t="str">
        <x:v>Contacts / records</x:v>
      </x:c>
      <x:c r="T364" s="22" t="str">
        <x:v>Scoped desk assessment</x:v>
      </x:c>
    </x:row>
    <x:row r="365" ht="54" customHeight="1">
      <x:c r="A365" s="22" t="n">
        <x:v>360</x:v>
      </x:c>
      <x:c r="B365" s="22" t="str">
        <x:v>Reverse Whois</x:v>
      </x:c>
      <x:c r="C365" s="39" t="str">
        <x:v>C</x:v>
      </x:c>
      <x:c r="D365" s="22" t="str">
        <x:v>Documented</x:v>
      </x:c>
      <x:c r="E365" s="22" t="str">
        <x:v>EMAIL</x:v>
      </x:c>
      <x:c r="F365" s="22" t="str">
        <x:v>Email-to-domain registration leads</x:v>
      </x:c>
      <x:c r="G365" s="22" t="str">
        <x:v>Reverse-WHOIS search can suggest a registration connection. Verify the dated original record; registrant fields are not proof of present personal control.</x:v>
      </x:c>
      <x:c r="H365" s="22" t="str">
        <x:v>Corroborate before attribution</x:v>
      </x:c>
      <x:c r="I365" s="22" t="str">
        <x:v>Content readable; lookup not tested</x:v>
      </x:c>
      <x:c r="J365" s="22" t="str">
        <x:v>Provider landing page</x:v>
      </x:c>
      <x:c r="K365" s="22" t="str">
        <x:v>S076</x:v>
      </x:c>
      <x:c r="L365" s="24" t="str">
        <x:v>https://osint.sh/reversewhois/</x:v>
      </x:c>
      <x:c r="M365" s="24" t="str">
        <x:v>https://osint.sh/reversewhois/</x:v>
      </x:c>
      <x:c r="N365" s="22" t="str">
        <x:v>286695003</x:v>
      </x:c>
      <x:c r="O365" s="22" t="n">
        <x:v>1010</x:v>
      </x:c>
      <x:c r="P365" s="22" t="n">
        <x:v>10</x:v>
      </x:c>
      <x:c r="Q365" s="22" t="str">
        <x:v>2026-09-15</x:v>
      </x:c>
      <x:c r="R365" s="22" t="n">
        <x:f>COUNTIF($M$6:$M$1177,M365)</x:f>
        <x:v>1</x:v>
      </x:c>
      <x:c r="S365" s="22" t="str">
        <x:v>Contacts / records</x:v>
      </x:c>
      <x:c r="T365" s="22" t="str">
        <x:v>Scoped desk assessment</x:v>
      </x:c>
    </x:row>
    <x:row r="366" ht="48" customHeight="1">
      <x:c r="A366" s="22" t="n">
        <x:v>361</x:v>
      </x:c>
      <x:c r="B366" s="22" t="str">
        <x:v>Email Dossier</x:v>
      </x:c>
      <x:c r="C366" s="35" t="str">
        <x:v>B</x:v>
      </x:c>
      <x:c r="D366" s="22" t="str">
        <x:v>Documented</x:v>
      </x:c>
      <x:c r="E366" s="22" t="str">
        <x:v>EMAIL</x:v>
      </x:c>
      <x:c r="F366" s="22" t="str">
        <x:v>Email-domain / SMTP diagnostics</x:v>
      </x:c>
      <x:c r="G366" s="22" t="str">
        <x:v>Technical checks can support an address/domain observation. They do not authenticate a human sender or account owner.</x:v>
      </x:c>
      <x:c r="H366" s="22" t="str">
        <x:v>Corroborate before attribution</x:v>
      </x:c>
      <x:c r="I366" s="22" t="str">
        <x:v>Content readable; lookup not tested</x:v>
      </x:c>
      <x:c r="J366" s="22" t="str">
        <x:v>Provider documentation</x:v>
      </x:c>
      <x:c r="K366" s="22" t="str">
        <x:v>S022</x:v>
      </x:c>
      <x:c r="L366" s="24" t="str">
        <x:v>https://centralops.net/co/emaildossier.aspx</x:v>
      </x:c>
      <x:c r="M366" s="24" t="str">
        <x:v>https://centralops.net/co/emaildossier.aspx</x:v>
      </x:c>
      <x:c r="N366" s="22" t="str">
        <x:v>268397658</x:v>
      </x:c>
      <x:c r="O366" s="22" t="n">
        <x:v>1010</x:v>
      </x:c>
      <x:c r="P366" s="22" t="n">
        <x:v>11</x:v>
      </x:c>
      <x:c r="Q366" s="22" t="str">
        <x:v>2026-09-15</x:v>
      </x:c>
      <x:c r="R366" s="22" t="n">
        <x:f>COUNTIF($M$6:$M$1177,M366)</x:f>
        <x:v>1</x:v>
      </x:c>
      <x:c r="S366" s="22" t="str">
        <x:v>Contacts / records</x:v>
      </x:c>
      <x:c r="T366" s="22" t="str">
        <x:v>Scoped desk assessment</x:v>
      </x:c>
    </x:row>
    <x:row r="367" ht="48" customHeight="1">
      <x:c r="A367" s="22" t="n">
        <x:v>362</x:v>
      </x:c>
      <x:c r="B367" s="22" t="str">
        <x:v>Email Format</x:v>
      </x:c>
      <x:c r="C367" s="39" t="str">
        <x:v>C</x:v>
      </x:c>
      <x:c r="D367" s="22" t="str">
        <x:v>Documented</x:v>
      </x:c>
      <x:c r="E367" s="22" t="str">
        <x:v>EMAIL</x:v>
      </x:c>
      <x:c r="F367" s="22" t="str">
        <x:v>Organizational email-format leads</x:v>
      </x:c>
      <x:c r="G367" s="22" t="str">
        <x:v>Lists email address patterns for organizations. A guessed pattern does not establish that a particular mailbox exists.</x:v>
      </x:c>
      <x:c r="H367" s="22" t="str">
        <x:v>Corroborate before attribution</x:v>
      </x:c>
      <x:c r="I367" s="22" t="str">
        <x:v>Content readable; lookup not tested</x:v>
      </x:c>
      <x:c r="J367" s="22" t="str">
        <x:v>Provider landing page</x:v>
      </x:c>
      <x:c r="K367" s="22" t="str">
        <x:v>S024</x:v>
      </x:c>
      <x:c r="L367" s="24" t="str">
        <x:v>https://www.email-format.com/</x:v>
      </x:c>
      <x:c r="M367" s="24" t="str">
        <x:v>https://www.email-format.com/</x:v>
      </x:c>
      <x:c r="N367" s="22" t="str">
        <x:v>297339964</x:v>
      </x:c>
      <x:c r="O367" s="22" t="n">
        <x:v>1010</x:v>
      </x:c>
      <x:c r="P367" s="22" t="n">
        <x:v>12</x:v>
      </x:c>
      <x:c r="Q367" s="22" t="str">
        <x:v>2026-09-15</x:v>
      </x:c>
      <x:c r="R367" s="22" t="n">
        <x:f>COUNTIF($M$6:$M$1177,M367)</x:f>
        <x:v>1</x:v>
      </x:c>
      <x:c r="S367" s="22" t="str">
        <x:v>Contacts / records</x:v>
      </x:c>
      <x:c r="T367" s="22" t="str">
        <x:v>Scoped desk assessment</x:v>
      </x:c>
    </x:row>
    <x:row r="368" ht="48" customHeight="1">
      <x:c r="A368" s="22" t="n">
        <x:v>363</x:v>
      </x:c>
      <x:c r="B368" s="22" t="str">
        <x:v>Email Header Analyzer</x:v>
      </x:c>
      <x:c r="C368" s="35" t="str">
        <x:v>B</x:v>
      </x:c>
      <x:c r="D368" s="22" t="str">
        <x:v>Documented</x:v>
      </x:c>
      <x:c r="E368" s="22" t="str">
        <x:v>EMAIL</x:v>
      </x:c>
      <x:c r="F368" s="22" t="str">
        <x:v>Parsing supplied email headers</x:v>
      </x:c>
      <x:c r="G368" s="22" t="str">
        <x:v>Useful for interpreting header fields and routing. Preserve the original message; parsed headers alone are not proof of sender identity.</x:v>
      </x:c>
      <x:c r="H368" s="22" t="str">
        <x:v>Corroborate before attribution</x:v>
      </x:c>
      <x:c r="I368" s="22" t="str">
        <x:v>Content readable; lookup not tested</x:v>
      </x:c>
      <x:c r="J368" s="22" t="str">
        <x:v>Provider documentation</x:v>
      </x:c>
      <x:c r="K368" s="22" t="str">
        <x:v>S023</x:v>
      </x:c>
      <x:c r="L368" s="24" t="str">
        <x:v>https://mxtoolbox.com/EmailHeaders.aspx</x:v>
      </x:c>
      <x:c r="M368" s="24" t="str">
        <x:v>https://mxtoolbox.com/EmailHeaders.aspx</x:v>
      </x:c>
      <x:c r="N368" s="22" t="str">
        <x:v>268401242</x:v>
      </x:c>
      <x:c r="O368" s="22" t="n">
        <x:v>1010</x:v>
      </x:c>
      <x:c r="P368" s="22" t="n">
        <x:v>13</x:v>
      </x:c>
      <x:c r="Q368" s="22" t="str">
        <x:v>2026-09-15</x:v>
      </x:c>
      <x:c r="R368" s="22" t="n">
        <x:f>COUNTIF($M$6:$M$1177,M368)</x:f>
        <x:v>1</x:v>
      </x:c>
      <x:c r="S368" s="22" t="str">
        <x:v>Contacts / records</x:v>
      </x:c>
      <x:c r="T368" s="22" t="str">
        <x:v>Scoped desk assessment</x:v>
      </x:c>
    </x:row>
    <x:row r="369" ht="48" customHeight="1">
      <x:c r="A369" s="22" t="n">
        <x:v>364</x:v>
      </x:c>
      <x:c r="B369" s="22" t="str">
        <x:v>E-mail search tool</x:v>
      </x:c>
      <x:c r="C369" s="39" t="str">
        <x:v>C</x:v>
      </x:c>
      <x:c r="D369" s="22" t="str">
        <x:v>Documented</x:v>
      </x:c>
      <x:c r="E369" s="22" t="str">
        <x:v>EMAIL</x:v>
      </x:c>
      <x:c r="F369" s="22" t="str">
        <x:v>Email-search query launcher</x:v>
      </x:c>
      <x:c r="G369" s="22" t="str">
        <x:v>Builds searches of external services. The launcher is not independent evidence that a person controls an address.</x:v>
      </x:c>
      <x:c r="H369" s="22" t="str">
        <x:v>Corroborate before attribution</x:v>
      </x:c>
      <x:c r="I369" s="22" t="str">
        <x:v>Content readable; lookup not tested</x:v>
      </x:c>
      <x:c r="J369" s="22" t="str">
        <x:v>Provider documentation</x:v>
      </x:c>
      <x:c r="K369" s="22" t="str">
        <x:v>S085</x:v>
      </x:c>
      <x:c r="L369" s="24" t="str">
        <x:v>https://www.aware-online.com/en/osint-tools/email-search-tool/</x:v>
      </x:c>
      <x:c r="M369" s="24" t="str">
        <x:v>https://www.aware-online.com/osint-tools/e-mail-search-tool/</x:v>
      </x:c>
      <x:c r="N369" s="22" t="str">
        <x:v>268401240</x:v>
      </x:c>
      <x:c r="O369" s="22" t="n">
        <x:v>1010</x:v>
      </x:c>
      <x:c r="P369" s="22" t="n">
        <x:v>14</x:v>
      </x:c>
      <x:c r="Q369" s="22" t="str">
        <x:v>2026-09-15</x:v>
      </x:c>
      <x:c r="R369" s="22" t="n">
        <x:f>COUNTIF($M$6:$M$1177,M369)</x:f>
        <x:v>1</x:v>
      </x:c>
      <x:c r="S369" s="22" t="str">
        <x:v>Contacts / records</x:v>
      </x:c>
      <x:c r="T369" s="22" t="str">
        <x:v>Scoped desk assessment</x:v>
      </x:c>
    </x:row>
    <x:row r="370" ht="48" customHeight="1">
      <x:c r="A370" s="22" t="n">
        <x:v>365</x:v>
      </x:c>
      <x:c r="B370" s="22" t="str">
        <x:v>Proofy</x:v>
      </x:c>
      <x:c r="C370" s="35" t="str">
        <x:v>B</x:v>
      </x:c>
      <x:c r="D370" s="22" t="str">
        <x:v>Documented</x:v>
      </x:c>
      <x:c r="E370" s="22" t="str">
        <x:v>EMAIL</x:v>
      </x:c>
      <x:c r="F370" s="22" t="str">
        <x:v>Email deliverability only</x:v>
      </x:c>
      <x:c r="G370" s="22" t="str">
        <x:v>Verification service documentation supports a technical mailbox check, not the identity or affiliation of the human behind it.</x:v>
      </x:c>
      <x:c r="H370" s="22" t="str">
        <x:v>Corroborate before attribution</x:v>
      </x:c>
      <x:c r="I370" s="22" t="str">
        <x:v>Content readable; lookup not tested</x:v>
      </x:c>
      <x:c r="J370" s="22" t="str">
        <x:v>Provider landing page</x:v>
      </x:c>
      <x:c r="K370" s="22" t="str">
        <x:v>S025</x:v>
      </x:c>
      <x:c r="L370" s="24" t="str">
        <x:v>https://proofy.io/</x:v>
      </x:c>
      <x:c r="M370" s="24" t="str">
        <x:v>https://proofy.io/</x:v>
      </x:c>
      <x:c r="N370" s="22" t="str">
        <x:v>268403987</x:v>
      </x:c>
      <x:c r="O370" s="22" t="n">
        <x:v>1010</x:v>
      </x:c>
      <x:c r="P370" s="22" t="n">
        <x:v>15</x:v>
      </x:c>
      <x:c r="Q370" s="22" t="str">
        <x:v>2026-09-15</x:v>
      </x:c>
      <x:c r="R370" s="22" t="n">
        <x:f>COUNTIF($M$6:$M$1177,M370)</x:f>
        <x:v>1</x:v>
      </x:c>
      <x:c r="S370" s="22" t="str">
        <x:v>Contacts / records</x:v>
      </x:c>
      <x:c r="T370" s="22" t="str">
        <x:v>Scoped desk assessment</x:v>
      </x:c>
    </x:row>
    <x:row r="371" ht="48" customHeight="1">
      <x:c r="A371" s="22" t="n">
        <x:v>366</x:v>
      </x:c>
      <x:c r="B371" s="22" t="str">
        <x:v>Email Permutator</x:v>
      </x:c>
      <x:c r="C371" s="27" t="str">
        <x:v>N/A</x:v>
      </x:c>
      <x:c r="D371" s="22" t="str">
        <x:v>Utility classification</x:v>
      </x:c>
      <x:c r="E371" s="22" t="str">
        <x:v>EMAIL</x:v>
      </x:c>
      <x:c r="F371" s="22" t="str">
        <x:v>Email-related discovery or analysis</x:v>
      </x:c>
      <x:c r="G371" s="22" t="str">
        <x:v>Processing or reference utility, not independent connection evidence. Preserve original inputs and validate important output.</x:v>
      </x:c>
      <x:c r="H371" s="22" t="str">
        <x:v>Use as a utility only; functionality not audited</x:v>
      </x:c>
      <x:c r="I371" s="22" t="str">
        <x:v>Unresolved reader access; website status unknown</x:v>
      </x:c>
      <x:c r="J371" s="22" t="str">
        <x:v>Fetch attempted; no usable substantive content</x:v>
      </x:c>
      <x:c r="K371" s="22" t="str"/>
      <x:c r="L371" s="24" t="str"/>
      <x:c r="M371" s="24" t="str">
        <x:v>http://metricsparrow.com/toolkit/email-permutator/</x:v>
      </x:c>
      <x:c r="N371" s="22" t="str">
        <x:v>268503341</x:v>
      </x:c>
      <x:c r="O371" s="22" t="n">
        <x:v>1010</x:v>
      </x:c>
      <x:c r="P371" s="22" t="n">
        <x:v>16</x:v>
      </x:c>
      <x:c r="Q371" s="22" t="str">
        <x:v>2026-09-15</x:v>
      </x:c>
      <x:c r="R371" s="22" t="n">
        <x:f>COUNTIF($M$6:$M$1177,M371)</x:f>
        <x:v>1</x:v>
      </x:c>
      <x:c r="S371" s="22" t="str">
        <x:v>Contacts / records</x:v>
      </x:c>
      <x:c r="T371" s="22" t="str">
        <x:v>Scope only</x:v>
      </x:c>
    </x:row>
    <x:row r="372" ht="48" customHeight="1">
      <x:c r="A372" s="22" t="n">
        <x:v>367</x:v>
      </x:c>
      <x:c r="B372" s="22" t="str">
        <x:v>Phonebook.cz</x:v>
      </x:c>
      <x:c r="C372" s="39" t="str">
        <x:v>C</x:v>
      </x:c>
      <x:c r="D372" s="22" t="str">
        <x:v>Documented</x:v>
      </x:c>
      <x:c r="E372" s="22" t="str">
        <x:v>EMAIL</x:v>
      </x:c>
      <x:c r="F372" s="22" t="str">
        <x:v>Domain-linked emails / URLs / subdomains</x:v>
      </x:c>
      <x:c r="G372" s="22" t="str">
        <x:v>Despite its title, Phonebook is a domain discovery tool from Intelligence X, not a verified telephone subscriber registry.</x:v>
      </x:c>
      <x:c r="H372" s="22" t="str">
        <x:v>Corroborate before attribution</x:v>
      </x:c>
      <x:c r="I372" s="22" t="str">
        <x:v>Content readable; lookup not tested</x:v>
      </x:c>
      <x:c r="J372" s="22" t="str">
        <x:v>Provider landing page</x:v>
      </x:c>
      <x:c r="K372" s="22" t="str">
        <x:v>S026</x:v>
      </x:c>
      <x:c r="L372" s="24" t="str">
        <x:v>https://phonebook.cz/</x:v>
      </x:c>
      <x:c r="M372" s="24" t="str">
        <x:v>https://phonebook.cz/</x:v>
      </x:c>
      <x:c r="N372" s="22" t="str">
        <x:v>268509558</x:v>
      </x:c>
      <x:c r="O372" s="22" t="n">
        <x:v>1010</x:v>
      </x:c>
      <x:c r="P372" s="22" t="n">
        <x:v>17</x:v>
      </x:c>
      <x:c r="Q372" s="22" t="str">
        <x:v>2026-09-15</x:v>
      </x:c>
      <x:c r="R372" s="22" t="n">
        <x:f>COUNTIF($M$6:$M$1177,M372)</x:f>
        <x:v>1</x:v>
      </x:c>
      <x:c r="S372" s="22" t="str">
        <x:v>Contacts / records</x:v>
      </x:c>
      <x:c r="T372" s="22" t="str">
        <x:v>Scoped desk assessment</x:v>
      </x:c>
    </x:row>
    <x:row r="373" ht="48" customHeight="1">
      <x:c r="A373" s="22" t="n">
        <x:v>368</x:v>
      </x:c>
      <x:c r="B373" s="22" t="str">
        <x:v>Email Breach Analysis</x:v>
      </x:c>
      <x:c r="C373" s="31" t="str">
        <x:v>U</x:v>
      </x:c>
      <x:c r="D373" s="22" t="str">
        <x:v>Unassessed</x:v>
      </x:c>
      <x:c r="E373" s="22" t="str">
        <x:v>EMAIL</x:v>
      </x:c>
      <x:c r="F373" s="22" t="str">
        <x:v>Email-related discovery or analysis</x:v>
      </x:c>
      <x:c r="G373" s="22" t="str">
        <x:v>Distinguish an address pattern, deliverability, account existence and actual mailbox ownership.</x:v>
      </x:c>
      <x:c r="H373" s="22" t="str">
        <x:v>Verify publisher, source and current function before reliance</x:v>
      </x:c>
      <x:c r="I373" s="22" t="str">
        <x:v>Not checked</x:v>
      </x:c>
      <x:c r="J373" s="22" t="str">
        <x:v>Saved bookmark metadata only</x:v>
      </x:c>
      <x:c r="K373" s="22" t="str"/>
      <x:c r="L373" s="24" t="str"/>
      <x:c r="M373" s="24" t="str">
        <x:v>https://www.hotsheet.com/inoitsu/</x:v>
      </x:c>
      <x:c r="N373" s="22" t="str">
        <x:v>268509563</x:v>
      </x:c>
      <x:c r="O373" s="22" t="n">
        <x:v>1010</x:v>
      </x:c>
      <x:c r="P373" s="22" t="n">
        <x:v>18</x:v>
      </x:c>
      <x:c r="Q373" s="22" t="str"/>
      <x:c r="R373" s="22" t="n">
        <x:f>COUNTIF($M$6:$M$1177,M373)</x:f>
        <x:v>1</x:v>
      </x:c>
      <x:c r="S373" s="22" t="str">
        <x:v>Contacts / records</x:v>
      </x:c>
      <x:c r="T373" s="22" t="str">
        <x:v>Not established</x:v>
      </x:c>
    </x:row>
    <x:row r="374" ht="48" customHeight="1">
      <x:c r="A374" s="22" t="n">
        <x:v>369</x:v>
      </x:c>
      <x:c r="B374" s="22" t="str">
        <x:v>Emailrep.io</x:v>
      </x:c>
      <x:c r="C374" s="39" t="str">
        <x:v>C</x:v>
      </x:c>
      <x:c r="D374" s="22" t="str">
        <x:v>Documented</x:v>
      </x:c>
      <x:c r="E374" s="22" t="str">
        <x:v>EMAIL</x:v>
      </x:c>
      <x:c r="F374" s="22" t="str">
        <x:v>Email reputation signal</x:v>
      </x:c>
      <x:c r="G374" s="22" t="str">
        <x:v>Reputation indicators combine observed history and signals; a risk label is not evidence that a person committed wrongdoing.</x:v>
      </x:c>
      <x:c r="H374" s="22" t="str">
        <x:v>Corroborate before attribution</x:v>
      </x:c>
      <x:c r="I374" s="22" t="str">
        <x:v>Content readable; lookup not tested</x:v>
      </x:c>
      <x:c r="J374" s="22" t="str">
        <x:v>Provider documentation</x:v>
      </x:c>
      <x:c r="K374" s="22" t="str">
        <x:v>S027</x:v>
      </x:c>
      <x:c r="L374" s="24" t="str">
        <x:v>https://emailrep.io/</x:v>
      </x:c>
      <x:c r="M374" s="24" t="str">
        <x:v>https://emailrep.io/</x:v>
      </x:c>
      <x:c r="N374" s="22" t="str">
        <x:v>268509565</x:v>
      </x:c>
      <x:c r="O374" s="22" t="n">
        <x:v>1010</x:v>
      </x:c>
      <x:c r="P374" s="22" t="n">
        <x:v>19</x:v>
      </x:c>
      <x:c r="Q374" s="22" t="str">
        <x:v>2026-09-15</x:v>
      </x:c>
      <x:c r="R374" s="22" t="n">
        <x:f>COUNTIF($M$6:$M$1177,M374)</x:f>
        <x:v>1</x:v>
      </x:c>
      <x:c r="S374" s="22" t="str">
        <x:v>Contacts / records</x:v>
      </x:c>
      <x:c r="T374" s="22" t="str">
        <x:v>Scoped desk assessment</x:v>
      </x:c>
    </x:row>
    <x:row r="375" ht="48" customHeight="1">
      <x:c r="A375" s="22" t="n">
        <x:v>370</x:v>
      </x:c>
      <x:c r="B375" s="22" t="str">
        <x:v>Email Finder</x:v>
      </x:c>
      <x:c r="C375" s="31" t="str">
        <x:v>U</x:v>
      </x:c>
      <x:c r="D375" s="22" t="str">
        <x:v>Unassessed</x:v>
      </x:c>
      <x:c r="E375" s="22" t="str">
        <x:v>EMAIL</x:v>
      </x:c>
      <x:c r="F375" s="22" t="str">
        <x:v>Email-related discovery or analysis</x:v>
      </x:c>
      <x:c r="G375" s="22" t="str">
        <x:v>Distinguish an address pattern, deliverability, account existence and actual mailbox ownership.</x:v>
      </x:c>
      <x:c r="H375" s="22" t="str">
        <x:v>Verify publisher, source and current function before reliance</x:v>
      </x:c>
      <x:c r="I375" s="22" t="str">
        <x:v>Not checked</x:v>
      </x:c>
      <x:c r="J375" s="22" t="str">
        <x:v>Saved bookmark metadata only</x:v>
      </x:c>
      <x:c r="K375" s="22" t="str"/>
      <x:c r="L375" s="24" t="str"/>
      <x:c r="M375" s="24" t="str">
        <x:v>https://osint.sh/email/</x:v>
      </x:c>
      <x:c r="N375" s="22" t="str">
        <x:v>286695252</x:v>
      </x:c>
      <x:c r="O375" s="22" t="n">
        <x:v>1010</x:v>
      </x:c>
      <x:c r="P375" s="22" t="n">
        <x:v>20</x:v>
      </x:c>
      <x:c r="Q375" s="22" t="str"/>
      <x:c r="R375" s="22" t="n">
        <x:f>COUNTIF($M$6:$M$1177,M375)</x:f>
        <x:v>1</x:v>
      </x:c>
      <x:c r="S375" s="22" t="str">
        <x:v>Contacts / records</x:v>
      </x:c>
      <x:c r="T375" s="22" t="str">
        <x:v>Not established</x:v>
      </x:c>
    </x:row>
    <x:row r="376" ht="48" customHeight="1">
      <x:c r="A376" s="22" t="n">
        <x:v>371</x:v>
      </x:c>
      <x:c r="B376" s="22" t="str">
        <x:v>EmailHarvester</x:v>
      </x:c>
      <x:c r="C376" s="31" t="str">
        <x:v>U</x:v>
      </x:c>
      <x:c r="D376" s="22" t="str">
        <x:v>Unassessed</x:v>
      </x:c>
      <x:c r="E376" s="22" t="str">
        <x:v>EMAIL</x:v>
      </x:c>
      <x:c r="F376" s="22" t="str">
        <x:v>Email-related discovery or analysis</x:v>
      </x:c>
      <x:c r="G376" s="22" t="str">
        <x:v>Distinguish an address pattern, deliverability, account existence and actual mailbox ownership.</x:v>
      </x:c>
      <x:c r="H376" s="22" t="str">
        <x:v>Verify publisher, source and current function before reliance</x:v>
      </x:c>
      <x:c r="I376" s="22" t="str">
        <x:v>Not checked</x:v>
      </x:c>
      <x:c r="J376" s="22" t="str">
        <x:v>Saved bookmark metadata only</x:v>
      </x:c>
      <x:c r="K376" s="22" t="str"/>
      <x:c r="L376" s="24" t="str"/>
      <x:c r="M376" s="24" t="str">
        <x:v>https://pypi.org/project/EmailHarvester/</x:v>
      </x:c>
      <x:c r="N376" s="22" t="str">
        <x:v>268401663</x:v>
      </x:c>
      <x:c r="O376" s="22" t="n">
        <x:v>1010</x:v>
      </x:c>
      <x:c r="P376" s="22" t="n">
        <x:v>21</x:v>
      </x:c>
      <x:c r="Q376" s="22" t="str"/>
      <x:c r="R376" s="22" t="n">
        <x:f>COUNTIF($M$6:$M$1177,M376)</x:f>
        <x:v>1</x:v>
      </x:c>
      <x:c r="S376" s="22" t="str">
        <x:v>Contacts / records</x:v>
      </x:c>
      <x:c r="T376" s="22" t="str">
        <x:v>Not established</x:v>
      </x:c>
    </x:row>
    <x:row r="377" ht="48" customHeight="1">
      <x:c r="A377" s="22" t="n">
        <x:v>372</x:v>
      </x:c>
      <x:c r="B377" s="22" t="str">
        <x:v>h8mail</x:v>
      </x:c>
      <x:c r="C377" s="31" t="str">
        <x:v>U</x:v>
      </x:c>
      <x:c r="D377" s="22" t="str">
        <x:v>Unassessed</x:v>
      </x:c>
      <x:c r="E377" s="22" t="str">
        <x:v>EMAIL</x:v>
      </x:c>
      <x:c r="F377" s="22" t="str">
        <x:v>Email-related discovery or analysis</x:v>
      </x:c>
      <x:c r="G377" s="22" t="str">
        <x:v>Distinguish an address pattern, deliverability, account existence and actual mailbox ownership.</x:v>
      </x:c>
      <x:c r="H377" s="22" t="str">
        <x:v>Verify publisher, source and current function before reliance</x:v>
      </x:c>
      <x:c r="I377" s="22" t="str">
        <x:v>Not checked</x:v>
      </x:c>
      <x:c r="J377" s="22" t="str">
        <x:v>Saved bookmark metadata only</x:v>
      </x:c>
      <x:c r="K377" s="22" t="str"/>
      <x:c r="L377" s="24" t="str"/>
      <x:c r="M377" s="24" t="str">
        <x:v>https://pypi.org/project/h8mail/</x:v>
      </x:c>
      <x:c r="N377" s="22" t="str">
        <x:v>268399149</x:v>
      </x:c>
      <x:c r="O377" s="22" t="n">
        <x:v>1010</x:v>
      </x:c>
      <x:c r="P377" s="22" t="n">
        <x:v>22</x:v>
      </x:c>
      <x:c r="Q377" s="22" t="str"/>
      <x:c r="R377" s="22" t="n">
        <x:f>COUNTIF($M$6:$M$1177,M377)</x:f>
        <x:v>1</x:v>
      </x:c>
      <x:c r="S377" s="22" t="str">
        <x:v>Contacts / records</x:v>
      </x:c>
      <x:c r="T377" s="22" t="str">
        <x:v>Not established</x:v>
      </x:c>
    </x:row>
    <x:row r="378" ht="48" customHeight="1">
      <x:c r="A378" s="22" t="n">
        <x:v>373</x:v>
      </x:c>
      <x:c r="B378" s="22" t="str">
        <x:v>WhatBreach</x:v>
      </x:c>
      <x:c r="C378" s="31" t="str">
        <x:v>U</x:v>
      </x:c>
      <x:c r="D378" s="22" t="str">
        <x:v>Unassessed</x:v>
      </x:c>
      <x:c r="E378" s="22" t="str">
        <x:v>EMAIL</x:v>
      </x:c>
      <x:c r="F378" s="22" t="str">
        <x:v>Email-related discovery or analysis</x:v>
      </x:c>
      <x:c r="G378" s="22" t="str">
        <x:v>Distinguish an address pattern, deliverability, account existence and actual mailbox ownership.</x:v>
      </x:c>
      <x:c r="H378" s="22" t="str">
        <x:v>Verify publisher, source and current function before reliance</x:v>
      </x:c>
      <x:c r="I378" s="22" t="str">
        <x:v>Not checked</x:v>
      </x:c>
      <x:c r="J378" s="22" t="str">
        <x:v>Saved bookmark metadata only</x:v>
      </x:c>
      <x:c r="K378" s="22" t="str"/>
      <x:c r="L378" s="24" t="str"/>
      <x:c r="M378" s="24" t="str">
        <x:v>https://github.com/Ekultek/WhatBreach</x:v>
      </x:c>
      <x:c r="N378" s="22" t="str">
        <x:v>289970280</x:v>
      </x:c>
      <x:c r="O378" s="22" t="n">
        <x:v>1011</x:v>
      </x:c>
      <x:c r="P378" s="22" t="n">
        <x:v>23</x:v>
      </x:c>
      <x:c r="Q378" s="22" t="str"/>
      <x:c r="R378" s="22" t="n">
        <x:f>COUNTIF($M$6:$M$1177,M378)</x:f>
        <x:v>1</x:v>
      </x:c>
      <x:c r="S378" s="22" t="str">
        <x:v>Contacts / records</x:v>
      </x:c>
      <x:c r="T378" s="22" t="str">
        <x:v>Not established</x:v>
      </x:c>
    </x:row>
    <x:row r="379" ht="48" customHeight="1">
      <x:c r="A379" s="22" t="n">
        <x:v>374</x:v>
      </x:c>
      <x:c r="B379" s="22" t="str">
        <x:v>buster</x:v>
      </x:c>
      <x:c r="C379" s="31" t="str">
        <x:v>U</x:v>
      </x:c>
      <x:c r="D379" s="22" t="str">
        <x:v>Unassessed</x:v>
      </x:c>
      <x:c r="E379" s="22" t="str">
        <x:v>EMAIL</x:v>
      </x:c>
      <x:c r="F379" s="22" t="str">
        <x:v>Email-related discovery or analysis</x:v>
      </x:c>
      <x:c r="G379" s="22" t="str">
        <x:v>Distinguish an address pattern, deliverability, account existence and actual mailbox ownership.</x:v>
      </x:c>
      <x:c r="H379" s="22" t="str">
        <x:v>Verify publisher, source and current function before reliance</x:v>
      </x:c>
      <x:c r="I379" s="22" t="str">
        <x:v>Not checked</x:v>
      </x:c>
      <x:c r="J379" s="22" t="str">
        <x:v>Saved bookmark metadata only</x:v>
      </x:c>
      <x:c r="K379" s="22" t="str"/>
      <x:c r="L379" s="24" t="str"/>
      <x:c r="M379" s="24" t="str">
        <x:v>https://github.com/sham00n/buster</x:v>
      </x:c>
      <x:c r="N379" s="22" t="str">
        <x:v>289970578</x:v>
      </x:c>
      <x:c r="O379" s="22" t="n">
        <x:v>1011</x:v>
      </x:c>
      <x:c r="P379" s="22" t="n">
        <x:v>24</x:v>
      </x:c>
      <x:c r="Q379" s="22" t="str"/>
      <x:c r="R379" s="22" t="n">
        <x:f>COUNTIF($M$6:$M$1177,M379)</x:f>
        <x:v>1</x:v>
      </x:c>
      <x:c r="S379" s="22" t="str">
        <x:v>Contacts / records</x:v>
      </x:c>
      <x:c r="T379" s="22" t="str">
        <x:v>Not established</x:v>
      </x:c>
    </x:row>
    <x:row r="380" ht="48" customHeight="1">
      <x:c r="A380" s="22" t="n">
        <x:v>375</x:v>
      </x:c>
      <x:c r="B380" s="22" t="str">
        <x:v>Anymailfinder.com</x:v>
      </x:c>
      <x:c r="C380" s="39" t="str">
        <x:v>C</x:v>
      </x:c>
      <x:c r="D380" s="22" t="str">
        <x:v>Documented</x:v>
      </x:c>
      <x:c r="E380" s="22" t="str">
        <x:v>EMAIL</x:v>
      </x:c>
      <x:c r="F380" s="22" t="str">
        <x:v>B2B email discovery</x:v>
      </x:c>
      <x:c r="G380" s="22" t="str">
        <x:v>Vendor advertises live verification. A deliverable suggested address still needs independent confirmation of person and current role.</x:v>
      </x:c>
      <x:c r="H380" s="22" t="str">
        <x:v>Corroborate before attribution</x:v>
      </x:c>
      <x:c r="I380" s="22" t="str">
        <x:v>Content readable; lookup not tested</x:v>
      </x:c>
      <x:c r="J380" s="22" t="str">
        <x:v>Provider landing page</x:v>
      </x:c>
      <x:c r="K380" s="22" t="str">
        <x:v>S028</x:v>
      </x:c>
      <x:c r="L380" s="24" t="str">
        <x:v>https://anymailfinder.com/</x:v>
      </x:c>
      <x:c r="M380" s="24" t="str">
        <x:v>https://anymailfinder.com/</x:v>
      </x:c>
      <x:c r="N380" s="22" t="str">
        <x:v>305289074</x:v>
      </x:c>
      <x:c r="O380" s="22" t="n">
        <x:v>1011</x:v>
      </x:c>
      <x:c r="P380" s="22" t="n">
        <x:v>25</x:v>
      </x:c>
      <x:c r="Q380" s="22" t="str">
        <x:v>2026-09-15</x:v>
      </x:c>
      <x:c r="R380" s="22" t="n">
        <x:f>COUNTIF($M$6:$M$1177,M380)</x:f>
        <x:v>1</x:v>
      </x:c>
      <x:c r="S380" s="22" t="str">
        <x:v>Contacts / records</x:v>
      </x:c>
      <x:c r="T380" s="22" t="str">
        <x:v>Scoped desk assessment</x:v>
      </x:c>
    </x:row>
    <x:row r="381" ht="48" customHeight="1">
      <x:c r="A381" s="22" t="n">
        <x:v>376</x:v>
      </x:c>
      <x:c r="B381" s="22" t="str">
        <x:v>ProtOSINT</x:v>
      </x:c>
      <x:c r="C381" s="31" t="str">
        <x:v>U</x:v>
      </x:c>
      <x:c r="D381" s="22" t="str">
        <x:v>Unassessed</x:v>
      </x:c>
      <x:c r="E381" s="22" t="str">
        <x:v>EMAIL</x:v>
      </x:c>
      <x:c r="F381" s="22" t="str">
        <x:v>Email-related discovery or analysis</x:v>
      </x:c>
      <x:c r="G381" s="22" t="str">
        <x:v>Distinguish an address pattern, deliverability, account existence and actual mailbox ownership.</x:v>
      </x:c>
      <x:c r="H381" s="22" t="str">
        <x:v>Verify publisher, source and current function before reliance</x:v>
      </x:c>
      <x:c r="I381" s="22" t="str">
        <x:v>Not checked</x:v>
      </x:c>
      <x:c r="J381" s="22" t="str">
        <x:v>Saved bookmark metadata only</x:v>
      </x:c>
      <x:c r="K381" s="22" t="str"/>
      <x:c r="L381" s="24" t="str"/>
      <x:c r="M381" s="24" t="str">
        <x:v>https://github.com/pixelbubble/ProtOSINT</x:v>
      </x:c>
      <x:c r="N381" s="22" t="str">
        <x:v>311647641</x:v>
      </x:c>
      <x:c r="O381" s="22" t="n">
        <x:v>1011</x:v>
      </x:c>
      <x:c r="P381" s="22" t="n">
        <x:v>26</x:v>
      </x:c>
      <x:c r="Q381" s="22" t="str"/>
      <x:c r="R381" s="22" t="n">
        <x:f>COUNTIF($M$6:$M$1177,M381)</x:f>
        <x:v>1</x:v>
      </x:c>
      <x:c r="S381" s="22" t="str">
        <x:v>Contacts / records</x:v>
      </x:c>
      <x:c r="T381" s="22" t="str">
        <x:v>Not established</x:v>
      </x:c>
    </x:row>
    <x:row r="382" ht="48" customHeight="1">
      <x:c r="A382" s="22" t="n">
        <x:v>377</x:v>
      </x:c>
      <x:c r="B382" s="22" t="str">
        <x:v>IntelTechniques Telephone</x:v>
      </x:c>
      <x:c r="C382" s="31" t="str">
        <x:v>U</x:v>
      </x:c>
      <x:c r="D382" s="22" t="str">
        <x:v>Unassessed</x:v>
      </x:c>
      <x:c r="E382" s="22" t="str">
        <x:v>PHONE</x:v>
      </x:c>
      <x:c r="F382" s="22" t="str">
        <x:v>Telephone-related discovery or analysis</x:v>
      </x:c>
      <x:c r="G382" s="22" t="str">
        <x:v>A number association is not verified subscriber identity, current ownership or physical proximity.</x:v>
      </x:c>
      <x:c r="H382" s="22" t="str">
        <x:v>Verify publisher, source and current function before reliance</x:v>
      </x:c>
      <x:c r="I382" s="22" t="str">
        <x:v>Not checked</x:v>
      </x:c>
      <x:c r="J382" s="22" t="str">
        <x:v>Saved bookmark metadata only</x:v>
      </x:c>
      <x:c r="K382" s="22" t="str"/>
      <x:c r="L382" s="24" t="str"/>
      <x:c r="M382" s="24" t="str">
        <x:v>https://inteltechniques.com/tools/Telephone.html</x:v>
      </x:c>
      <x:c r="N382" s="22" t="str">
        <x:v>314744608</x:v>
      </x:c>
      <x:c r="O382" s="22" t="n">
        <x:v>1012</x:v>
      </x:c>
      <x:c r="P382" s="22" t="n">
        <x:v>1</x:v>
      </x:c>
      <x:c r="Q382" s="22" t="str"/>
      <x:c r="R382" s="22" t="n">
        <x:f>COUNTIF($M$6:$M$1177,M382)</x:f>
        <x:v>1</x:v>
      </x:c>
      <x:c r="S382" s="22" t="str">
        <x:v>Contacts / records</x:v>
      </x:c>
      <x:c r="T382" s="22" t="str">
        <x:v>Not established</x:v>
      </x:c>
    </x:row>
    <x:row r="383" ht="48" customHeight="1">
      <x:c r="A383" s="22" t="n">
        <x:v>378</x:v>
      </x:c>
      <x:c r="B383" s="22" t="str">
        <x:v>PhoneInfoga</x:v>
      </x:c>
      <x:c r="C383" s="31" t="str">
        <x:v>U</x:v>
      </x:c>
      <x:c r="D383" s="22" t="str">
        <x:v>Unassessed</x:v>
      </x:c>
      <x:c r="E383" s="22" t="str">
        <x:v>PHONE</x:v>
      </x:c>
      <x:c r="F383" s="22" t="str">
        <x:v>Telephone-related discovery or analysis</x:v>
      </x:c>
      <x:c r="G383" s="22" t="str">
        <x:v>A number association is not verified subscriber identity, current ownership or physical proximity.</x:v>
      </x:c>
      <x:c r="H383" s="22" t="str">
        <x:v>Verify publisher, source and current function before reliance</x:v>
      </x:c>
      <x:c r="I383" s="22" t="str">
        <x:v>Not checked</x:v>
      </x:c>
      <x:c r="J383" s="22" t="str">
        <x:v>Saved bookmark metadata only</x:v>
      </x:c>
      <x:c r="K383" s="22" t="str"/>
      <x:c r="L383" s="24" t="str"/>
      <x:c r="M383" s="24" t="str">
        <x:v>https://demo.phoneinfoga.crvx.fr/</x:v>
      </x:c>
      <x:c r="N383" s="22" t="str">
        <x:v>286686389</x:v>
      </x:c>
      <x:c r="O383" s="22" t="n">
        <x:v>1012</x:v>
      </x:c>
      <x:c r="P383" s="22" t="n">
        <x:v>2</x:v>
      </x:c>
      <x:c r="Q383" s="22" t="str"/>
      <x:c r="R383" s="22" t="n">
        <x:f>COUNTIF($M$6:$M$1177,M383)</x:f>
        <x:v>1</x:v>
      </x:c>
      <x:c r="S383" s="22" t="str">
        <x:v>Contacts / records</x:v>
      </x:c>
      <x:c r="T383" s="22" t="str">
        <x:v>Not established</x:v>
      </x:c>
    </x:row>
    <x:row r="384" ht="48" customHeight="1">
      <x:c r="A384" s="22" t="n">
        <x:v>379</x:v>
      </x:c>
      <x:c r="B384" s="22" t="str">
        <x:v>Reverse Phone Lookup</x:v>
      </x:c>
      <x:c r="C384" s="39" t="str">
        <x:v>C</x:v>
      </x:c>
      <x:c r="D384" s="22" t="str">
        <x:v>Documented</x:v>
      </x:c>
      <x:c r="E384" s="22" t="str">
        <x:v>PHONE</x:v>
      </x:c>
      <x:c r="F384" s="22" t="str">
        <x:v>Public profile and contact discovery</x:v>
      </x:c>
      <x:c r="G384" s="22" t="str">
        <x:v>Aggregates profiles and public-record leads. Marketing claims were not independently validated; resolve identity at the original page.</x:v>
      </x:c>
      <x:c r="H384" s="22" t="str">
        <x:v>Corroborate before attribution</x:v>
      </x:c>
      <x:c r="I384" s="22" t="str">
        <x:v>Content readable; lookup not tested</x:v>
      </x:c>
      <x:c r="J384" s="22" t="str">
        <x:v>Provider landing page</x:v>
      </x:c>
      <x:c r="K384" s="22" t="str">
        <x:v>S001</x:v>
      </x:c>
      <x:c r="L384" s="24" t="str">
        <x:v>https://www.idcrawl.com/</x:v>
      </x:c>
      <x:c r="M384" s="24" t="str">
        <x:v>https://www.idcrawl.com/phone</x:v>
      </x:c>
      <x:c r="N384" s="22" t="str">
        <x:v>291767477</x:v>
      </x:c>
      <x:c r="O384" s="22" t="n">
        <x:v>1012</x:v>
      </x:c>
      <x:c r="P384" s="22" t="n">
        <x:v>3</x:v>
      </x:c>
      <x:c r="Q384" s="22" t="str">
        <x:v>2026-09-15</x:v>
      </x:c>
      <x:c r="R384" s="22" t="n">
        <x:f>COUNTIF($M$6:$M$1177,M384)</x:f>
        <x:v>1</x:v>
      </x:c>
      <x:c r="S384" s="22" t="str">
        <x:v>Contacts / records</x:v>
      </x:c>
      <x:c r="T384" s="22" t="str">
        <x:v>Scoped desk assessment</x:v>
      </x:c>
    </x:row>
    <x:row r="385" ht="48" customHeight="1">
      <x:c r="A385" s="22" t="n">
        <x:v>380</x:v>
      </x:c>
      <x:c r="B385" s="22" t="str">
        <x:v>ignorant</x:v>
      </x:c>
      <x:c r="C385" s="31" t="str">
        <x:v>U</x:v>
      </x:c>
      <x:c r="D385" s="22" t="str">
        <x:v>Unassessed</x:v>
      </x:c>
      <x:c r="E385" s="22" t="str">
        <x:v>PHONE</x:v>
      </x:c>
      <x:c r="F385" s="22" t="str">
        <x:v>Telephone-related discovery or analysis</x:v>
      </x:c>
      <x:c r="G385" s="22" t="str">
        <x:v>A number association is not verified subscriber identity, current ownership or physical proximity.</x:v>
      </x:c>
      <x:c r="H385" s="22" t="str">
        <x:v>Verify publisher, source and current function before reliance</x:v>
      </x:c>
      <x:c r="I385" s="22" t="str">
        <x:v>Not checked</x:v>
      </x:c>
      <x:c r="J385" s="22" t="str">
        <x:v>Saved bookmark metadata only</x:v>
      </x:c>
      <x:c r="K385" s="22" t="str"/>
      <x:c r="L385" s="24" t="str"/>
      <x:c r="M385" s="24" t="str">
        <x:v>https://pypi.org/project/ignorant/</x:v>
      </x:c>
      <x:c r="N385" s="22" t="str">
        <x:v>287796081</x:v>
      </x:c>
      <x:c r="O385" s="22" t="n">
        <x:v>1012</x:v>
      </x:c>
      <x:c r="P385" s="22" t="n">
        <x:v>4</x:v>
      </x:c>
      <x:c r="Q385" s="22" t="str"/>
      <x:c r="R385" s="22" t="n">
        <x:f>COUNTIF($M$6:$M$1177,M385)</x:f>
        <x:v>1</x:v>
      </x:c>
      <x:c r="S385" s="22" t="str">
        <x:v>Contacts / records</x:v>
      </x:c>
      <x:c r="T385" s="22" t="str">
        <x:v>Not established</x:v>
      </x:c>
    </x:row>
    <x:row r="386" ht="48" customHeight="1">
      <x:c r="A386" s="22" t="n">
        <x:v>381</x:v>
      </x:c>
      <x:c r="B386" s="22" t="str">
        <x:v>PhoneInfoga</x:v>
      </x:c>
      <x:c r="C386" s="39" t="str">
        <x:v>C</x:v>
      </x:c>
      <x:c r="D386" s="22" t="str">
        <x:v>Documented</x:v>
      </x:c>
      <x:c r="E386" s="22" t="str">
        <x:v>PHONE</x:v>
      </x:c>
      <x:c r="F386" s="22" t="str">
        <x:v>Phone metadata and footprint leads</x:v>
      </x:c>
      <x:c r="G386" s="22" t="str">
        <x:v>Maintainer explicitly disclaims verified results, real-time tracking and precise phone location.</x:v>
      </x:c>
      <x:c r="H386" s="22" t="str">
        <x:v>Corroborate before attribution</x:v>
      </x:c>
      <x:c r="I386" s="22" t="str">
        <x:v>Documentation reviewed; software not run</x:v>
      </x:c>
      <x:c r="J386" s="22" t="str">
        <x:v>Maintainer documentation</x:v>
      </x:c>
      <x:c r="K386" s="22" t="str">
        <x:v>S030</x:v>
      </x:c>
      <x:c r="L386" s="24" t="str">
        <x:v>https://sundowndev.github.io/phoneinfoga/</x:v>
      </x:c>
      <x:c r="M386" s="24" t="str">
        <x:v>https://github.com/sundowndev/PhoneInfoga</x:v>
      </x:c>
      <x:c r="N386" s="22" t="str">
        <x:v>309551439</x:v>
      </x:c>
      <x:c r="O386" s="22" t="n">
        <x:v>1012</x:v>
      </x:c>
      <x:c r="P386" s="22" t="n">
        <x:v>5</x:v>
      </x:c>
      <x:c r="Q386" s="22" t="str">
        <x:v>2026-09-15</x:v>
      </x:c>
      <x:c r="R386" s="22" t="n">
        <x:f>COUNTIF($M$6:$M$1177,M386)</x:f>
        <x:v>1</x:v>
      </x:c>
      <x:c r="S386" s="22" t="str">
        <x:v>Contacts / records</x:v>
      </x:c>
      <x:c r="T386" s="22" t="str">
        <x:v>Scoped desk assessment</x:v>
      </x:c>
    </x:row>
    <x:row r="387" ht="48" customHeight="1">
      <x:c r="A387" s="22" t="n">
        <x:v>382</x:v>
      </x:c>
      <x:c r="B387" s="22" t="str">
        <x:v>Moriarty-Project</x:v>
      </x:c>
      <x:c r="C387" s="31" t="str">
        <x:v>U</x:v>
      </x:c>
      <x:c r="D387" s="22" t="str">
        <x:v>Unassessed</x:v>
      </x:c>
      <x:c r="E387" s="22" t="str">
        <x:v>PHONE</x:v>
      </x:c>
      <x:c r="F387" s="22" t="str">
        <x:v>Telephone-related discovery or analysis</x:v>
      </x:c>
      <x:c r="G387" s="22" t="str">
        <x:v>A number association is not verified subscriber identity, current ownership or physical proximity.</x:v>
      </x:c>
      <x:c r="H387" s="22" t="str">
        <x:v>Verify publisher, source and current function before reliance</x:v>
      </x:c>
      <x:c r="I387" s="22" t="str">
        <x:v>Not checked</x:v>
      </x:c>
      <x:c r="J387" s="22" t="str">
        <x:v>Saved bookmark metadata only</x:v>
      </x:c>
      <x:c r="K387" s="22" t="str"/>
      <x:c r="L387" s="24" t="str"/>
      <x:c r="M387" s="24" t="str">
        <x:v>https://github.com/AzizKpln/Moriarty-Project</x:v>
      </x:c>
      <x:c r="N387" s="22" t="str">
        <x:v>289970610</x:v>
      </x:c>
      <x:c r="O387" s="22" t="n">
        <x:v>1012</x:v>
      </x:c>
      <x:c r="P387" s="22" t="n">
        <x:v>6</x:v>
      </x:c>
      <x:c r="Q387" s="22" t="str"/>
      <x:c r="R387" s="22" t="n">
        <x:f>COUNTIF($M$6:$M$1177,M387)</x:f>
        <x:v>1</x:v>
      </x:c>
      <x:c r="S387" s="22" t="str">
        <x:v>Contacts / records</x:v>
      </x:c>
      <x:c r="T387" s="22" t="str">
        <x:v>Not established</x:v>
      </x:c>
    </x:row>
    <x:row r="388" ht="48" customHeight="1">
      <x:c r="A388" s="22" t="n">
        <x:v>383</x:v>
      </x:c>
      <x:c r="B388" s="22" t="str">
        <x:v>collector</x:v>
      </x:c>
      <x:c r="C388" s="31" t="str">
        <x:v>U</x:v>
      </x:c>
      <x:c r="D388" s="22" t="str">
        <x:v>Unassessed</x:v>
      </x:c>
      <x:c r="E388" s="22" t="str">
        <x:v>PHONE</x:v>
      </x:c>
      <x:c r="F388" s="22" t="str">
        <x:v>Telephone-related discovery or analysis</x:v>
      </x:c>
      <x:c r="G388" s="22" t="str">
        <x:v>A number association is not verified subscriber identity, current ownership or physical proximity.</x:v>
      </x:c>
      <x:c r="H388" s="22" t="str">
        <x:v>Verify publisher, source and current function before reliance</x:v>
      </x:c>
      <x:c r="I388" s="22" t="str">
        <x:v>Not checked</x:v>
      </x:c>
      <x:c r="J388" s="22" t="str">
        <x:v>Saved bookmark metadata only</x:v>
      </x:c>
      <x:c r="K388" s="22" t="str"/>
      <x:c r="L388" s="24" t="str"/>
      <x:c r="M388" s="24" t="str">
        <x:v>https://github.com/galihap76/collector</x:v>
      </x:c>
      <x:c r="N388" s="22" t="str">
        <x:v>309551627</x:v>
      </x:c>
      <x:c r="O388" s="22" t="n">
        <x:v>1012</x:v>
      </x:c>
      <x:c r="P388" s="22" t="n">
        <x:v>7</x:v>
      </x:c>
      <x:c r="Q388" s="22" t="str"/>
      <x:c r="R388" s="22" t="n">
        <x:f>COUNTIF($M$6:$M$1177,M388)</x:f>
        <x:v>1</x:v>
      </x:c>
      <x:c r="S388" s="22" t="str">
        <x:v>Contacts / records</x:v>
      </x:c>
      <x:c r="T388" s="22" t="str">
        <x:v>Not established</x:v>
      </x:c>
    </x:row>
    <x:row r="389" ht="48" customHeight="1">
      <x:c r="A389" s="22" t="n">
        <x:v>384</x:v>
      </x:c>
      <x:c r="B389" s="22" t="str">
        <x:v>Truecaller Search Engine</x:v>
      </x:c>
      <x:c r="C389" s="43" t="str">
        <x:v>C-P</x:v>
      </x:c>
      <x:c r="D389" s="22" t="str">
        <x:v>Provisional</x:v>
      </x:c>
      <x:c r="E389" s="22" t="str">
        <x:v>PHONE</x:v>
      </x:c>
      <x:c r="F389" s="22" t="str">
        <x:v>Custom-search discovery only</x:v>
      </x:c>
      <x:c r="G389" s="22" t="str">
        <x:v>The saved URL identifies a custom search. This engine's configuration, coverage and query results were not tested.</x:v>
      </x:c>
      <x:c r="H389" s="22" t="str">
        <x:v>Open and verify the original result; do not count the search as corroboration</x:v>
      </x:c>
      <x:c r="I389" s="22" t="str">
        <x:v>Not checked</x:v>
      </x:c>
      <x:c r="J389" s="22" t="str">
        <x:v>Saved bookmark metadata only</x:v>
      </x:c>
      <x:c r="K389" s="22" t="str"/>
      <x:c r="L389" s="24" t="str"/>
      <x:c r="M389" s="24" t="str">
        <x:v>https://cse.google.com/cse?cx=c46b76bce1848d976</x:v>
      </x:c>
      <x:c r="N389" s="22" t="str">
        <x:v>286819732</x:v>
      </x:c>
      <x:c r="O389" s="22" t="n">
        <x:v>1013</x:v>
      </x:c>
      <x:c r="P389" s="22" t="n">
        <x:v>8</x:v>
      </x:c>
      <x:c r="Q389" s="22" t="str"/>
      <x:c r="R389" s="22" t="n">
        <x:f>COUNTIF($M$6:$M$1177,M389)</x:f>
        <x:v>1</x:v>
      </x:c>
      <x:c r="S389" s="22" t="str">
        <x:v>Contacts / records</x:v>
      </x:c>
      <x:c r="T389" s="22" t="str">
        <x:v>Low</x:v>
      </x:c>
    </x:row>
    <x:row r="390" ht="48" customHeight="1">
      <x:c r="A390" s="22" t="n">
        <x:v>385</x:v>
      </x:c>
      <x:c r="B390" s="22" t="str">
        <x:v>Nuwber</x:v>
      </x:c>
      <x:c r="C390" s="31" t="str">
        <x:v>U</x:v>
      </x:c>
      <x:c r="D390" s="22" t="str">
        <x:v>Access unresolved</x:v>
      </x:c>
      <x:c r="E390" s="22" t="str">
        <x:v>PHONE</x:v>
      </x:c>
      <x:c r="F390" s="22" t="str">
        <x:v>Telephone-related discovery or analysis</x:v>
      </x:c>
      <x:c r="G390" s="22" t="str">
        <x:v>A number association is not verified subscriber identity, current ownership or physical proximity.</x:v>
      </x:c>
      <x:c r="H390" s="22" t="str">
        <x:v>Check manually; retrieval failure is not evidence the service is unreliable</x:v>
      </x:c>
      <x:c r="I390" s="22" t="str">
        <x:v>Unresolved reader access; website status unknown</x:v>
      </x:c>
      <x:c r="J390" s="22" t="str">
        <x:v>Fetch attempted; no usable substantive content</x:v>
      </x:c>
      <x:c r="K390" s="22" t="str"/>
      <x:c r="L390" s="24" t="str"/>
      <x:c r="M390" s="24" t="str">
        <x:v>https://nuwber.com/</x:v>
      </x:c>
      <x:c r="N390" s="22" t="str">
        <x:v>268409419</x:v>
      </x:c>
      <x:c r="O390" s="22" t="n">
        <x:v>1013</x:v>
      </x:c>
      <x:c r="P390" s="22" t="n">
        <x:v>9</x:v>
      </x:c>
      <x:c r="Q390" s="22" t="str">
        <x:v>2026-09-15</x:v>
      </x:c>
      <x:c r="R390" s="22" t="n">
        <x:f>COUNTIF($M$6:$M$1177,M390)</x:f>
        <x:v>1</x:v>
      </x:c>
      <x:c r="S390" s="22" t="str">
        <x:v>Contacts / records</x:v>
      </x:c>
      <x:c r="T390" s="22" t="str">
        <x:v>Not established</x:v>
      </x:c>
    </x:row>
    <x:row r="391" ht="48" customHeight="1">
      <x:c r="A391" s="22" t="n">
        <x:v>386</x:v>
      </x:c>
      <x:c r="B391" s="22" t="str">
        <x:v>Who Called Me</x:v>
      </x:c>
      <x:c r="C391" s="31" t="str">
        <x:v>U</x:v>
      </x:c>
      <x:c r="D391" s="22" t="str">
        <x:v>Access unresolved</x:v>
      </x:c>
      <x:c r="E391" s="22" t="str">
        <x:v>PHONE</x:v>
      </x:c>
      <x:c r="F391" s="22" t="str">
        <x:v>Telephone-related discovery or analysis</x:v>
      </x:c>
      <x:c r="G391" s="22" t="str">
        <x:v>A number association is not verified subscriber identity, current ownership or physical proximity.</x:v>
      </x:c>
      <x:c r="H391" s="22" t="str">
        <x:v>Check manually; retrieval failure is not evidence the service is unreliable</x:v>
      </x:c>
      <x:c r="I391" s="22" t="str">
        <x:v>Unresolved reader access; website status unknown</x:v>
      </x:c>
      <x:c r="J391" s="22" t="str">
        <x:v>Fetch attempted; no usable substantive content</x:v>
      </x:c>
      <x:c r="K391" s="22" t="str"/>
      <x:c r="L391" s="24" t="str"/>
      <x:c r="M391" s="24" t="str">
        <x:v>https://www.whocalledme.com/</x:v>
      </x:c>
      <x:c r="N391" s="22" t="str">
        <x:v>268404136</x:v>
      </x:c>
      <x:c r="O391" s="22" t="n">
        <x:v>1013</x:v>
      </x:c>
      <x:c r="P391" s="22" t="n">
        <x:v>10</x:v>
      </x:c>
      <x:c r="Q391" s="22" t="str">
        <x:v>2026-09-15</x:v>
      </x:c>
      <x:c r="R391" s="22" t="n">
        <x:f>COUNTIF($M$6:$M$1177,M391)</x:f>
        <x:v>1</x:v>
      </x:c>
      <x:c r="S391" s="22" t="str">
        <x:v>Contacts / records</x:v>
      </x:c>
      <x:c r="T391" s="22" t="str">
        <x:v>Not established</x:v>
      </x:c>
    </x:row>
    <x:row r="392" ht="54" customHeight="1">
      <x:c r="A392" s="22" t="n">
        <x:v>387</x:v>
      </x:c>
      <x:c r="B392" s="22" t="str">
        <x:v>Phone number search Tool</x:v>
      </x:c>
      <x:c r="C392" s="39" t="str">
        <x:v>C</x:v>
      </x:c>
      <x:c r="D392" s="22" t="str">
        <x:v>Documented</x:v>
      </x:c>
      <x:c r="E392" s="22" t="str">
        <x:v>PHONE</x:v>
      </x:c>
      <x:c r="F392" s="22" t="str">
        <x:v>Phone-format search launcher</x:v>
      </x:c>
      <x:c r="G392" s="22" t="str">
        <x:v>Searches alternate telephone formats through external engines. A result must be checked at its source; the launcher does not verify subscriber identity.</x:v>
      </x:c>
      <x:c r="H392" s="22" t="str">
        <x:v>Corroborate before attribution</x:v>
      </x:c>
      <x:c r="I392" s="22" t="str">
        <x:v>Content readable; lookup not tested</x:v>
      </x:c>
      <x:c r="J392" s="22" t="str">
        <x:v>Provider documentation</x:v>
      </x:c>
      <x:c r="K392" s="22" t="str">
        <x:v>S087</x:v>
      </x:c>
      <x:c r="L392" s="24" t="str">
        <x:v>https://www.aware-online.com/en/osint-tools/phone-number-search-tool/</x:v>
      </x:c>
      <x:c r="M392" s="24" t="str">
        <x:v>https://www.aware-online.com/en/osint-tools/phone-number-search-tool/</x:v>
      </x:c>
      <x:c r="N392" s="22" t="str">
        <x:v>268396340</x:v>
      </x:c>
      <x:c r="O392" s="22" t="n">
        <x:v>1013</x:v>
      </x:c>
      <x:c r="P392" s="22" t="n">
        <x:v>11</x:v>
      </x:c>
      <x:c r="Q392" s="22" t="str">
        <x:v>2026-09-15</x:v>
      </x:c>
      <x:c r="R392" s="22" t="n">
        <x:f>COUNTIF($M$6:$M$1177,M392)</x:f>
        <x:v>1</x:v>
      </x:c>
      <x:c r="S392" s="22" t="str">
        <x:v>Contacts / records</x:v>
      </x:c>
      <x:c r="T392" s="22" t="str">
        <x:v>Scoped desk assessment</x:v>
      </x:c>
    </x:row>
    <x:row r="393" ht="48" customHeight="1">
      <x:c r="A393" s="22" t="n">
        <x:v>388</x:v>
      </x:c>
      <x:c r="B393" s="22" t="str">
        <x:v>Validnumber.com</x:v>
      </x:c>
      <x:c r="C393" s="39" t="str">
        <x:v>C</x:v>
      </x:c>
      <x:c r="D393" s="22" t="str">
        <x:v>Documented</x:v>
      </x:c>
      <x:c r="E393" s="22" t="str">
        <x:v>PHONE</x:v>
      </x:c>
      <x:c r="F393" s="22" t="str">
        <x:v>Reverse lookup / community reports</x:v>
      </x:c>
      <x:c r="G393" s="22" t="str">
        <x:v>Offers reverse lookup and user-submitted reports; neither is an original subscriber or court record.</x:v>
      </x:c>
      <x:c r="H393" s="22" t="str">
        <x:v>Corroborate before attribution</x:v>
      </x:c>
      <x:c r="I393" s="22" t="str">
        <x:v>Content readable; lookup not tested</x:v>
      </x:c>
      <x:c r="J393" s="22" t="str">
        <x:v>Provider landing page</x:v>
      </x:c>
      <x:c r="K393" s="22" t="str">
        <x:v>S032</x:v>
      </x:c>
      <x:c r="L393" s="24" t="str">
        <x:v>https://validnumber.com/</x:v>
      </x:c>
      <x:c r="M393" s="24" t="str">
        <x:v>https://validnumber.com/</x:v>
      </x:c>
      <x:c r="N393" s="22" t="str">
        <x:v>268512932</x:v>
      </x:c>
      <x:c r="O393" s="22" t="n">
        <x:v>1013</x:v>
      </x:c>
      <x:c r="P393" s="22" t="n">
        <x:v>12</x:v>
      </x:c>
      <x:c r="Q393" s="22" t="str">
        <x:v>2026-09-15</x:v>
      </x:c>
      <x:c r="R393" s="22" t="n">
        <x:f>COUNTIF($M$6:$M$1177,M393)</x:f>
        <x:v>1</x:v>
      </x:c>
      <x:c r="S393" s="22" t="str">
        <x:v>Contacts / records</x:v>
      </x:c>
      <x:c r="T393" s="22" t="str">
        <x:v>Scoped desk assessment</x:v>
      </x:c>
    </x:row>
    <x:row r="394" ht="48" customHeight="1">
      <x:c r="A394" s="22" t="n">
        <x:v>389</x:v>
      </x:c>
      <x:c r="B394" s="22" t="str">
        <x:v>Reverse Phone Lookup</x:v>
      </x:c>
      <x:c r="C394" s="39" t="str">
        <x:v>C</x:v>
      </x:c>
      <x:c r="D394" s="22" t="str">
        <x:v>Documented</x:v>
      </x:c>
      <x:c r="E394" s="22" t="str">
        <x:v>PHONE</x:v>
      </x:c>
      <x:c r="F394" s="22" t="str">
        <x:v>Suggested number-to-name match</x:v>
      </x:c>
      <x:c r="G394" s="22" t="str">
        <x:v>Landing page offers a matching service, but no independent accuracy benchmark was established here. Confirm the match elsewhere.</x:v>
      </x:c>
      <x:c r="H394" s="22" t="str">
        <x:v>Corroborate before attribution</x:v>
      </x:c>
      <x:c r="I394" s="22" t="str">
        <x:v>Content readable; lookup not tested</x:v>
      </x:c>
      <x:c r="J394" s="22" t="str">
        <x:v>Provider landing page</x:v>
      </x:c>
      <x:c r="K394" s="22" t="str">
        <x:v>S033</x:v>
      </x:c>
      <x:c r="L394" s="24" t="str">
        <x:v>https://www.zlookup.com/</x:v>
      </x:c>
      <x:c r="M394" s="24" t="str">
        <x:v>https://www.zlookup.com/</x:v>
      </x:c>
      <x:c r="N394" s="22" t="str">
        <x:v>268512911</x:v>
      </x:c>
      <x:c r="O394" s="22" t="n">
        <x:v>1013</x:v>
      </x:c>
      <x:c r="P394" s="22" t="n">
        <x:v>13</x:v>
      </x:c>
      <x:c r="Q394" s="22" t="str">
        <x:v>2026-09-15</x:v>
      </x:c>
      <x:c r="R394" s="22" t="n">
        <x:f>COUNTIF($M$6:$M$1177,M394)</x:f>
        <x:v>1</x:v>
      </x:c>
      <x:c r="S394" s="22" t="str">
        <x:v>Contacts / records</x:v>
      </x:c>
      <x:c r="T394" s="22" t="str">
        <x:v>Scoped desk assessment</x:v>
      </x:c>
    </x:row>
    <x:row r="395" ht="48" customHeight="1">
      <x:c r="A395" s="22" t="n">
        <x:v>390</x:v>
      </x:c>
      <x:c r="B395" s="22" t="str">
        <x:v>Reverse Phone Lookup</x:v>
      </x:c>
      <x:c r="C395" s="31" t="str">
        <x:v>U</x:v>
      </x:c>
      <x:c r="D395" s="22" t="str">
        <x:v>Access unresolved</x:v>
      </x:c>
      <x:c r="E395" s="22" t="str">
        <x:v>PHONE</x:v>
      </x:c>
      <x:c r="F395" s="22" t="str">
        <x:v>Telephone-related discovery or analysis</x:v>
      </x:c>
      <x:c r="G395" s="22" t="str">
        <x:v>A number association is not verified subscriber identity, current ownership or physical proximity.</x:v>
      </x:c>
      <x:c r="H395" s="22" t="str">
        <x:v>Check manually; retrieval failure is not evidence the service is unreliable</x:v>
      </x:c>
      <x:c r="I395" s="22" t="str">
        <x:v>Unresolved reader access; website status unknown</x:v>
      </x:c>
      <x:c r="J395" s="22" t="str">
        <x:v>Fetch attempted; no usable substantive content</x:v>
      </x:c>
      <x:c r="K395" s="22" t="str"/>
      <x:c r="L395" s="24" t="str"/>
      <x:c r="M395" s="24" t="str">
        <x:v>https://www.reversephonecheck.com/</x:v>
      </x:c>
      <x:c r="N395" s="22" t="str">
        <x:v>268397856</x:v>
      </x:c>
      <x:c r="O395" s="22" t="n">
        <x:v>1013</x:v>
      </x:c>
      <x:c r="P395" s="22" t="n">
        <x:v>14</x:v>
      </x:c>
      <x:c r="Q395" s="22" t="str">
        <x:v>2026-09-15</x:v>
      </x:c>
      <x:c r="R395" s="22" t="n">
        <x:f>COUNTIF($M$6:$M$1177,M395)</x:f>
        <x:v>1</x:v>
      </x:c>
      <x:c r="S395" s="22" t="str">
        <x:v>Contacts / records</x:v>
      </x:c>
      <x:c r="T395" s="22" t="str">
        <x:v>Not established</x:v>
      </x:c>
    </x:row>
    <x:row r="396" ht="54" customHeight="1">
      <x:c r="A396" s="22" t="n">
        <x:v>391</x:v>
      </x:c>
      <x:c r="B396" s="22" t="str">
        <x:v>Truecaller</x:v>
      </x:c>
      <x:c r="C396" s="39" t="str">
        <x:v>C</x:v>
      </x:c>
      <x:c r="D396" s="22" t="str">
        <x:v>Documented</x:v>
      </x:c>
      <x:c r="E396" s="22" t="str">
        <x:v>PHONE</x:v>
      </x:c>
      <x:c r="F396" s="22" t="str">
        <x:v>Community-supplied caller labels</x:v>
      </x:c>
      <x:c r="G396" s="22" t="str">
        <x:v>Truecaller describes community name suggestions and risk reports. Treat a displayed caller name as a lead, not legal subscriber identity.</x:v>
      </x:c>
      <x:c r="H396" s="22" t="str">
        <x:v>Corroborate before attribution</x:v>
      </x:c>
      <x:c r="I396" s="22" t="str">
        <x:v>Content readable; lookup not tested</x:v>
      </x:c>
      <x:c r="J396" s="22" t="str">
        <x:v>Provider documentation</x:v>
      </x:c>
      <x:c r="K396" s="22" t="str">
        <x:v>S031</x:v>
      </x:c>
      <x:c r="L396" s="24" t="str">
        <x:v>https://www.truecaller.com/reverse-phone-number-lookup</x:v>
      </x:c>
      <x:c r="M396" s="24" t="str">
        <x:v>https://www.truecaller.com/</x:v>
      </x:c>
      <x:c r="N396" s="22" t="str">
        <x:v>268397885</x:v>
      </x:c>
      <x:c r="O396" s="22" t="n">
        <x:v>1013</x:v>
      </x:c>
      <x:c r="P396" s="22" t="n">
        <x:v>15</x:v>
      </x:c>
      <x:c r="Q396" s="22" t="str">
        <x:v>2026-09-15</x:v>
      </x:c>
      <x:c r="R396" s="22" t="n">
        <x:f>COUNTIF($M$6:$M$1177,M396)</x:f>
        <x:v>1</x:v>
      </x:c>
      <x:c r="S396" s="22" t="str">
        <x:v>Contacts / records</x:v>
      </x:c>
      <x:c r="T396" s="22" t="str">
        <x:v>Scoped desk assessment</x:v>
      </x:c>
    </x:row>
    <x:row r="397" ht="48" customHeight="1">
      <x:c r="A397" s="22" t="n">
        <x:v>392</x:v>
      </x:c>
      <x:c r="B397" s="22" t="str">
        <x:v>Phone Number Lookup Tool</x:v>
      </x:c>
      <x:c r="C397" s="31" t="str">
        <x:v>U</x:v>
      </x:c>
      <x:c r="D397" s="22" t="str">
        <x:v>Unassessed</x:v>
      </x:c>
      <x:c r="E397" s="22" t="str">
        <x:v>PHONE</x:v>
      </x:c>
      <x:c r="F397" s="22" t="str">
        <x:v>Telephone-related discovery or analysis</x:v>
      </x:c>
      <x:c r="G397" s="22" t="str">
        <x:v>A number association is not verified subscriber identity, current ownership or physical proximity.</x:v>
      </x:c>
      <x:c r="H397" s="22" t="str">
        <x:v>Verify publisher, source and current function before reliance</x:v>
      </x:c>
      <x:c r="I397" s="22" t="str">
        <x:v>Not checked</x:v>
      </x:c>
      <x:c r="J397" s="22" t="str">
        <x:v>Saved bookmark metadata only</x:v>
      </x:c>
      <x:c r="K397" s="22" t="str"/>
      <x:c r="L397" s="24" t="str"/>
      <x:c r="M397" s="24" t="str">
        <x:v>https://shadowcrypt.net/tools/phone</x:v>
      </x:c>
      <x:c r="N397" s="22" t="str">
        <x:v>286694792</x:v>
      </x:c>
      <x:c r="O397" s="22" t="n">
        <x:v>1013</x:v>
      </x:c>
      <x:c r="P397" s="22" t="n">
        <x:v>16</x:v>
      </x:c>
      <x:c r="Q397" s="22" t="str"/>
      <x:c r="R397" s="22" t="n">
        <x:f>COUNTIF($M$6:$M$1177,M397)</x:f>
        <x:v>1</x:v>
      </x:c>
      <x:c r="S397" s="22" t="str">
        <x:v>Contacts / records</x:v>
      </x:c>
      <x:c r="T397" s="22" t="str">
        <x:v>Not established</x:v>
      </x:c>
    </x:row>
    <x:row r="398" ht="48" customHeight="1">
      <x:c r="A398" s="22" t="n">
        <x:v>393</x:v>
      </x:c>
      <x:c r="B398" s="22" t="str">
        <x:v>SYNC.me</x:v>
      </x:c>
      <x:c r="C398" s="39" t="str">
        <x:v>C</x:v>
      </x:c>
      <x:c r="D398" s="22" t="str">
        <x:v>Documented</x:v>
      </x:c>
      <x:c r="E398" s="22" t="str">
        <x:v>PHONE</x:v>
      </x:c>
      <x:c r="F398" s="22" t="str">
        <x:v>Caller-ID / contact association</x:v>
      </x:c>
      <x:c r="G398" s="22" t="str">
        <x:v>Caller-label and lookup service; do not equate its output with verified ownership or an interpersonal relationship.</x:v>
      </x:c>
      <x:c r="H398" s="22" t="str">
        <x:v>Corroborate before attribution</x:v>
      </x:c>
      <x:c r="I398" s="22" t="str">
        <x:v>Content readable; lookup not tested</x:v>
      </x:c>
      <x:c r="J398" s="22" t="str">
        <x:v>Provider landing page</x:v>
      </x:c>
      <x:c r="K398" s="22" t="str">
        <x:v>S034</x:v>
      </x:c>
      <x:c r="L398" s="24" t="str">
        <x:v>https://sync.me/</x:v>
      </x:c>
      <x:c r="M398" s="24" t="str">
        <x:v>https://sync.me/</x:v>
      </x:c>
      <x:c r="N398" s="22" t="str">
        <x:v>268403188</x:v>
      </x:c>
      <x:c r="O398" s="22" t="n">
        <x:v>1013</x:v>
      </x:c>
      <x:c r="P398" s="22" t="n">
        <x:v>17</x:v>
      </x:c>
      <x:c r="Q398" s="22" t="str">
        <x:v>2026-09-15</x:v>
      </x:c>
      <x:c r="R398" s="22" t="n">
        <x:f>COUNTIF($M$6:$M$1177,M398)</x:f>
        <x:v>1</x:v>
      </x:c>
      <x:c r="S398" s="22" t="str">
        <x:v>Contacts / records</x:v>
      </x:c>
      <x:c r="T398" s="22" t="str">
        <x:v>Scoped desk assessment</x:v>
      </x:c>
    </x:row>
    <x:row r="399" ht="48" customHeight="1">
      <x:c r="A399" s="22" t="n">
        <x:v>394</x:v>
      </x:c>
      <x:c r="B399" s="22" t="str">
        <x:v>OpenCelliD</x:v>
      </x:c>
      <x:c r="C399" s="35" t="str">
        <x:v>B</x:v>
      </x:c>
      <x:c r="D399" s="22" t="str">
        <x:v>Documented</x:v>
      </x:c>
      <x:c r="E399" s="22" t="str">
        <x:v>PHONE</x:v>
      </x:c>
      <x:c r="F399" s="22" t="str">
        <x:v>Cell-tower dataset only</x:v>
      </x:c>
      <x:c r="G399" s="22" t="str">
        <x:v>Open cell-tower database for geographic context. A tower coordinate is not a person's or handset's live location.</x:v>
      </x:c>
      <x:c r="H399" s="22" t="str">
        <x:v>Corroborate before attribution</x:v>
      </x:c>
      <x:c r="I399" s="22" t="str">
        <x:v>Content readable; lookup not tested</x:v>
      </x:c>
      <x:c r="J399" s="22" t="str">
        <x:v>Provider documentation</x:v>
      </x:c>
      <x:c r="K399" s="22" t="str">
        <x:v>S035</x:v>
      </x:c>
      <x:c r="L399" s="24" t="str">
        <x:v>https://opencellid.org/</x:v>
      </x:c>
      <x:c r="M399" s="24" t="str">
        <x:v>https://opencellid.org/</x:v>
      </x:c>
      <x:c r="N399" s="22" t="str">
        <x:v>286106250</x:v>
      </x:c>
      <x:c r="O399" s="22" t="n">
        <x:v>1013</x:v>
      </x:c>
      <x:c r="P399" s="22" t="n">
        <x:v>18</x:v>
      </x:c>
      <x:c r="Q399" s="22" t="str">
        <x:v>2026-09-15</x:v>
      </x:c>
      <x:c r="R399" s="22" t="n">
        <x:f>COUNTIF($M$6:$M$1177,M399)</x:f>
        <x:v>1</x:v>
      </x:c>
      <x:c r="S399" s="22" t="str">
        <x:v>Contacts / records</x:v>
      </x:c>
      <x:c r="T399" s="22" t="str">
        <x:v>Scoped desk assessment</x:v>
      </x:c>
    </x:row>
    <x:row r="400" ht="48" customHeight="1">
      <x:c r="A400" s="22" t="n">
        <x:v>395</x:v>
      </x:c>
      <x:c r="B400" s="22" t="str">
        <x:v>CellTower Locator</x:v>
      </x:c>
      <x:c r="C400" s="31" t="str">
        <x:v>U</x:v>
      </x:c>
      <x:c r="D400" s="22" t="str">
        <x:v>Unassessed</x:v>
      </x:c>
      <x:c r="E400" s="22" t="str">
        <x:v>PHONE</x:v>
      </x:c>
      <x:c r="F400" s="22" t="str">
        <x:v>Telephone-related discovery or analysis</x:v>
      </x:c>
      <x:c r="G400" s="22" t="str">
        <x:v>A number association is not verified subscriber identity, current ownership or physical proximity.</x:v>
      </x:c>
      <x:c r="H400" s="22" t="str">
        <x:v>Verify publisher, source and current function before reliance</x:v>
      </x:c>
      <x:c r="I400" s="22" t="str">
        <x:v>Not checked</x:v>
      </x:c>
      <x:c r="J400" s="22" t="str">
        <x:v>Saved bookmark metadata only</x:v>
      </x:c>
      <x:c r="K400" s="22" t="str"/>
      <x:c r="L400" s="24" t="str"/>
      <x:c r="M400" s="24" t="str">
        <x:v>http://www.cell2gps.com/</x:v>
      </x:c>
      <x:c r="N400" s="22" t="str">
        <x:v>286106149</x:v>
      </x:c>
      <x:c r="O400" s="22" t="n">
        <x:v>1013</x:v>
      </x:c>
      <x:c r="P400" s="22" t="n">
        <x:v>19</x:v>
      </x:c>
      <x:c r="Q400" s="22" t="str"/>
      <x:c r="R400" s="22" t="n">
        <x:f>COUNTIF($M$6:$M$1177,M400)</x:f>
        <x:v>1</x:v>
      </x:c>
      <x:c r="S400" s="22" t="str">
        <x:v>Contacts / records</x:v>
      </x:c>
      <x:c r="T400" s="22" t="str">
        <x:v>Not established</x:v>
      </x:c>
    </x:row>
    <x:row r="401" ht="48" customHeight="1">
      <x:c r="A401" s="22" t="n">
        <x:v>396</x:v>
      </x:c>
      <x:c r="B401" s="22" t="str">
        <x:v>Find GSM base stations cell id coordinates</x:v>
      </x:c>
      <x:c r="C401" s="31" t="str">
        <x:v>U</x:v>
      </x:c>
      <x:c r="D401" s="22" t="str">
        <x:v>Unassessed</x:v>
      </x:c>
      <x:c r="E401" s="22" t="str">
        <x:v>PHONE</x:v>
      </x:c>
      <x:c r="F401" s="22" t="str">
        <x:v>Telephone-related discovery or analysis</x:v>
      </x:c>
      <x:c r="G401" s="22" t="str">
        <x:v>A number association is not verified subscriber identity, current ownership or physical proximity.</x:v>
      </x:c>
      <x:c r="H401" s="22" t="str">
        <x:v>Verify publisher, source and current function before reliance</x:v>
      </x:c>
      <x:c r="I401" s="22" t="str">
        <x:v>Not checked</x:v>
      </x:c>
      <x:c r="J401" s="22" t="str">
        <x:v>Saved bookmark metadata only</x:v>
      </x:c>
      <x:c r="K401" s="22" t="str"/>
      <x:c r="L401" s="24" t="str"/>
      <x:c r="M401" s="24" t="str">
        <x:v>https://cellidfinder.com/</x:v>
      </x:c>
      <x:c r="N401" s="22" t="str">
        <x:v>286106141</x:v>
      </x:c>
      <x:c r="O401" s="22" t="n">
        <x:v>1013</x:v>
      </x:c>
      <x:c r="P401" s="22" t="n">
        <x:v>20</x:v>
      </x:c>
      <x:c r="Q401" s="22" t="str"/>
      <x:c r="R401" s="22" t="n">
        <x:f>COUNTIF($M$6:$M$1177,M401)</x:f>
        <x:v>1</x:v>
      </x:c>
      <x:c r="S401" s="22" t="str">
        <x:v>Contacts / records</x:v>
      </x:c>
      <x:c r="T401" s="22" t="str">
        <x:v>Not established</x:v>
      </x:c>
    </x:row>
    <x:row r="402" ht="48" customHeight="1">
      <x:c r="A402" s="22" t="n">
        <x:v>397</x:v>
      </x:c>
      <x:c r="B402" s="22" t="str">
        <x:v>Phone Scoop</x:v>
      </x:c>
      <x:c r="C402" s="27" t="str">
        <x:v>N/A</x:v>
      </x:c>
      <x:c r="D402" s="22" t="str">
        <x:v>Utility classification</x:v>
      </x:c>
      <x:c r="E402" s="22" t="str">
        <x:v>PHONE</x:v>
      </x:c>
      <x:c r="F402" s="22" t="str">
        <x:v>Telephone-related discovery or analysis</x:v>
      </x:c>
      <x:c r="G402" s="22" t="str">
        <x:v>Processing or reference utility, not independent connection evidence. Preserve original inputs and validate important output.</x:v>
      </x:c>
      <x:c r="H402" s="22" t="str">
        <x:v>Use as a utility only; functionality not audited</x:v>
      </x:c>
      <x:c r="I402" s="22" t="str">
        <x:v>Not checked</x:v>
      </x:c>
      <x:c r="J402" s="22" t="str">
        <x:v>Saved bookmark metadata only</x:v>
      </x:c>
      <x:c r="K402" s="22" t="str"/>
      <x:c r="L402" s="24" t="str"/>
      <x:c r="M402" s="24" t="str">
        <x:v>https://www.phonescoop.com/phones/</x:v>
      </x:c>
      <x:c r="N402" s="22" t="str">
        <x:v>290382343</x:v>
      </x:c>
      <x:c r="O402" s="22" t="n">
        <x:v>1013</x:v>
      </x:c>
      <x:c r="P402" s="22" t="n">
        <x:v>21</x:v>
      </x:c>
      <x:c r="Q402" s="22" t="str"/>
      <x:c r="R402" s="22" t="n">
        <x:f>COUNTIF($M$6:$M$1177,M402)</x:f>
        <x:v>1</x:v>
      </x:c>
      <x:c r="S402" s="22" t="str">
        <x:v>Contacts / records</x:v>
      </x:c>
      <x:c r="T402" s="22" t="str">
        <x:v>Scope only</x:v>
      </x:c>
    </x:row>
    <x:row r="403" ht="48" customHeight="1">
      <x:c r="A403" s="22" t="n">
        <x:v>398</x:v>
      </x:c>
      <x:c r="B403" s="22" t="str">
        <x:v>GSM Arena</x:v>
      </x:c>
      <x:c r="C403" s="27" t="str">
        <x:v>N/A</x:v>
      </x:c>
      <x:c r="D403" s="22" t="str">
        <x:v>Utility classification</x:v>
      </x:c>
      <x:c r="E403" s="22" t="str">
        <x:v>PHONE</x:v>
      </x:c>
      <x:c r="F403" s="22" t="str">
        <x:v>Telephone-related discovery or analysis</x:v>
      </x:c>
      <x:c r="G403" s="22" t="str">
        <x:v>Processing or reference utility, not independent connection evidence. Preserve original inputs and validate important output.</x:v>
      </x:c>
      <x:c r="H403" s="22" t="str">
        <x:v>Use as a utility only; functionality not audited</x:v>
      </x:c>
      <x:c r="I403" s="22" t="str">
        <x:v>Not checked</x:v>
      </x:c>
      <x:c r="J403" s="22" t="str">
        <x:v>Saved bookmark metadata only</x:v>
      </x:c>
      <x:c r="K403" s="22" t="str"/>
      <x:c r="L403" s="24" t="str"/>
      <x:c r="M403" s="24" t="str">
        <x:v>https://www.gsmarena.com/</x:v>
      </x:c>
      <x:c r="N403" s="22" t="str">
        <x:v>287164736</x:v>
      </x:c>
      <x:c r="O403" s="22" t="n">
        <x:v>1013</x:v>
      </x:c>
      <x:c r="P403" s="22" t="n">
        <x:v>22</x:v>
      </x:c>
      <x:c r="Q403" s="22" t="str"/>
      <x:c r="R403" s="22" t="n">
        <x:f>COUNTIF($M$6:$M$1177,M403)</x:f>
        <x:v>1</x:v>
      </x:c>
      <x:c r="S403" s="22" t="str">
        <x:v>Contacts / records</x:v>
      </x:c>
      <x:c r="T403" s="22" t="str">
        <x:v>Scope only</x:v>
      </x:c>
    </x:row>
    <x:row r="404" ht="48" customHeight="1">
      <x:c r="A404" s="22" t="n">
        <x:v>399</x:v>
      </x:c>
      <x:c r="B404" s="22" t="str">
        <x:v>Fcc.io</x:v>
      </x:c>
      <x:c r="C404" s="27" t="str">
        <x:v>N/A</x:v>
      </x:c>
      <x:c r="D404" s="22" t="str">
        <x:v>Utility classification</x:v>
      </x:c>
      <x:c r="E404" s="22" t="str">
        <x:v>PHONE</x:v>
      </x:c>
      <x:c r="F404" s="22" t="str">
        <x:v>Telephone-related discovery or analysis</x:v>
      </x:c>
      <x:c r="G404" s="22" t="str">
        <x:v>Processing or reference utility, not independent connection evidence. Preserve original inputs and validate important output.</x:v>
      </x:c>
      <x:c r="H404" s="22" t="str">
        <x:v>Use as a utility only; functionality not audited</x:v>
      </x:c>
      <x:c r="I404" s="22" t="str">
        <x:v>Not checked</x:v>
      </x:c>
      <x:c r="J404" s="22" t="str">
        <x:v>Saved bookmark metadata only</x:v>
      </x:c>
      <x:c r="K404" s="22" t="str"/>
      <x:c r="L404" s="24" t="str"/>
      <x:c r="M404" s="24" t="str">
        <x:v>http://fcc.io/</x:v>
      </x:c>
      <x:c r="N404" s="22" t="str">
        <x:v>290382341</x:v>
      </x:c>
      <x:c r="O404" s="22" t="n">
        <x:v>1013</x:v>
      </x:c>
      <x:c r="P404" s="22" t="n">
        <x:v>23</x:v>
      </x:c>
      <x:c r="Q404" s="22" t="str"/>
      <x:c r="R404" s="22" t="n">
        <x:f>COUNTIF($M$6:$M$1177,M404)</x:f>
        <x:v>1</x:v>
      </x:c>
      <x:c r="S404" s="22" t="str">
        <x:v>Contacts / records</x:v>
      </x:c>
      <x:c r="T404" s="22" t="str">
        <x:v>Scope only</x:v>
      </x:c>
    </x:row>
    <x:row r="405" ht="48" customHeight="1">
      <x:c r="A405" s="22" t="n">
        <x:v>400</x:v>
      </x:c>
      <x:c r="B405" s="22" t="str">
        <x:v>Oldphonebook.com</x:v>
      </x:c>
      <x:c r="C405" s="31" t="str">
        <x:v>U</x:v>
      </x:c>
      <x:c r="D405" s="22" t="str">
        <x:v>Unassessed</x:v>
      </x:c>
      <x:c r="E405" s="22" t="str">
        <x:v>PHONE</x:v>
      </x:c>
      <x:c r="F405" s="22" t="str">
        <x:v>Telephone-related discovery or analysis</x:v>
      </x:c>
      <x:c r="G405" s="22" t="str">
        <x:v>A number association is not verified subscriber identity, current ownership or physical proximity.</x:v>
      </x:c>
      <x:c r="H405" s="22" t="str">
        <x:v>Verify publisher, source and current function before reliance</x:v>
      </x:c>
      <x:c r="I405" s="22" t="str">
        <x:v>Not checked</x:v>
      </x:c>
      <x:c r="J405" s="22" t="str">
        <x:v>Saved bookmark metadata only</x:v>
      </x:c>
      <x:c r="K405" s="22" t="str"/>
      <x:c r="L405" s="24" t="str"/>
      <x:c r="M405" s="24" t="str">
        <x:v>http://www.oldphonebook.com/</x:v>
      </x:c>
      <x:c r="N405" s="22" t="str">
        <x:v>297341248</x:v>
      </x:c>
      <x:c r="O405" s="22" t="n">
        <x:v>1013</x:v>
      </x:c>
      <x:c r="P405" s="22" t="n">
        <x:v>24</x:v>
      </x:c>
      <x:c r="Q405" s="22" t="str"/>
      <x:c r="R405" s="22" t="n">
        <x:f>COUNTIF($M$6:$M$1177,M405)</x:f>
        <x:v>1</x:v>
      </x:c>
      <x:c r="S405" s="22" t="str">
        <x:v>Contacts / records</x:v>
      </x:c>
      <x:c r="T405" s="22" t="str">
        <x:v>Not established</x:v>
      </x:c>
    </x:row>
    <x:row r="406" ht="48" customHeight="1">
      <x:c r="A406" s="22" t="n">
        <x:v>401</x:v>
      </x:c>
      <x:c r="B406" s="22" t="str">
        <x:v>carrier lookup</x:v>
      </x:c>
      <x:c r="C406" s="35" t="str">
        <x:v>B</x:v>
      </x:c>
      <x:c r="D406" s="22" t="str">
        <x:v>Documented</x:v>
      </x:c>
      <x:c r="E406" s="22" t="str">
        <x:v>PHONE</x:v>
      </x:c>
      <x:c r="F406" s="22" t="str">
        <x:v>Carrier / line-type metadata only</x:v>
      </x:c>
      <x:c r="G406" s="22" t="str">
        <x:v>Lookup is bounded to telecom metadata. It does not identify the current individual using the number.</x:v>
      </x:c>
      <x:c r="H406" s="22" t="str">
        <x:v>Corroborate before attribution</x:v>
      </x:c>
      <x:c r="I406" s="22" t="str">
        <x:v>Content readable; lookup not tested</x:v>
      </x:c>
      <x:c r="J406" s="22" t="str">
        <x:v>Provider documentation</x:v>
      </x:c>
      <x:c r="K406" s="22" t="str">
        <x:v>S036</x:v>
      </x:c>
      <x:c r="L406" s="24" t="str">
        <x:v>https://www.carrierlookup.com/</x:v>
      </x:c>
      <x:c r="M406" s="24" t="str">
        <x:v>https://www.carrierlookup.com/</x:v>
      </x:c>
      <x:c r="N406" s="22" t="str">
        <x:v>297341251</x:v>
      </x:c>
      <x:c r="O406" s="22" t="n">
        <x:v>1018</x:v>
      </x:c>
      <x:c r="P406" s="22" t="n">
        <x:v>25</x:v>
      </x:c>
      <x:c r="Q406" s="22" t="str">
        <x:v>2026-09-15</x:v>
      </x:c>
      <x:c r="R406" s="22" t="n">
        <x:f>COUNTIF($M$6:$M$1177,M406)</x:f>
        <x:v>1</x:v>
      </x:c>
      <x:c r="S406" s="22" t="str">
        <x:v>Contacts / records</x:v>
      </x:c>
      <x:c r="T406" s="22" t="str">
        <x:v>Scoped desk assessment</x:v>
      </x:c>
    </x:row>
    <x:row r="407" ht="48" customHeight="1">
      <x:c r="A407" s="22" t="n">
        <x:v>402</x:v>
      </x:c>
      <x:c r="B407" s="22" t="str">
        <x:v>Free Reverse Phone Lookup</x:v>
      </x:c>
      <x:c r="C407" s="31" t="str">
        <x:v>U</x:v>
      </x:c>
      <x:c r="D407" s="22" t="str">
        <x:v>Access unresolved</x:v>
      </x:c>
      <x:c r="E407" s="22" t="str">
        <x:v>PHONE</x:v>
      </x:c>
      <x:c r="F407" s="22" t="str">
        <x:v>Telephone-related discovery or analysis</x:v>
      </x:c>
      <x:c r="G407" s="22" t="str">
        <x:v>A number association is not verified subscriber identity, current ownership or physical proximity.</x:v>
      </x:c>
      <x:c r="H407" s="22" t="str">
        <x:v>Check manually; retrieval failure is not evidence the service is unreliable</x:v>
      </x:c>
      <x:c r="I407" s="22" t="str">
        <x:v>Unresolved reader access; website status unknown</x:v>
      </x:c>
      <x:c r="J407" s="22" t="str">
        <x:v>Fetch attempted; no usable substantive content</x:v>
      </x:c>
      <x:c r="K407" s="22" t="str"/>
      <x:c r="L407" s="24" t="str"/>
      <x:c r="M407" s="24" t="str">
        <x:v>https://spydialer.com/default.aspx</x:v>
      </x:c>
      <x:c r="N407" s="22" t="str">
        <x:v>297341257</x:v>
      </x:c>
      <x:c r="O407" s="22" t="n">
        <x:v>1018</x:v>
      </x:c>
      <x:c r="P407" s="22" t="n">
        <x:v>26</x:v>
      </x:c>
      <x:c r="Q407" s="22" t="str">
        <x:v>2026-09-15</x:v>
      </x:c>
      <x:c r="R407" s="22" t="n">
        <x:f>COUNTIF($M$6:$M$1177,M407)</x:f>
        <x:v>1</x:v>
      </x:c>
      <x:c r="S407" s="22" t="str">
        <x:v>Contacts / records</x:v>
      </x:c>
      <x:c r="T407" s="22" t="str">
        <x:v>Not established</x:v>
      </x:c>
    </x:row>
    <x:row r="408" ht="48" customHeight="1">
      <x:c r="A408" s="22" t="n">
        <x:v>403</x:v>
      </x:c>
      <x:c r="B408" s="22" t="str">
        <x:v>Phonerator</x:v>
      </x:c>
      <x:c r="C408" s="27" t="str">
        <x:v>N/A</x:v>
      </x:c>
      <x:c r="D408" s="22" t="str">
        <x:v>Utility classification</x:v>
      </x:c>
      <x:c r="E408" s="22" t="str">
        <x:v>PHONE</x:v>
      </x:c>
      <x:c r="F408" s="22" t="str">
        <x:v>Telephone-related discovery or analysis</x:v>
      </x:c>
      <x:c r="G408" s="22" t="str">
        <x:v>Processing or reference utility, not independent connection evidence. Preserve original inputs and validate important output.</x:v>
      </x:c>
      <x:c r="H408" s="22" t="str">
        <x:v>Use as a utility only; functionality not audited</x:v>
      </x:c>
      <x:c r="I408" s="22" t="str">
        <x:v>Not checked</x:v>
      </x:c>
      <x:c r="J408" s="22" t="str">
        <x:v>Saved bookmark metadata only</x:v>
      </x:c>
      <x:c r="K408" s="22" t="str"/>
      <x:c r="L408" s="24" t="str"/>
      <x:c r="M408" s="24" t="str">
        <x:v>https://www.martinvigo.com/tools/phonerator/</x:v>
      </x:c>
      <x:c r="N408" s="22" t="str">
        <x:v>268388157</x:v>
      </x:c>
      <x:c r="O408" s="22" t="n">
        <x:v>1019</x:v>
      </x:c>
      <x:c r="P408" s="22" t="n">
        <x:v>27</x:v>
      </x:c>
      <x:c r="Q408" s="22" t="str"/>
      <x:c r="R408" s="22" t="n">
        <x:f>COUNTIF($M$6:$M$1177,M408)</x:f>
        <x:v>1</x:v>
      </x:c>
      <x:c r="S408" s="22" t="str">
        <x:v>Contacts / records</x:v>
      </x:c>
      <x:c r="T408" s="22" t="str">
        <x:v>Scope only</x:v>
      </x:c>
    </x:row>
    <x:row r="409" ht="54" customHeight="1">
      <x:c r="A409" s="22" t="n">
        <x:v>404</x:v>
      </x:c>
      <x:c r="B409" s="22" t="str">
        <x:v>SOCMINT</x:v>
      </x:c>
      <x:c r="C409" s="43" t="str">
        <x:v>C-P</x:v>
      </x:c>
      <x:c r="D409" s="22" t="str">
        <x:v>Provisional</x:v>
      </x:c>
      <x:c r="E409" s="22" t="str">
        <x:v>SOCIAL MEDIA</x:v>
      </x:c>
      <x:c r="F409" s="22" t="str">
        <x:v>Public social-media discovery</x:v>
      </x:c>
      <x:c r="G409" s="22" t="str">
        <x:v>Provisional ceiling from saved search/discovery context only. Verify the original page, account attribution and date; no result accuracy test.</x:v>
      </x:c>
      <x:c r="H409" s="22" t="str">
        <x:v>Lead only; inspect original content before attribution</x:v>
      </x:c>
      <x:c r="I409" s="22" t="str">
        <x:v>Not checked</x:v>
      </x:c>
      <x:c r="J409" s="22" t="str">
        <x:v>Saved bookmark metadata only</x:v>
      </x:c>
      <x:c r="K409" s="22" t="str"/>
      <x:c r="L409" s="24" t="str"/>
      <x:c r="M409" s="24" t="str">
        <x:v>https://start.me/p/Wp1kpe/socmint</x:v>
      </x:c>
      <x:c r="N409" s="22" t="str">
        <x:v>288431742</x:v>
      </x:c>
      <x:c r="O409" s="22" t="n">
        <x:v>1019</x:v>
      </x:c>
      <x:c r="P409" s="22" t="n">
        <x:v>1</x:v>
      </x:c>
      <x:c r="Q409" s="22" t="str"/>
      <x:c r="R409" s="22" t="n">
        <x:f>COUNTIF($M$6:$M$1177,M409)</x:f>
        <x:v>1</x:v>
      </x:c>
      <x:c r="S409" s="22" t="str">
        <x:v>Supporting discovery</x:v>
      </x:c>
      <x:c r="T409" s="22" t="str">
        <x:v>Low</x:v>
      </x:c>
    </x:row>
    <x:row r="410" ht="54" customHeight="1">
      <x:c r="A410" s="22" t="n">
        <x:v>405</x:v>
      </x:c>
      <x:c r="B410" s="22" t="str">
        <x:v>Hunt Intelligence</x:v>
      </x:c>
      <x:c r="C410" s="43" t="str">
        <x:v>C-P</x:v>
      </x:c>
      <x:c r="D410" s="22" t="str">
        <x:v>Provisional</x:v>
      </x:c>
      <x:c r="E410" s="22" t="str">
        <x:v>SOCIAL MEDIA</x:v>
      </x:c>
      <x:c r="F410" s="22" t="str">
        <x:v>Public social-media discovery</x:v>
      </x:c>
      <x:c r="G410" s="22" t="str">
        <x:v>Provisional ceiling from saved search/discovery context only. Verify the original page, account attribution and date; no result accuracy test.</x:v>
      </x:c>
      <x:c r="H410" s="22" t="str">
        <x:v>Lead only; inspect original content before attribution</x:v>
      </x:c>
      <x:c r="I410" s="22" t="str">
        <x:v>Not checked</x:v>
      </x:c>
      <x:c r="J410" s="22" t="str">
        <x:v>Saved bookmark metadata only</x:v>
      </x:c>
      <x:c r="K410" s="22" t="str"/>
      <x:c r="L410" s="24" t="str"/>
      <x:c r="M410" s="24" t="str">
        <x:v>https://www.huntintel.io/</x:v>
      </x:c>
      <x:c r="N410" s="22" t="str">
        <x:v>318586644</x:v>
      </x:c>
      <x:c r="O410" s="22" t="n">
        <x:v>1019</x:v>
      </x:c>
      <x:c r="P410" s="22" t="n">
        <x:v>2</x:v>
      </x:c>
      <x:c r="Q410" s="22" t="str"/>
      <x:c r="R410" s="22" t="n">
        <x:f>COUNTIF($M$6:$M$1177,M410)</x:f>
        <x:v>1</x:v>
      </x:c>
      <x:c r="S410" s="22" t="str">
        <x:v>Supporting discovery</x:v>
      </x:c>
      <x:c r="T410" s="22" t="str">
        <x:v>Low</x:v>
      </x:c>
    </x:row>
    <x:row r="411" ht="54" customHeight="1">
      <x:c r="A411" s="22" t="n">
        <x:v>406</x:v>
      </x:c>
      <x:c r="B411" s="22" t="str">
        <x:v>snscrape</x:v>
      </x:c>
      <x:c r="C411" s="43" t="str">
        <x:v>C-P</x:v>
      </x:c>
      <x:c r="D411" s="22" t="str">
        <x:v>Provisional</x:v>
      </x:c>
      <x:c r="E411" s="22" t="str">
        <x:v>SOCIAL MEDIA</x:v>
      </x:c>
      <x:c r="F411" s="22" t="str">
        <x:v>Public social-media discovery</x:v>
      </x:c>
      <x:c r="G411" s="22" t="str">
        <x:v>Provisional ceiling from saved search/discovery context only. Verify the original page, account attribution and date; no result accuracy test.</x:v>
      </x:c>
      <x:c r="H411" s="22" t="str">
        <x:v>Lead only; inspect original content before attribution</x:v>
      </x:c>
      <x:c r="I411" s="22" t="str">
        <x:v>Not checked</x:v>
      </x:c>
      <x:c r="J411" s="22" t="str">
        <x:v>Saved bookmark metadata only</x:v>
      </x:c>
      <x:c r="K411" s="22" t="str"/>
      <x:c r="L411" s="24" t="str"/>
      <x:c r="M411" s="24" t="str">
        <x:v>https://pypi.org/project/snscrape/</x:v>
      </x:c>
      <x:c r="N411" s="22" t="str">
        <x:v>318587888</x:v>
      </x:c>
      <x:c r="O411" s="22" t="n">
        <x:v>1019</x:v>
      </x:c>
      <x:c r="P411" s="22" t="n">
        <x:v>3</x:v>
      </x:c>
      <x:c r="Q411" s="22" t="str"/>
      <x:c r="R411" s="22" t="n">
        <x:f>COUNTIF($M$6:$M$1177,M411)</x:f>
        <x:v>1</x:v>
      </x:c>
      <x:c r="S411" s="22" t="str">
        <x:v>Supporting discovery</x:v>
      </x:c>
      <x:c r="T411" s="22" t="str">
        <x:v>Low</x:v>
      </x:c>
    </x:row>
    <x:row r="412" ht="54" customHeight="1">
      <x:c r="A412" s="22" t="n">
        <x:v>407</x:v>
      </x:c>
      <x:c r="B412" s="22" t="str">
        <x:v>Social Profiles Finder</x:v>
      </x:c>
      <x:c r="C412" s="43" t="str">
        <x:v>C-P</x:v>
      </x:c>
      <x:c r="D412" s="22" t="str">
        <x:v>Provisional</x:v>
      </x:c>
      <x:c r="E412" s="22" t="str">
        <x:v>SOCIAL MEDIA</x:v>
      </x:c>
      <x:c r="F412" s="22" t="str">
        <x:v>Public social-media discovery</x:v>
      </x:c>
      <x:c r="G412" s="22" t="str">
        <x:v>Provisional ceiling from saved search/discovery context only. Verify the original page, account attribution and date; no result accuracy test.</x:v>
      </x:c>
      <x:c r="H412" s="22" t="str">
        <x:v>Lead only; inspect original content before attribution</x:v>
      </x:c>
      <x:c r="I412" s="22" t="str">
        <x:v>Not checked</x:v>
      </x:c>
      <x:c r="J412" s="22" t="str">
        <x:v>Saved bookmark metadata only</x:v>
      </x:c>
      <x:c r="K412" s="22" t="str"/>
      <x:c r="L412" s="24" t="str"/>
      <x:c r="M412" s="24" t="str">
        <x:v>https://www.social-searcher.com/search-users/</x:v>
      </x:c>
      <x:c r="N412" s="22" t="str">
        <x:v>268376380</x:v>
      </x:c>
      <x:c r="O412" s="22" t="n">
        <x:v>1019</x:v>
      </x:c>
      <x:c r="P412" s="22" t="n">
        <x:v>4</x:v>
      </x:c>
      <x:c r="Q412" s="22" t="str"/>
      <x:c r="R412" s="22" t="n">
        <x:f>COUNTIF($M$6:$M$1177,M412)</x:f>
        <x:v>1</x:v>
      </x:c>
      <x:c r="S412" s="22" t="str">
        <x:v>Supporting discovery</x:v>
      </x:c>
      <x:c r="T412" s="22" t="str">
        <x:v>Low</x:v>
      </x:c>
    </x:row>
    <x:row r="413" ht="54" customHeight="1">
      <x:c r="A413" s="22" t="n">
        <x:v>408</x:v>
      </x:c>
      <x:c r="B413" s="22" t="str">
        <x:v>Who posted what?</x:v>
      </x:c>
      <x:c r="C413" s="43" t="str">
        <x:v>C-P</x:v>
      </x:c>
      <x:c r="D413" s="22" t="str">
        <x:v>Provisional</x:v>
      </x:c>
      <x:c r="E413" s="22" t="str">
        <x:v>SOCIAL MEDIA</x:v>
      </x:c>
      <x:c r="F413" s="22" t="str">
        <x:v>Public social-media discovery</x:v>
      </x:c>
      <x:c r="G413" s="22" t="str">
        <x:v>Provisional ceiling from saved search/discovery context only. Verify the original page, account attribution and date; no result accuracy test.</x:v>
      </x:c>
      <x:c r="H413" s="22" t="str">
        <x:v>Lead only; inspect original content before attribution</x:v>
      </x:c>
      <x:c r="I413" s="22" t="str">
        <x:v>Not checked</x:v>
      </x:c>
      <x:c r="J413" s="22" t="str">
        <x:v>Saved bookmark metadata only</x:v>
      </x:c>
      <x:c r="K413" s="22" t="str"/>
      <x:c r="L413" s="24" t="str"/>
      <x:c r="M413" s="24" t="str">
        <x:v>https://whopostedwhat.com/</x:v>
      </x:c>
      <x:c r="N413" s="22" t="str">
        <x:v>297341240</x:v>
      </x:c>
      <x:c r="O413" s="22" t="n">
        <x:v>1019</x:v>
      </x:c>
      <x:c r="P413" s="22" t="n">
        <x:v>5</x:v>
      </x:c>
      <x:c r="Q413" s="22" t="str"/>
      <x:c r="R413" s="22" t="n">
        <x:f>COUNTIF($M$6:$M$1177,M413)</x:f>
        <x:v>1</x:v>
      </x:c>
      <x:c r="S413" s="22" t="str">
        <x:v>Supporting discovery</x:v>
      </x:c>
      <x:c r="T413" s="22" t="str">
        <x:v>Low</x:v>
      </x:c>
    </x:row>
    <x:row r="414" ht="48" customHeight="1">
      <x:c r="A414" s="22" t="n">
        <x:v>409</x:v>
      </x:c>
      <x:c r="B414" s="22" t="str">
        <x:v>VK Search Engine</x:v>
      </x:c>
      <x:c r="C414" s="43" t="str">
        <x:v>C-P</x:v>
      </x:c>
      <x:c r="D414" s="22" t="str">
        <x:v>Provisional</x:v>
      </x:c>
      <x:c r="E414" s="22" t="str">
        <x:v>SOCIAL MEDIA</x:v>
      </x:c>
      <x:c r="F414" s="22" t="str">
        <x:v>Custom-search discovery only</x:v>
      </x:c>
      <x:c r="G414" s="22" t="str">
        <x:v>The saved URL identifies a custom search. This engine's configuration, coverage and query results were not tested.</x:v>
      </x:c>
      <x:c r="H414" s="22" t="str">
        <x:v>Open and verify the original result; do not count the search as corroboration</x:v>
      </x:c>
      <x:c r="I414" s="22" t="str">
        <x:v>Not checked</x:v>
      </x:c>
      <x:c r="J414" s="22" t="str">
        <x:v>Saved bookmark metadata only</x:v>
      </x:c>
      <x:c r="K414" s="22" t="str"/>
      <x:c r="L414" s="24" t="str"/>
      <x:c r="M414" s="24" t="str">
        <x:v>https://cse.google.com/cse?cx=f5e7cd4c6e33954ec</x:v>
      </x:c>
      <x:c r="N414" s="22" t="str">
        <x:v>286819449</x:v>
      </x:c>
      <x:c r="O414" s="22" t="n">
        <x:v>1019</x:v>
      </x:c>
      <x:c r="P414" s="22" t="n">
        <x:v>6</x:v>
      </x:c>
      <x:c r="Q414" s="22" t="str"/>
      <x:c r="R414" s="22" t="n">
        <x:f>COUNTIF($M$6:$M$1177,M414)</x:f>
        <x:v>1</x:v>
      </x:c>
      <x:c r="S414" s="22" t="str">
        <x:v>Supporting discovery</x:v>
      </x:c>
      <x:c r="T414" s="22" t="str">
        <x:v>Low</x:v>
      </x:c>
    </x:row>
    <x:row r="415" ht="54" customHeight="1">
      <x:c r="A415" s="22" t="n">
        <x:v>410</x:v>
      </x:c>
      <x:c r="B415" s="22" t="str">
        <x:v>Skype Search Engine</x:v>
      </x:c>
      <x:c r="C415" s="43" t="str">
        <x:v>C-P</x:v>
      </x:c>
      <x:c r="D415" s="22" t="str">
        <x:v>Provisional</x:v>
      </x:c>
      <x:c r="E415" s="22" t="str">
        <x:v>SOCIAL MEDIA</x:v>
      </x:c>
      <x:c r="F415" s="22" t="str">
        <x:v>Public social-media discovery</x:v>
      </x:c>
      <x:c r="G415" s="22" t="str">
        <x:v>Provisional ceiling from saved search/discovery context only. Verify the original page, account attribution and date; no result accuracy test.</x:v>
      </x:c>
      <x:c r="H415" s="22" t="str">
        <x:v>Lead only; inspect original content before attribution</x:v>
      </x:c>
      <x:c r="I415" s="22" t="str">
        <x:v>Not checked</x:v>
      </x:c>
      <x:c r="J415" s="22" t="str">
        <x:v>Saved bookmark metadata only</x:v>
      </x:c>
      <x:c r="K415" s="22" t="str"/>
      <x:c r="L415" s="24" t="str"/>
      <x:c r="M415" s="24" t="str">
        <x:v>https://www.skypli.com/</x:v>
      </x:c>
      <x:c r="N415" s="22" t="str">
        <x:v>268376158</x:v>
      </x:c>
      <x:c r="O415" s="22" t="n">
        <x:v>1019</x:v>
      </x:c>
      <x:c r="P415" s="22" t="n">
        <x:v>7</x:v>
      </x:c>
      <x:c r="Q415" s="22" t="str"/>
      <x:c r="R415" s="22" t="n">
        <x:f>COUNTIF($M$6:$M$1177,M415)</x:f>
        <x:v>1</x:v>
      </x:c>
      <x:c r="S415" s="22" t="str">
        <x:v>Supporting discovery</x:v>
      </x:c>
      <x:c r="T415" s="22" t="str">
        <x:v>Low</x:v>
      </x:c>
    </x:row>
    <x:row r="416" ht="54" customHeight="1">
      <x:c r="A416" s="22" t="n">
        <x:v>411</x:v>
      </x:c>
      <x:c r="B416" s="22" t="str">
        <x:v>Vimeo search tool</x:v>
      </x:c>
      <x:c r="C416" s="43" t="str">
        <x:v>C-P</x:v>
      </x:c>
      <x:c r="D416" s="22" t="str">
        <x:v>Provisional</x:v>
      </x:c>
      <x:c r="E416" s="22" t="str">
        <x:v>SOCIAL MEDIA</x:v>
      </x:c>
      <x:c r="F416" s="22" t="str">
        <x:v>Public social-media discovery</x:v>
      </x:c>
      <x:c r="G416" s="22" t="str">
        <x:v>Provisional ceiling from saved search/discovery context only. Verify the original page, account attribution and date; no result accuracy test.</x:v>
      </x:c>
      <x:c r="H416" s="22" t="str">
        <x:v>Lead only; inspect original content before attribution</x:v>
      </x:c>
      <x:c r="I416" s="22" t="str">
        <x:v>Not checked</x:v>
      </x:c>
      <x:c r="J416" s="22" t="str">
        <x:v>Saved bookmark metadata only</x:v>
      </x:c>
      <x:c r="K416" s="22" t="str"/>
      <x:c r="L416" s="24" t="str"/>
      <x:c r="M416" s="24" t="str">
        <x:v>https://www.aware-online.com/en/osint-tools/vimeo-search-tool/</x:v>
      </x:c>
      <x:c r="N416" s="22" t="str">
        <x:v>268503804</x:v>
      </x:c>
      <x:c r="O416" s="22" t="n">
        <x:v>1020</x:v>
      </x:c>
      <x:c r="P416" s="22" t="n">
        <x:v>8</x:v>
      </x:c>
      <x:c r="Q416" s="22" t="str"/>
      <x:c r="R416" s="22" t="n">
        <x:f>COUNTIF($M$6:$M$1177,M416)</x:f>
        <x:v>1</x:v>
      </x:c>
      <x:c r="S416" s="22" t="str">
        <x:v>Supporting discovery</x:v>
      </x:c>
      <x:c r="T416" s="22" t="str">
        <x:v>Low</x:v>
      </x:c>
    </x:row>
    <x:row r="417" ht="54" customHeight="1">
      <x:c r="A417" s="22" t="n">
        <x:v>412</x:v>
      </x:c>
      <x:c r="B417" s="22" t="str">
        <x:v>Kribrum.io</x:v>
      </x:c>
      <x:c r="C417" s="43" t="str">
        <x:v>C-P</x:v>
      </x:c>
      <x:c r="D417" s="22" t="str">
        <x:v>Provisional</x:v>
      </x:c>
      <x:c r="E417" s="22" t="str">
        <x:v>SOCIAL MEDIA</x:v>
      </x:c>
      <x:c r="F417" s="22" t="str">
        <x:v>Public social-media discovery</x:v>
      </x:c>
      <x:c r="G417" s="22" t="str">
        <x:v>Provisional ceiling from saved search/discovery context only. Verify the original page, account attribution and date; no result accuracy test.</x:v>
      </x:c>
      <x:c r="H417" s="22" t="str">
        <x:v>Lead only; inspect original content before attribution</x:v>
      </x:c>
      <x:c r="I417" s="22" t="str">
        <x:v>Not checked</x:v>
      </x:c>
      <x:c r="J417" s="22" t="str">
        <x:v>Saved bookmark metadata only</x:v>
      </x:c>
      <x:c r="K417" s="22" t="str"/>
      <x:c r="L417" s="24" t="str"/>
      <x:c r="M417" s="24" t="str">
        <x:v>https://kribrum.io/</x:v>
      </x:c>
      <x:c r="N417" s="22" t="str">
        <x:v>286014514</x:v>
      </x:c>
      <x:c r="O417" s="22" t="n">
        <x:v>1020</x:v>
      </x:c>
      <x:c r="P417" s="22" t="n">
        <x:v>9</x:v>
      </x:c>
      <x:c r="Q417" s="22" t="str"/>
      <x:c r="R417" s="22" t="n">
        <x:f>COUNTIF($M$6:$M$1177,M417)</x:f>
        <x:v>1</x:v>
      </x:c>
      <x:c r="S417" s="22" t="str">
        <x:v>Supporting discovery</x:v>
      </x:c>
      <x:c r="T417" s="22" t="str">
        <x:v>Low</x:v>
      </x:c>
    </x:row>
    <x:row r="418" ht="54" customHeight="1">
      <x:c r="A418" s="22" t="n">
        <x:v>413</x:v>
      </x:c>
      <x:c r="B418" s="22" t="str">
        <x:v>Graphtreon.com</x:v>
      </x:c>
      <x:c r="C418" s="43" t="str">
        <x:v>C-P</x:v>
      </x:c>
      <x:c r="D418" s="22" t="str">
        <x:v>Provisional</x:v>
      </x:c>
      <x:c r="E418" s="22" t="str">
        <x:v>SOCIAL MEDIA</x:v>
      </x:c>
      <x:c r="F418" s="22" t="str">
        <x:v>Public social-media discovery</x:v>
      </x:c>
      <x:c r="G418" s="22" t="str">
        <x:v>Provisional ceiling from saved search/discovery context only. Verify the original page, account attribution and date; no result accuracy test.</x:v>
      </x:c>
      <x:c r="H418" s="22" t="str">
        <x:v>Lead only; inspect original content before attribution</x:v>
      </x:c>
      <x:c r="I418" s="22" t="str">
        <x:v>Not checked</x:v>
      </x:c>
      <x:c r="J418" s="22" t="str">
        <x:v>Saved bookmark metadata only</x:v>
      </x:c>
      <x:c r="K418" s="22" t="str"/>
      <x:c r="L418" s="24" t="str"/>
      <x:c r="M418" s="24" t="str">
        <x:v>https://graphtreon.com/</x:v>
      </x:c>
      <x:c r="N418" s="22" t="str">
        <x:v>286644043</x:v>
      </x:c>
      <x:c r="O418" s="22" t="n">
        <x:v>1020</x:v>
      </x:c>
      <x:c r="P418" s="22" t="n">
        <x:v>10</x:v>
      </x:c>
      <x:c r="Q418" s="22" t="str"/>
      <x:c r="R418" s="22" t="n">
        <x:f>COUNTIF($M$6:$M$1177,M418)</x:f>
        <x:v>1</x:v>
      </x:c>
      <x:c r="S418" s="22" t="str">
        <x:v>Supporting discovery</x:v>
      </x:c>
      <x:c r="T418" s="22" t="str">
        <x:v>Low</x:v>
      </x:c>
    </x:row>
    <x:row r="419" ht="54" customHeight="1">
      <x:c r="A419" s="22" t="n">
        <x:v>414</x:v>
      </x:c>
      <x:c r="B419" s="22" t="str">
        <x:v>Social Search Engine</x:v>
      </x:c>
      <x:c r="C419" s="43" t="str">
        <x:v>C-P</x:v>
      </x:c>
      <x:c r="D419" s="22" t="str">
        <x:v>Provisional</x:v>
      </x:c>
      <x:c r="E419" s="22" t="str">
        <x:v>SOCIAL MEDIA</x:v>
      </x:c>
      <x:c r="F419" s="22" t="str">
        <x:v>Public social-media discovery</x:v>
      </x:c>
      <x:c r="G419" s="22" t="str">
        <x:v>Provisional ceiling from saved search/discovery context only. Verify the original page, account attribution and date; no result accuracy test.</x:v>
      </x:c>
      <x:c r="H419" s="22" t="str">
        <x:v>Lead only; inspect original content before attribution</x:v>
      </x:c>
      <x:c r="I419" s="22" t="str">
        <x:v>Not checked</x:v>
      </x:c>
      <x:c r="J419" s="22" t="str">
        <x:v>Saved bookmark metadata only</x:v>
      </x:c>
      <x:c r="K419" s="22" t="str"/>
      <x:c r="L419" s="24" t="str"/>
      <x:c r="M419" s="24" t="str">
        <x:v>https://www.socialsearchengine.org/</x:v>
      </x:c>
      <x:c r="N419" s="22" t="str">
        <x:v>286035372</x:v>
      </x:c>
      <x:c r="O419" s="22" t="n">
        <x:v>1020</x:v>
      </x:c>
      <x:c r="P419" s="22" t="n">
        <x:v>11</x:v>
      </x:c>
      <x:c r="Q419" s="22" t="str"/>
      <x:c r="R419" s="22" t="n">
        <x:f>COUNTIF($M$6:$M$1177,M419)</x:f>
        <x:v>1</x:v>
      </x:c>
      <x:c r="S419" s="22" t="str">
        <x:v>Supporting discovery</x:v>
      </x:c>
      <x:c r="T419" s="22" t="str">
        <x:v>Low</x:v>
      </x:c>
    </x:row>
    <x:row r="420" ht="54" customHeight="1">
      <x:c r="A420" s="22" t="n">
        <x:v>415</x:v>
      </x:c>
      <x:c r="B420" s="22" t="str">
        <x:v>Instagram, Reddit &amp; Snapchat</x:v>
      </x:c>
      <x:c r="C420" s="43" t="str">
        <x:v>C-P</x:v>
      </x:c>
      <x:c r="D420" s="22" t="str">
        <x:v>Provisional</x:v>
      </x:c>
      <x:c r="E420" s="22" t="str">
        <x:v>SOCIAL MEDIA</x:v>
      </x:c>
      <x:c r="F420" s="22" t="str">
        <x:v>Public social-media discovery</x:v>
      </x:c>
      <x:c r="G420" s="22" t="str">
        <x:v>Provisional ceiling from saved search/discovery context only. Verify the original page, account attribution and date; no result accuracy test.</x:v>
      </x:c>
      <x:c r="H420" s="22" t="str">
        <x:v>Lead only; inspect original content before attribution</x:v>
      </x:c>
      <x:c r="I420" s="22" t="str">
        <x:v>Not checked</x:v>
      </x:c>
      <x:c r="J420" s="22" t="str">
        <x:v>Saved bookmark metadata only</x:v>
      </x:c>
      <x:c r="K420" s="22" t="str"/>
      <x:c r="L420" s="24" t="str"/>
      <x:c r="M420" s="24" t="str">
        <x:v>https://one-plus.github.io/Instagram</x:v>
      </x:c>
      <x:c r="N420" s="22" t="str">
        <x:v>286013757</x:v>
      </x:c>
      <x:c r="O420" s="22" t="n">
        <x:v>1020</x:v>
      </x:c>
      <x:c r="P420" s="22" t="n">
        <x:v>12</x:v>
      </x:c>
      <x:c r="Q420" s="22" t="str"/>
      <x:c r="R420" s="22" t="n">
        <x:f>COUNTIF($M$6:$M$1177,M420)</x:f>
        <x:v>1</x:v>
      </x:c>
      <x:c r="S420" s="22" t="str">
        <x:v>Supporting discovery</x:v>
      </x:c>
      <x:c r="T420" s="22" t="str">
        <x:v>Low</x:v>
      </x:c>
    </x:row>
    <x:row r="421" ht="54" customHeight="1">
      <x:c r="A421" s="22" t="n">
        <x:v>416</x:v>
      </x:c>
      <x:c r="B421" s="22" t="str">
        <x:v>Google to search profiles on Dribbble</x:v>
      </x:c>
      <x:c r="C421" s="43" t="str">
        <x:v>C-P</x:v>
      </x:c>
      <x:c r="D421" s="22" t="str">
        <x:v>Provisional</x:v>
      </x:c>
      <x:c r="E421" s="22" t="str">
        <x:v>SOCIAL MEDIA</x:v>
      </x:c>
      <x:c r="F421" s="22" t="str">
        <x:v>Public social-media discovery</x:v>
      </x:c>
      <x:c r="G421" s="22" t="str">
        <x:v>Provisional ceiling from saved search/discovery context only. Verify the original page, account attribution and date; no result accuracy test.</x:v>
      </x:c>
      <x:c r="H421" s="22" t="str">
        <x:v>Lead only; inspect original content before attribution</x:v>
      </x:c>
      <x:c r="I421" s="22" t="str">
        <x:v>Not checked</x:v>
      </x:c>
      <x:c r="J421" s="22" t="str">
        <x:v>Saved bookmark metadata only</x:v>
      </x:c>
      <x:c r="K421" s="22" t="str"/>
      <x:c r="L421" s="24" t="str"/>
      <x:c r="M421" s="24" t="str">
        <x:v>https://recruitin.net/dribbble.php</x:v>
      </x:c>
      <x:c r="N421" s="22" t="str">
        <x:v>291679020</x:v>
      </x:c>
      <x:c r="O421" s="22" t="n">
        <x:v>1020</x:v>
      </x:c>
      <x:c r="P421" s="22" t="n">
        <x:v>13</x:v>
      </x:c>
      <x:c r="Q421" s="22" t="str"/>
      <x:c r="R421" s="22" t="n">
        <x:f>COUNTIF($M$6:$M$1177,M421)</x:f>
        <x:v>1</x:v>
      </x:c>
      <x:c r="S421" s="22" t="str">
        <x:v>Supporting discovery</x:v>
      </x:c>
      <x:c r="T421" s="22" t="str">
        <x:v>Low</x:v>
      </x:c>
    </x:row>
    <x:row r="422" ht="54" customHeight="1">
      <x:c r="A422" s="22" t="n">
        <x:v>417</x:v>
      </x:c>
      <x:c r="B422" s="22" t="str">
        <x:v>Google to search profiles on Xing</x:v>
      </x:c>
      <x:c r="C422" s="43" t="str">
        <x:v>C-P</x:v>
      </x:c>
      <x:c r="D422" s="22" t="str">
        <x:v>Provisional</x:v>
      </x:c>
      <x:c r="E422" s="22" t="str">
        <x:v>SOCIAL MEDIA</x:v>
      </x:c>
      <x:c r="F422" s="22" t="str">
        <x:v>Public social-media discovery</x:v>
      </x:c>
      <x:c r="G422" s="22" t="str">
        <x:v>Provisional ceiling from saved search/discovery context only. Verify the original page, account attribution and date; no result accuracy test.</x:v>
      </x:c>
      <x:c r="H422" s="22" t="str">
        <x:v>Lead only; inspect original content before attribution</x:v>
      </x:c>
      <x:c r="I422" s="22" t="str">
        <x:v>Not checked</x:v>
      </x:c>
      <x:c r="J422" s="22" t="str">
        <x:v>Saved bookmark metadata only</x:v>
      </x:c>
      <x:c r="K422" s="22" t="str"/>
      <x:c r="L422" s="24" t="str"/>
      <x:c r="M422" s="24" t="str">
        <x:v>https://recruitin.net/xing.php</x:v>
      </x:c>
      <x:c r="N422" s="22" t="str">
        <x:v>291679083</x:v>
      </x:c>
      <x:c r="O422" s="22" t="n">
        <x:v>1020</x:v>
      </x:c>
      <x:c r="P422" s="22" t="n">
        <x:v>14</x:v>
      </x:c>
      <x:c r="Q422" s="22" t="str"/>
      <x:c r="R422" s="22" t="n">
        <x:f>COUNTIF($M$6:$M$1177,M422)</x:f>
        <x:v>1</x:v>
      </x:c>
      <x:c r="S422" s="22" t="str">
        <x:v>Supporting discovery</x:v>
      </x:c>
      <x:c r="T422" s="22" t="str">
        <x:v>Low</x:v>
      </x:c>
    </x:row>
    <x:row r="423" ht="54" customHeight="1">
      <x:c r="A423" s="22" t="n">
        <x:v>418</x:v>
      </x:c>
      <x:c r="B423" s="22" t="str">
        <x:v>OSINT &amp; SOCMINT Tooling</x:v>
      </x:c>
      <x:c r="C423" s="43" t="str">
        <x:v>C-P</x:v>
      </x:c>
      <x:c r="D423" s="22" t="str">
        <x:v>Provisional</x:v>
      </x:c>
      <x:c r="E423" s="22" t="str">
        <x:v>SOCIAL MEDIA</x:v>
      </x:c>
      <x:c r="F423" s="22" t="str">
        <x:v>Public social-media discovery</x:v>
      </x:c>
      <x:c r="G423" s="22" t="str">
        <x:v>Provisional ceiling from saved search/discovery context only. Verify the original page, account attribution and date; no result accuracy test.</x:v>
      </x:c>
      <x:c r="H423" s="22" t="str">
        <x:v>Lead only; inspect original content before attribution</x:v>
      </x:c>
      <x:c r="I423" s="22" t="str">
        <x:v>Not checked</x:v>
      </x:c>
      <x:c r="J423" s="22" t="str">
        <x:v>Saved bookmark metadata only</x:v>
      </x:c>
      <x:c r="K423" s="22" t="str"/>
      <x:c r="L423" s="24" t="str"/>
      <x:c r="M423" s="24" t="str">
        <x:v>https://osint.support/chrome-extensions/2019/09/29/osint-socmint-tooling.html</x:v>
      </x:c>
      <x:c r="N423" s="22" t="str">
        <x:v>289965598</x:v>
      </x:c>
      <x:c r="O423" s="22" t="n">
        <x:v>1020</x:v>
      </x:c>
      <x:c r="P423" s="22" t="n">
        <x:v>15</x:v>
      </x:c>
      <x:c r="Q423" s="22" t="str"/>
      <x:c r="R423" s="22" t="n">
        <x:f>COUNTIF($M$6:$M$1177,M423)</x:f>
        <x:v>1</x:v>
      </x:c>
      <x:c r="S423" s="22" t="str">
        <x:v>Supporting discovery</x:v>
      </x:c>
      <x:c r="T423" s="22" t="str">
        <x:v>Low</x:v>
      </x:c>
    </x:row>
    <x:row r="424" ht="54" customHeight="1">
      <x:c r="A424" s="22" t="n">
        <x:v>419</x:v>
      </x:c>
      <x:c r="B424" s="22" t="str">
        <x:v>IntelTechniques Facebook</x:v>
      </x:c>
      <x:c r="C424" s="43" t="str">
        <x:v>C-P</x:v>
      </x:c>
      <x:c r="D424" s="22" t="str">
        <x:v>Provisional</x:v>
      </x:c>
      <x:c r="E424" s="22" t="str">
        <x:v>FACEBOOK</x:v>
      </x:c>
      <x:c r="F424" s="22" t="str">
        <x:v>Facebook content / account discovery</x:v>
      </x:c>
      <x:c r="G424" s="22" t="str">
        <x:v>Provisional ceiling from saved search/discovery context only. Verify the original page, account attribution and date; no result accuracy test.</x:v>
      </x:c>
      <x:c r="H424" s="22" t="str">
        <x:v>Lead only; inspect original content before attribution</x:v>
      </x:c>
      <x:c r="I424" s="22" t="str">
        <x:v>Not checked</x:v>
      </x:c>
      <x:c r="J424" s="22" t="str">
        <x:v>Saved bookmark metadata only</x:v>
      </x:c>
      <x:c r="K424" s="22" t="str"/>
      <x:c r="L424" s="24" t="str"/>
      <x:c r="M424" s="24" t="str">
        <x:v>https://inteltechniques.com/tools/Facebook.html</x:v>
      </x:c>
      <x:c r="N424" s="22" t="str">
        <x:v>314730194</x:v>
      </x:c>
      <x:c r="O424" s="22" t="n">
        <x:v>1020</x:v>
      </x:c>
      <x:c r="P424" s="22" t="n">
        <x:v>1</x:v>
      </x:c>
      <x:c r="Q424" s="22" t="str"/>
      <x:c r="R424" s="22" t="n">
        <x:f>COUNTIF($M$6:$M$1177,M424)</x:f>
        <x:v>1</x:v>
      </x:c>
      <x:c r="S424" s="22" t="str">
        <x:v>Supporting discovery</x:v>
      </x:c>
      <x:c r="T424" s="22" t="str">
        <x:v>Low</x:v>
      </x:c>
    </x:row>
    <x:row r="425" ht="48" customHeight="1">
      <x:c r="A425" s="22" t="n">
        <x:v>420</x:v>
      </x:c>
      <x:c r="B425" s="22" t="str">
        <x:v>Facebook Search Engine</x:v>
      </x:c>
      <x:c r="C425" s="43" t="str">
        <x:v>C-P</x:v>
      </x:c>
      <x:c r="D425" s="22" t="str">
        <x:v>Provisional</x:v>
      </x:c>
      <x:c r="E425" s="22" t="str">
        <x:v>FACEBOOK</x:v>
      </x:c>
      <x:c r="F425" s="22" t="str">
        <x:v>Custom-search discovery only</x:v>
      </x:c>
      <x:c r="G425" s="22" t="str">
        <x:v>The saved URL identifies a custom search. This engine's configuration, coverage and query results were not tested.</x:v>
      </x:c>
      <x:c r="H425" s="22" t="str">
        <x:v>Open and verify the original result; do not count the search as corroboration</x:v>
      </x:c>
      <x:c r="I425" s="22" t="str">
        <x:v>Not checked</x:v>
      </x:c>
      <x:c r="J425" s="22" t="str">
        <x:v>Saved bookmark metadata only</x:v>
      </x:c>
      <x:c r="K425" s="22" t="str"/>
      <x:c r="L425" s="24" t="str"/>
      <x:c r="M425" s="24" t="str">
        <x:v>https://cse.google.com/cse?cx=95ae46262a5f2958e</x:v>
      </x:c>
      <x:c r="N425" s="22" t="str">
        <x:v>286819430</x:v>
      </x:c>
      <x:c r="O425" s="22" t="n">
        <x:v>1020</x:v>
      </x:c>
      <x:c r="P425" s="22" t="n">
        <x:v>2</x:v>
      </x:c>
      <x:c r="Q425" s="22" t="str"/>
      <x:c r="R425" s="22" t="n">
        <x:f>COUNTIF($M$6:$M$1177,M425)</x:f>
        <x:v>1</x:v>
      </x:c>
      <x:c r="S425" s="22" t="str">
        <x:v>Supporting discovery</x:v>
      </x:c>
      <x:c r="T425" s="22" t="str">
        <x:v>Low</x:v>
      </x:c>
    </x:row>
    <x:row r="426" ht="48" customHeight="1">
      <x:c r="A426" s="22" t="n">
        <x:v>421</x:v>
      </x:c>
      <x:c r="B426" s="22" t="str">
        <x:v>Facebook Photo Search Engine</x:v>
      </x:c>
      <x:c r="C426" s="43" t="str">
        <x:v>C-P</x:v>
      </x:c>
      <x:c r="D426" s="22" t="str">
        <x:v>Provisional</x:v>
      </x:c>
      <x:c r="E426" s="22" t="str">
        <x:v>FACEBOOK</x:v>
      </x:c>
      <x:c r="F426" s="22" t="str">
        <x:v>Custom-search discovery only</x:v>
      </x:c>
      <x:c r="G426" s="22" t="str">
        <x:v>The saved URL identifies a custom search. This engine's configuration, coverage and query results were not tested.</x:v>
      </x:c>
      <x:c r="H426" s="22" t="str">
        <x:v>Open and verify the original result; do not count the search as corroboration</x:v>
      </x:c>
      <x:c r="I426" s="22" t="str">
        <x:v>Not checked</x:v>
      </x:c>
      <x:c r="J426" s="22" t="str">
        <x:v>Saved bookmark metadata only</x:v>
      </x:c>
      <x:c r="K426" s="22" t="str"/>
      <x:c r="L426" s="24" t="str"/>
      <x:c r="M426" s="24" t="str">
        <x:v>https://cse.google.com/cse/publicurl?cx=013991603413798772546:jyvyp2ppxma</x:v>
      </x:c>
      <x:c r="N426" s="22" t="str">
        <x:v>290066002</x:v>
      </x:c>
      <x:c r="O426" s="22" t="n">
        <x:v>1020</x:v>
      </x:c>
      <x:c r="P426" s="22" t="n">
        <x:v>3</x:v>
      </x:c>
      <x:c r="Q426" s="22" t="str"/>
      <x:c r="R426" s="22" t="n">
        <x:f>COUNTIF($M$6:$M$1177,M426)</x:f>
        <x:v>1</x:v>
      </x:c>
      <x:c r="S426" s="22" t="str">
        <x:v>Supporting discovery</x:v>
      </x:c>
      <x:c r="T426" s="22" t="str">
        <x:v>Low</x:v>
      </x:c>
    </x:row>
    <x:row r="427" ht="54" customHeight="1">
      <x:c r="A427" s="22" t="n">
        <x:v>422</x:v>
      </x:c>
      <x:c r="B427" s="22" t="str">
        <x:v>Facebook Scraped Data search</x:v>
      </x:c>
      <x:c r="C427" s="43" t="str">
        <x:v>C-P</x:v>
      </x:c>
      <x:c r="D427" s="22" t="str">
        <x:v>Provisional</x:v>
      </x:c>
      <x:c r="E427" s="22" t="str">
        <x:v>FACEBOOK</x:v>
      </x:c>
      <x:c r="F427" s="22" t="str">
        <x:v>Facebook content / account discovery</x:v>
      </x:c>
      <x:c r="G427" s="22" t="str">
        <x:v>Provisional ceiling from saved search/discovery context only. Verify the original page, account attribution and date; no result accuracy test.</x:v>
      </x:c>
      <x:c r="H427" s="22" t="str">
        <x:v>Lead only; inspect original content before attribution</x:v>
      </x:c>
      <x:c r="I427" s="22" t="str">
        <x:v>Not checked</x:v>
      </x:c>
      <x:c r="J427" s="22" t="str">
        <x:v>Saved bookmark metadata only</x:v>
      </x:c>
      <x:c r="K427" s="22" t="str"/>
      <x:c r="L427" s="24" t="str"/>
      <x:c r="M427" s="24" t="str">
        <x:v>http://4wbwa6vcpvcr3vvf4qkhppgy56urmjcj2vagu2iqgp3z656xcmfdbiqd.onion.pet/</x:v>
      </x:c>
      <x:c r="N427" s="22" t="str">
        <x:v>286644367</x:v>
      </x:c>
      <x:c r="O427" s="22" t="n">
        <x:v>1020</x:v>
      </x:c>
      <x:c r="P427" s="22" t="n">
        <x:v>4</x:v>
      </x:c>
      <x:c r="Q427" s="22" t="str"/>
      <x:c r="R427" s="22" t="n">
        <x:f>COUNTIF($M$6:$M$1177,M427)</x:f>
        <x:v>1</x:v>
      </x:c>
      <x:c r="S427" s="22" t="str">
        <x:v>Supporting discovery</x:v>
      </x:c>
      <x:c r="T427" s="22" t="str">
        <x:v>Low</x:v>
      </x:c>
    </x:row>
    <x:row r="428" ht="54" customHeight="1">
      <x:c r="A428" s="22" t="n">
        <x:v>423</x:v>
      </x:c>
      <x:c r="B428" s="22" t="str">
        <x:v>Facebook Search</x:v>
      </x:c>
      <x:c r="C428" s="43" t="str">
        <x:v>C-P</x:v>
      </x:c>
      <x:c r="D428" s="22" t="str">
        <x:v>Provisional</x:v>
      </x:c>
      <x:c r="E428" s="22" t="str">
        <x:v>FACEBOOK</x:v>
      </x:c>
      <x:c r="F428" s="22" t="str">
        <x:v>Facebook content / account discovery</x:v>
      </x:c>
      <x:c r="G428" s="22" t="str">
        <x:v>Provisional ceiling from saved search/discovery context only. Verify the original page, account attribution and date; no result accuracy test.</x:v>
      </x:c>
      <x:c r="H428" s="22" t="str">
        <x:v>Lead only; inspect original content before attribution</x:v>
      </x:c>
      <x:c r="I428" s="22" t="str">
        <x:v>Not checked</x:v>
      </x:c>
      <x:c r="J428" s="22" t="str">
        <x:v>Saved bookmark metadata only</x:v>
      </x:c>
      <x:c r="K428" s="22" t="str"/>
      <x:c r="L428" s="24" t="str"/>
      <x:c r="M428" s="24" t="str">
        <x:v>https://www.sowsearch.info/</x:v>
      </x:c>
      <x:c r="N428" s="22" t="str">
        <x:v>286013411</x:v>
      </x:c>
      <x:c r="O428" s="22" t="n">
        <x:v>1020</x:v>
      </x:c>
      <x:c r="P428" s="22" t="n">
        <x:v>5</x:v>
      </x:c>
      <x:c r="Q428" s="22" t="str"/>
      <x:c r="R428" s="22" t="n">
        <x:f>COUNTIF($M$6:$M$1177,M428)</x:f>
        <x:v>1</x:v>
      </x:c>
      <x:c r="S428" s="22" t="str">
        <x:v>Supporting discovery</x:v>
      </x:c>
      <x:c r="T428" s="22" t="str">
        <x:v>Low</x:v>
      </x:c>
    </x:row>
    <x:row r="429" ht="54" customHeight="1">
      <x:c r="A429" s="22" t="n">
        <x:v>424</x:v>
      </x:c>
      <x:c r="B429" s="22" t="str">
        <x:v>Facebook Search</x:v>
      </x:c>
      <x:c r="C429" s="43" t="str">
        <x:v>C-P</x:v>
      </x:c>
      <x:c r="D429" s="22" t="str">
        <x:v>Provisional</x:v>
      </x:c>
      <x:c r="E429" s="22" t="str">
        <x:v>FACEBOOK</x:v>
      </x:c>
      <x:c r="F429" s="22" t="str">
        <x:v>Facebook content / account discovery</x:v>
      </x:c>
      <x:c r="G429" s="22" t="str">
        <x:v>Provisional ceiling from saved search/discovery context only. Verify the original page, account attribution and date; no result accuracy test.</x:v>
      </x:c>
      <x:c r="H429" s="22" t="str">
        <x:v>Lead only; inspect original content before attribution</x:v>
      </x:c>
      <x:c r="I429" s="22" t="str">
        <x:v>Not checked</x:v>
      </x:c>
      <x:c r="J429" s="22" t="str">
        <x:v>Saved bookmark metadata only</x:v>
      </x:c>
      <x:c r="K429" s="22" t="str"/>
      <x:c r="L429" s="24" t="str"/>
      <x:c r="M429" s="24" t="str">
        <x:v>https://www.social-searcher.com/facebook-search/</x:v>
      </x:c>
      <x:c r="N429" s="22" t="str">
        <x:v>268403521</x:v>
      </x:c>
      <x:c r="O429" s="22" t="n">
        <x:v>1020</x:v>
      </x:c>
      <x:c r="P429" s="22" t="n">
        <x:v>6</x:v>
      </x:c>
      <x:c r="Q429" s="22" t="str"/>
      <x:c r="R429" s="22" t="n">
        <x:f>COUNTIF($M$6:$M$1177,M429)</x:f>
        <x:v>1</x:v>
      </x:c>
      <x:c r="S429" s="22" t="str">
        <x:v>Supporting discovery</x:v>
      </x:c>
      <x:c r="T429" s="22" t="str">
        <x:v>Low</x:v>
      </x:c>
    </x:row>
    <x:row r="430" ht="54" customHeight="1">
      <x:c r="A430" s="22" t="n">
        <x:v>425</x:v>
      </x:c>
      <x:c r="B430" s="22" t="str">
        <x:v>Facebook Video Downloader</x:v>
      </x:c>
      <x:c r="C430" s="43" t="str">
        <x:v>C-P</x:v>
      </x:c>
      <x:c r="D430" s="22" t="str">
        <x:v>Provisional</x:v>
      </x:c>
      <x:c r="E430" s="22" t="str">
        <x:v>FACEBOOK</x:v>
      </x:c>
      <x:c r="F430" s="22" t="str">
        <x:v>Facebook content / account discovery</x:v>
      </x:c>
      <x:c r="G430" s="22" t="str">
        <x:v>Provisional ceiling from saved search/discovery context only. Verify the original page, account attribution and date; no result accuracy test.</x:v>
      </x:c>
      <x:c r="H430" s="22" t="str">
        <x:v>Lead only; inspect original content before attribution</x:v>
      </x:c>
      <x:c r="I430" s="22" t="str">
        <x:v>Not checked</x:v>
      </x:c>
      <x:c r="J430" s="22" t="str">
        <x:v>Saved bookmark metadata only</x:v>
      </x:c>
      <x:c r="K430" s="22" t="str"/>
      <x:c r="L430" s="24" t="str"/>
      <x:c r="M430" s="24" t="str">
        <x:v>https://fbdown.github.io/</x:v>
      </x:c>
      <x:c r="N430" s="22" t="str">
        <x:v>268640587</x:v>
      </x:c>
      <x:c r="O430" s="22" t="n">
        <x:v>1020</x:v>
      </x:c>
      <x:c r="P430" s="22" t="n">
        <x:v>7</x:v>
      </x:c>
      <x:c r="Q430" s="22" t="str"/>
      <x:c r="R430" s="22" t="n">
        <x:f>COUNTIF($M$6:$M$1177,M430)</x:f>
        <x:v>1</x:v>
      </x:c>
      <x:c r="S430" s="22" t="str">
        <x:v>Supporting discovery</x:v>
      </x:c>
      <x:c r="T430" s="22" t="str">
        <x:v>Low</x:v>
      </x:c>
    </x:row>
    <x:row r="431" ht="54" customHeight="1">
      <x:c r="A431" s="22" t="n">
        <x:v>426</x:v>
      </x:c>
      <x:c r="B431" s="22" t="str">
        <x:v>Facebook Search Tool</x:v>
      </x:c>
      <x:c r="C431" s="43" t="str">
        <x:v>C-P</x:v>
      </x:c>
      <x:c r="D431" s="22" t="str">
        <x:v>Provisional</x:v>
      </x:c>
      <x:c r="E431" s="22" t="str">
        <x:v>FACEBOOK</x:v>
      </x:c>
      <x:c r="F431" s="22" t="str">
        <x:v>Facebook content / account discovery</x:v>
      </x:c>
      <x:c r="G431" s="22" t="str">
        <x:v>Provisional ceiling from saved search/discovery context only. Verify the original page, account attribution and date; no result accuracy test.</x:v>
      </x:c>
      <x:c r="H431" s="22" t="str">
        <x:v>Lead only; inspect original content before attribution</x:v>
      </x:c>
      <x:c r="I431" s="22" t="str">
        <x:v>Not checked</x:v>
      </x:c>
      <x:c r="J431" s="22" t="str">
        <x:v>Saved bookmark metadata only</x:v>
      </x:c>
      <x:c r="K431" s="22" t="str"/>
      <x:c r="L431" s="24" t="str"/>
      <x:c r="M431" s="24" t="str">
        <x:v>https://www.aware-online.com/osint-tools/facebook-search-tool/</x:v>
      </x:c>
      <x:c r="N431" s="22" t="str">
        <x:v>268503601</x:v>
      </x:c>
      <x:c r="O431" s="22" t="n">
        <x:v>1020</x:v>
      </x:c>
      <x:c r="P431" s="22" t="n">
        <x:v>8</x:v>
      </x:c>
      <x:c r="Q431" s="22" t="str"/>
      <x:c r="R431" s="22" t="n">
        <x:f>COUNTIF($M$6:$M$1177,M431)</x:f>
        <x:v>1</x:v>
      </x:c>
      <x:c r="S431" s="22" t="str">
        <x:v>Supporting discovery</x:v>
      </x:c>
      <x:c r="T431" s="22" t="str">
        <x:v>Low</x:v>
      </x:c>
    </x:row>
    <x:row r="432" ht="54" customHeight="1">
      <x:c r="A432" s="22" t="n">
        <x:v>427</x:v>
      </x:c>
      <x:c r="B432" s="22" t="str">
        <x:v>Find My Facebook ID</x:v>
      </x:c>
      <x:c r="C432" s="43" t="str">
        <x:v>C-P</x:v>
      </x:c>
      <x:c r="D432" s="22" t="str">
        <x:v>Provisional</x:v>
      </x:c>
      <x:c r="E432" s="22" t="str">
        <x:v>FACEBOOK</x:v>
      </x:c>
      <x:c r="F432" s="22" t="str">
        <x:v>Facebook content / account discovery</x:v>
      </x:c>
      <x:c r="G432" s="22" t="str">
        <x:v>Provisional ceiling from saved search/discovery context only. Verify the original page, account attribution and date; no result accuracy test.</x:v>
      </x:c>
      <x:c r="H432" s="22" t="str">
        <x:v>Lead only; inspect original content before attribution</x:v>
      </x:c>
      <x:c r="I432" s="22" t="str">
        <x:v>Not checked</x:v>
      </x:c>
      <x:c r="J432" s="22" t="str">
        <x:v>Saved bookmark metadata only</x:v>
      </x:c>
      <x:c r="K432" s="22" t="str"/>
      <x:c r="L432" s="24" t="str"/>
      <x:c r="M432" s="24" t="str">
        <x:v>https://commentpicker.com/find-facebook-id.php</x:v>
      </x:c>
      <x:c r="N432" s="22" t="str">
        <x:v>268403548</x:v>
      </x:c>
      <x:c r="O432" s="22" t="n">
        <x:v>1020</x:v>
      </x:c>
      <x:c r="P432" s="22" t="n">
        <x:v>9</x:v>
      </x:c>
      <x:c r="Q432" s="22" t="str"/>
      <x:c r="R432" s="22" t="n">
        <x:f>COUNTIF($M$6:$M$1177,M432)</x:f>
        <x:v>1</x:v>
      </x:c>
      <x:c r="S432" s="22" t="str">
        <x:v>Supporting discovery</x:v>
      </x:c>
      <x:c r="T432" s="22" t="str">
        <x:v>Low</x:v>
      </x:c>
    </x:row>
    <x:row r="433" ht="54" customHeight="1">
      <x:c r="A433" s="22" t="n">
        <x:v>428</x:v>
      </x:c>
      <x:c r="B433" s="22" t="str">
        <x:v>Facebook Geo</x:v>
      </x:c>
      <x:c r="C433" s="43" t="str">
        <x:v>C-P</x:v>
      </x:c>
      <x:c r="D433" s="22" t="str">
        <x:v>Provisional</x:v>
      </x:c>
      <x:c r="E433" s="22" t="str">
        <x:v>FACEBOOK</x:v>
      </x:c>
      <x:c r="F433" s="22" t="str">
        <x:v>Facebook content / account discovery</x:v>
      </x:c>
      <x:c r="G433" s="22" t="str">
        <x:v>Provisional ceiling from saved search/discovery context only. Verify the original page, account attribution and date; no result accuracy test.</x:v>
      </x:c>
      <x:c r="H433" s="22" t="str">
        <x:v>Lead only; inspect original content before attribution</x:v>
      </x:c>
      <x:c r="I433" s="22" t="str">
        <x:v>Not checked</x:v>
      </x:c>
      <x:c r="J433" s="22" t="str">
        <x:v>Saved bookmark metadata only</x:v>
      </x:c>
      <x:c r="K433" s="22" t="str"/>
      <x:c r="L433" s="24" t="str"/>
      <x:c r="M433" s="24" t="str">
        <x:v>https://www.osintcombine.com/facebook-geo-pages</x:v>
      </x:c>
      <x:c r="N433" s="22" t="str">
        <x:v>268404244</x:v>
      </x:c>
      <x:c r="O433" s="22" t="n">
        <x:v>1020</x:v>
      </x:c>
      <x:c r="P433" s="22" t="n">
        <x:v>10</x:v>
      </x:c>
      <x:c r="Q433" s="22" t="str"/>
      <x:c r="R433" s="22" t="n">
        <x:f>COUNTIF($M$6:$M$1177,M433)</x:f>
        <x:v>1</x:v>
      </x:c>
      <x:c r="S433" s="22" t="str">
        <x:v>Supporting discovery</x:v>
      </x:c>
      <x:c r="T433" s="22" t="str">
        <x:v>Low</x:v>
      </x:c>
    </x:row>
    <x:row r="434" ht="54" customHeight="1">
      <x:c r="A434" s="22" t="n">
        <x:v>429</x:v>
      </x:c>
      <x:c r="B434" s="22" t="str">
        <x:v>Facebook Friends List Generator</x:v>
      </x:c>
      <x:c r="C434" s="43" t="str">
        <x:v>C-P</x:v>
      </x:c>
      <x:c r="D434" s="22" t="str">
        <x:v>Provisional</x:v>
      </x:c>
      <x:c r="E434" s="22" t="str">
        <x:v>FACEBOOK</x:v>
      </x:c>
      <x:c r="F434" s="22" t="str">
        <x:v>Facebook content / account discovery</x:v>
      </x:c>
      <x:c r="G434" s="22" t="str">
        <x:v>Provisional ceiling from saved search/discovery context only. Verify the original page, account attribution and date; no result accuracy test.</x:v>
      </x:c>
      <x:c r="H434" s="22" t="str">
        <x:v>Lead only; inspect original content before attribution</x:v>
      </x:c>
      <x:c r="I434" s="22" t="str">
        <x:v>Not checked</x:v>
      </x:c>
      <x:c r="J434" s="22" t="str">
        <x:v>Saved bookmark metadata only</x:v>
      </x:c>
      <x:c r="K434" s="22" t="str"/>
      <x:c r="L434" s="24" t="str"/>
      <x:c r="M434" s="24" t="str">
        <x:v>https://osint.support/chrome-extensions/2019/10/20/facebook-friends-list-generator.html</x:v>
      </x:c>
      <x:c r="N434" s="22" t="str">
        <x:v>289965558</x:v>
      </x:c>
      <x:c r="O434" s="22" t="n">
        <x:v>1020</x:v>
      </x:c>
      <x:c r="P434" s="22" t="n">
        <x:v>11</x:v>
      </x:c>
      <x:c r="Q434" s="22" t="str"/>
      <x:c r="R434" s="22" t="n">
        <x:f>COUNTIF($M$6:$M$1177,M434)</x:f>
        <x:v>1</x:v>
      </x:c>
      <x:c r="S434" s="22" t="str">
        <x:v>Supporting discovery</x:v>
      </x:c>
      <x:c r="T434" s="22" t="str">
        <x:v>Low</x:v>
      </x:c>
    </x:row>
    <x:row r="435" ht="54" customHeight="1">
      <x:c r="A435" s="22" t="n">
        <x:v>430</x:v>
      </x:c>
      <x:c r="B435" s="22" t="str">
        <x:v>Facebook Entity Id Parser</x:v>
      </x:c>
      <x:c r="C435" s="43" t="str">
        <x:v>C-P</x:v>
      </x:c>
      <x:c r="D435" s="22" t="str">
        <x:v>Provisional</x:v>
      </x:c>
      <x:c r="E435" s="22" t="str">
        <x:v>FACEBOOK</x:v>
      </x:c>
      <x:c r="F435" s="22" t="str">
        <x:v>Facebook content / account discovery</x:v>
      </x:c>
      <x:c r="G435" s="22" t="str">
        <x:v>Provisional ceiling from saved search/discovery context only. Verify the original page, account attribution and date; no result accuracy test.</x:v>
      </x:c>
      <x:c r="H435" s="22" t="str">
        <x:v>Lead only; inspect original content before attribution</x:v>
      </x:c>
      <x:c r="I435" s="22" t="str">
        <x:v>Not checked</x:v>
      </x:c>
      <x:c r="J435" s="22" t="str">
        <x:v>Saved bookmark metadata only</x:v>
      </x:c>
      <x:c r="K435" s="22" t="str"/>
      <x:c r="L435" s="24" t="str"/>
      <x:c r="M435" s="24" t="str">
        <x:v>https://osint.support/chrome-extensions/2019/09/08/facebook-entity-id-parser.html</x:v>
      </x:c>
      <x:c r="N435" s="22" t="str">
        <x:v>289965559</x:v>
      </x:c>
      <x:c r="O435" s="22" t="n">
        <x:v>1020</x:v>
      </x:c>
      <x:c r="P435" s="22" t="n">
        <x:v>12</x:v>
      </x:c>
      <x:c r="Q435" s="22" t="str"/>
      <x:c r="R435" s="22" t="n">
        <x:f>COUNTIF($M$6:$M$1177,M435)</x:f>
        <x:v>1</x:v>
      </x:c>
      <x:c r="S435" s="22" t="str">
        <x:v>Supporting discovery</x:v>
      </x:c>
      <x:c r="T435" s="22" t="str">
        <x:v>Low</x:v>
      </x:c>
    </x:row>
    <x:row r="436" ht="54" customHeight="1">
      <x:c r="A436" s="22" t="n">
        <x:v>431</x:v>
      </x:c>
      <x:c r="B436" s="22" t="str">
        <x:v>Facebook Profile Id Grabber</x:v>
      </x:c>
      <x:c r="C436" s="43" t="str">
        <x:v>C-P</x:v>
      </x:c>
      <x:c r="D436" s="22" t="str">
        <x:v>Provisional</x:v>
      </x:c>
      <x:c r="E436" s="22" t="str">
        <x:v>FACEBOOK</x:v>
      </x:c>
      <x:c r="F436" s="22" t="str">
        <x:v>Facebook content / account discovery</x:v>
      </x:c>
      <x:c r="G436" s="22" t="str">
        <x:v>Provisional ceiling from saved search/discovery context only. Verify the original page, account attribution and date; no result accuracy test.</x:v>
      </x:c>
      <x:c r="H436" s="22" t="str">
        <x:v>Lead only; inspect original content before attribution</x:v>
      </x:c>
      <x:c r="I436" s="22" t="str">
        <x:v>Not checked</x:v>
      </x:c>
      <x:c r="J436" s="22" t="str">
        <x:v>Saved bookmark metadata only</x:v>
      </x:c>
      <x:c r="K436" s="22" t="str"/>
      <x:c r="L436" s="24" t="str"/>
      <x:c r="M436" s="24" t="str">
        <x:v>https://osint.support/chrome-extensions/2019/09/01/facebook-profile-id-grabber.html</x:v>
      </x:c>
      <x:c r="N436" s="22" t="str">
        <x:v>289965560</x:v>
      </x:c>
      <x:c r="O436" s="22" t="n">
        <x:v>1020</x:v>
      </x:c>
      <x:c r="P436" s="22" t="n">
        <x:v>13</x:v>
      </x:c>
      <x:c r="Q436" s="22" t="str"/>
      <x:c r="R436" s="22" t="n">
        <x:f>COUNTIF($M$6:$M$1177,M436)</x:f>
        <x:v>1</x:v>
      </x:c>
      <x:c r="S436" s="22" t="str">
        <x:v>Supporting discovery</x:v>
      </x:c>
      <x:c r="T436" s="22" t="str">
        <x:v>Low</x:v>
      </x:c>
    </x:row>
    <x:row r="437" ht="54" customHeight="1">
      <x:c r="A437" s="22" t="n">
        <x:v>432</x:v>
      </x:c>
      <x:c r="B437" s="22" t="str">
        <x:v>Facebook Email Reverse Lookup</x:v>
      </x:c>
      <x:c r="C437" s="43" t="str">
        <x:v>C-P</x:v>
      </x:c>
      <x:c r="D437" s="22" t="str">
        <x:v>Provisional</x:v>
      </x:c>
      <x:c r="E437" s="22" t="str">
        <x:v>FACEBOOK</x:v>
      </x:c>
      <x:c r="F437" s="22" t="str">
        <x:v>Facebook content / account discovery</x:v>
      </x:c>
      <x:c r="G437" s="22" t="str">
        <x:v>Provisional ceiling from saved search/discovery context only. Verify the original page, account attribution and date; no result accuracy test.</x:v>
      </x:c>
      <x:c r="H437" s="22" t="str">
        <x:v>Lead only; inspect original content before attribution</x:v>
      </x:c>
      <x:c r="I437" s="22" t="str">
        <x:v>Not checked</x:v>
      </x:c>
      <x:c r="J437" s="22" t="str">
        <x:v>Saved bookmark metadata only</x:v>
      </x:c>
      <x:c r="K437" s="22" t="str"/>
      <x:c r="L437" s="24" t="str"/>
      <x:c r="M437" s="24" t="str">
        <x:v>https://osint.support/chrome-extensions/2019/09/01/facebook-email-reverse-lookup.html</x:v>
      </x:c>
      <x:c r="N437" s="22" t="str">
        <x:v>289965594</x:v>
      </x:c>
      <x:c r="O437" s="22" t="n">
        <x:v>1020</x:v>
      </x:c>
      <x:c r="P437" s="22" t="n">
        <x:v>14</x:v>
      </x:c>
      <x:c r="Q437" s="22" t="str"/>
      <x:c r="R437" s="22" t="n">
        <x:f>COUNTIF($M$6:$M$1177,M437)</x:f>
        <x:v>1</x:v>
      </x:c>
      <x:c r="S437" s="22" t="str">
        <x:v>Supporting discovery</x:v>
      </x:c>
      <x:c r="T437" s="22" t="str">
        <x:v>Low</x:v>
      </x:c>
    </x:row>
    <x:row r="438" ht="54" customHeight="1">
      <x:c r="A438" s="22" t="n">
        <x:v>433</x:v>
      </x:c>
      <x:c r="B438" s="22" t="str">
        <x:v>Facebook Profile Directory</x:v>
      </x:c>
      <x:c r="C438" s="43" t="str">
        <x:v>C-P</x:v>
      </x:c>
      <x:c r="D438" s="22" t="str">
        <x:v>Provisional</x:v>
      </x:c>
      <x:c r="E438" s="22" t="str">
        <x:v>FACEBOOK</x:v>
      </x:c>
      <x:c r="F438" s="22" t="str">
        <x:v>Facebook content / account discovery</x:v>
      </x:c>
      <x:c r="G438" s="22" t="str">
        <x:v>Provisional ceiling from saved search/discovery context only. Verify the original page, account attribution and date; no result accuracy test.</x:v>
      </x:c>
      <x:c r="H438" s="22" t="str">
        <x:v>Lead only; inspect original content before attribution</x:v>
      </x:c>
      <x:c r="I438" s="22" t="str">
        <x:v>Not checked</x:v>
      </x:c>
      <x:c r="J438" s="22" t="str">
        <x:v>Saved bookmark metadata only</x:v>
      </x:c>
      <x:c r="K438" s="22" t="str"/>
      <x:c r="L438" s="24" t="str"/>
      <x:c r="M438" s="24" t="str">
        <x:v>https://www.facebook.com/directory/</x:v>
      </x:c>
      <x:c r="N438" s="22" t="str">
        <x:v>286823095</x:v>
      </x:c>
      <x:c r="O438" s="22" t="n">
        <x:v>1020</x:v>
      </x:c>
      <x:c r="P438" s="22" t="n">
        <x:v>15</x:v>
      </x:c>
      <x:c r="Q438" s="22" t="str"/>
      <x:c r="R438" s="22" t="n">
        <x:f>COUNTIF($M$6:$M$1177,M438)</x:f>
        <x:v>1</x:v>
      </x:c>
      <x:c r="S438" s="22" t="str">
        <x:v>Supporting discovery</x:v>
      </x:c>
      <x:c r="T438" s="22" t="str">
        <x:v>Low</x:v>
      </x:c>
    </x:row>
    <x:row r="439" ht="54" customHeight="1">
      <x:c r="A439" s="22" t="n">
        <x:v>434</x:v>
      </x:c>
      <x:c r="B439" s="22" t="str">
        <x:v>Have I Been Zucked?</x:v>
      </x:c>
      <x:c r="C439" s="43" t="str">
        <x:v>C-P</x:v>
      </x:c>
      <x:c r="D439" s="22" t="str">
        <x:v>Provisional</x:v>
      </x:c>
      <x:c r="E439" s="22" t="str">
        <x:v>FACEBOOK</x:v>
      </x:c>
      <x:c r="F439" s="22" t="str">
        <x:v>Facebook content / account discovery</x:v>
      </x:c>
      <x:c r="G439" s="22" t="str">
        <x:v>Provisional ceiling from saved search/discovery context only. Verify the original page, account attribution and date; no result accuracy test.</x:v>
      </x:c>
      <x:c r="H439" s="22" t="str">
        <x:v>Lead only; inspect original content before attribution</x:v>
      </x:c>
      <x:c r="I439" s="22" t="str">
        <x:v>Not checked</x:v>
      </x:c>
      <x:c r="J439" s="22" t="str">
        <x:v>Saved bookmark metadata only</x:v>
      </x:c>
      <x:c r="K439" s="22" t="str"/>
      <x:c r="L439" s="24" t="str"/>
      <x:c r="M439" s="24" t="str">
        <x:v>https://haveibeenzucked.com/</x:v>
      </x:c>
      <x:c r="N439" s="22" t="str">
        <x:v>286012749</x:v>
      </x:c>
      <x:c r="O439" s="22" t="n">
        <x:v>1020</x:v>
      </x:c>
      <x:c r="P439" s="22" t="n">
        <x:v>16</x:v>
      </x:c>
      <x:c r="Q439" s="22" t="str"/>
      <x:c r="R439" s="22" t="n">
        <x:f>COUNTIF($M$6:$M$1177,M439)</x:f>
        <x:v>1</x:v>
      </x:c>
      <x:c r="S439" s="22" t="str">
        <x:v>Supporting discovery</x:v>
      </x:c>
      <x:c r="T439" s="22" t="str">
        <x:v>Low</x:v>
      </x:c>
    </x:row>
    <x:row r="440" ht="54" customHeight="1">
      <x:c r="A440" s="22" t="n">
        <x:v>435</x:v>
      </x:c>
      <x:c r="B440" s="22" t="str">
        <x:v>IntelTechniques Twitter</x:v>
      </x:c>
      <x:c r="C440" s="43" t="str">
        <x:v>C-P</x:v>
      </x:c>
      <x:c r="D440" s="22" t="str">
        <x:v>Provisional</x:v>
      </x:c>
      <x:c r="E440" s="22" t="str">
        <x:v>TWITTER</x:v>
      </x:c>
      <x:c r="F440" s="22" t="str">
        <x:v>Twitter/X content / account discovery</x:v>
      </x:c>
      <x:c r="G440" s="22" t="str">
        <x:v>Provisional ceiling from saved search/discovery context only. Verify the original page, account attribution and date; no result accuracy test.</x:v>
      </x:c>
      <x:c r="H440" s="22" t="str">
        <x:v>Lead only; inspect original content before attribution</x:v>
      </x:c>
      <x:c r="I440" s="22" t="str">
        <x:v>Not checked</x:v>
      </x:c>
      <x:c r="J440" s="22" t="str">
        <x:v>Saved bookmark metadata only</x:v>
      </x:c>
      <x:c r="K440" s="22" t="str"/>
      <x:c r="L440" s="24" t="str"/>
      <x:c r="M440" s="24" t="str">
        <x:v>https://inteltechniques.com/tools/Twitter.html</x:v>
      </x:c>
      <x:c r="N440" s="22" t="str">
        <x:v>314744495</x:v>
      </x:c>
      <x:c r="O440" s="22" t="n">
        <x:v>1020</x:v>
      </x:c>
      <x:c r="P440" s="22" t="n">
        <x:v>1</x:v>
      </x:c>
      <x:c r="Q440" s="22" t="str"/>
      <x:c r="R440" s="22" t="n">
        <x:f>COUNTIF($M$6:$M$1177,M440)</x:f>
        <x:v>1</x:v>
      </x:c>
      <x:c r="S440" s="22" t="str">
        <x:v>Supporting discovery</x:v>
      </x:c>
      <x:c r="T440" s="22" t="str">
        <x:v>Low</x:v>
      </x:c>
    </x:row>
    <x:row r="441" ht="48" customHeight="1">
      <x:c r="A441" s="22" t="n">
        <x:v>436</x:v>
      </x:c>
      <x:c r="B441" s="22" t="str">
        <x:v>Nitter.hu</x:v>
      </x:c>
      <x:c r="C441" s="39" t="str">
        <x:v>C</x:v>
      </x:c>
      <x:c r="D441" s="22" t="str">
        <x:v>Documented</x:v>
      </x:c>
      <x:c r="E441" s="22" t="str">
        <x:v>TWITTER</x:v>
      </x:c>
      <x:c r="F441" s="22" t="str">
        <x:v>Third-party Twitter frontend / instance discovery</x:v>
      </x:c>
      <x:c r="G441" s="22" t="str">
        <x:v>Upstream shows archived status and a continuation notice. This does not establish that the saved instances work; verify each endpoint.</x:v>
      </x:c>
      <x:c r="H441" s="22" t="str">
        <x:v>Check specific instance; preserve original post URL</x:v>
      </x:c>
      <x:c r="I441" s="22" t="str">
        <x:v>Upstream reviewed; saved instance URLs not tested</x:v>
      </x:c>
      <x:c r="J441" s="22" t="str">
        <x:v>Upstream project notice; not instance testing</x:v>
      </x:c>
      <x:c r="K441" s="22" t="str">
        <x:v>S068</x:v>
      </x:c>
      <x:c r="L441" s="24" t="str">
        <x:v>https://github.com/zedeus/nitter</x:v>
      </x:c>
      <x:c r="M441" s="24" t="str">
        <x:v>https://nitter.hu/</x:v>
      </x:c>
      <x:c r="N441" s="22" t="str">
        <x:v>318589895</x:v>
      </x:c>
      <x:c r="O441" s="22" t="n">
        <x:v>1020</x:v>
      </x:c>
      <x:c r="P441" s="22" t="n">
        <x:v>2</x:v>
      </x:c>
      <x:c r="Q441" s="22" t="str">
        <x:v>2026-09-15</x:v>
      </x:c>
      <x:c r="R441" s="22" t="n">
        <x:f>COUNTIF($M$6:$M$1177,M441)</x:f>
        <x:v>1</x:v>
      </x:c>
      <x:c r="S441" s="22" t="str">
        <x:v>Supporting discovery</x:v>
      </x:c>
      <x:c r="T441" s="22" t="str">
        <x:v>Scoped desk assessment</x:v>
      </x:c>
    </x:row>
    <x:row r="442" ht="48" customHeight="1">
      <x:c r="A442" s="22" t="n">
        <x:v>437</x:v>
      </x:c>
      <x:c r="B442" s="22" t="str">
        <x:v>Nitter.it</x:v>
      </x:c>
      <x:c r="C442" s="39" t="str">
        <x:v>C</x:v>
      </x:c>
      <x:c r="D442" s="22" t="str">
        <x:v>Documented</x:v>
      </x:c>
      <x:c r="E442" s="22" t="str">
        <x:v>TWITTER</x:v>
      </x:c>
      <x:c r="F442" s="22" t="str">
        <x:v>Third-party Twitter frontend / instance discovery</x:v>
      </x:c>
      <x:c r="G442" s="22" t="str">
        <x:v>Upstream shows archived status and a continuation notice. This does not establish that the saved instances work; verify each endpoint.</x:v>
      </x:c>
      <x:c r="H442" s="22" t="str">
        <x:v>Check specific instance; preserve original post URL</x:v>
      </x:c>
      <x:c r="I442" s="22" t="str">
        <x:v>Upstream reviewed; saved instance URLs not tested</x:v>
      </x:c>
      <x:c r="J442" s="22" t="str">
        <x:v>Upstream project notice; not instance testing</x:v>
      </x:c>
      <x:c r="K442" s="22" t="str">
        <x:v>S068</x:v>
      </x:c>
      <x:c r="L442" s="24" t="str">
        <x:v>https://github.com/zedeus/nitter</x:v>
      </x:c>
      <x:c r="M442" s="24" t="str">
        <x:v>https://nitter.it/</x:v>
      </x:c>
      <x:c r="N442" s="22" t="str">
        <x:v>314744356</x:v>
      </x:c>
      <x:c r="O442" s="22" t="n">
        <x:v>1020</x:v>
      </x:c>
      <x:c r="P442" s="22" t="n">
        <x:v>3</x:v>
      </x:c>
      <x:c r="Q442" s="22" t="str">
        <x:v>2026-09-15</x:v>
      </x:c>
      <x:c r="R442" s="22" t="n">
        <x:f>COUNTIF($M$6:$M$1177,M442)</x:f>
        <x:v>1</x:v>
      </x:c>
      <x:c r="S442" s="22" t="str">
        <x:v>Supporting discovery</x:v>
      </x:c>
      <x:c r="T442" s="22" t="str">
        <x:v>Scoped desk assessment</x:v>
      </x:c>
    </x:row>
    <x:row r="443" ht="54" customHeight="1">
      <x:c r="A443" s="22" t="n">
        <x:v>438</x:v>
      </x:c>
      <x:c r="B443" s="22" t="str">
        <x:v>BirdHunt</x:v>
      </x:c>
      <x:c r="C443" s="43" t="str">
        <x:v>C-P</x:v>
      </x:c>
      <x:c r="D443" s="22" t="str">
        <x:v>Provisional</x:v>
      </x:c>
      <x:c r="E443" s="22" t="str">
        <x:v>TWITTER</x:v>
      </x:c>
      <x:c r="F443" s="22" t="str">
        <x:v>Twitter/X content / account discovery</x:v>
      </x:c>
      <x:c r="G443" s="22" t="str">
        <x:v>Provisional ceiling from saved search/discovery context only. Verify the original page, account attribution and date; no result accuracy test.</x:v>
      </x:c>
      <x:c r="H443" s="22" t="str">
        <x:v>Lead only; inspect original content before attribution</x:v>
      </x:c>
      <x:c r="I443" s="22" t="str">
        <x:v>Not checked</x:v>
      </x:c>
      <x:c r="J443" s="22" t="str">
        <x:v>Saved bookmark metadata only</x:v>
      </x:c>
      <x:c r="K443" s="22" t="str"/>
      <x:c r="L443" s="24" t="str"/>
      <x:c r="M443" s="24" t="str">
        <x:v>https://birdhunt.co/</x:v>
      </x:c>
      <x:c r="N443" s="22" t="str">
        <x:v>302834212</x:v>
      </x:c>
      <x:c r="O443" s="22" t="n">
        <x:v>1020</x:v>
      </x:c>
      <x:c r="P443" s="22" t="n">
        <x:v>4</x:v>
      </x:c>
      <x:c r="Q443" s="22" t="str"/>
      <x:c r="R443" s="22" t="n">
        <x:f>COUNTIF($M$6:$M$1177,M443)</x:f>
        <x:v>1</x:v>
      </x:c>
      <x:c r="S443" s="22" t="str">
        <x:v>Supporting discovery</x:v>
      </x:c>
      <x:c r="T443" s="22" t="str">
        <x:v>Low</x:v>
      </x:c>
    </x:row>
    <x:row r="444" ht="48" customHeight="1">
      <x:c r="A444" s="22" t="n">
        <x:v>439</x:v>
      </x:c>
      <x:c r="B444" s="22" t="str">
        <x:v>Nitter Instances</x:v>
      </x:c>
      <x:c r="C444" s="39" t="str">
        <x:v>C</x:v>
      </x:c>
      <x:c r="D444" s="22" t="str">
        <x:v>Documented</x:v>
      </x:c>
      <x:c r="E444" s="22" t="str">
        <x:v>TWITTER</x:v>
      </x:c>
      <x:c r="F444" s="22" t="str">
        <x:v>Third-party Twitter frontend / instance discovery</x:v>
      </x:c>
      <x:c r="G444" s="22" t="str">
        <x:v>Upstream shows archived status and a continuation notice. This does not establish that the saved instances work; verify each endpoint.</x:v>
      </x:c>
      <x:c r="H444" s="22" t="str">
        <x:v>Check specific instance; preserve original post URL</x:v>
      </x:c>
      <x:c r="I444" s="22" t="str">
        <x:v>Upstream reviewed; saved instance URLs not tested</x:v>
      </x:c>
      <x:c r="J444" s="22" t="str">
        <x:v>Upstream project notice; not instance testing</x:v>
      </x:c>
      <x:c r="K444" s="22" t="str">
        <x:v>S068</x:v>
      </x:c>
      <x:c r="L444" s="24" t="str">
        <x:v>https://github.com/zedeus/nitter</x:v>
      </x:c>
      <x:c r="M444" s="24" t="str">
        <x:v>https://xnaas.github.io/nitter-instances/</x:v>
      </x:c>
      <x:c r="N444" s="22" t="str">
        <x:v>304995039</x:v>
      </x:c>
      <x:c r="O444" s="22" t="n">
        <x:v>1020</x:v>
      </x:c>
      <x:c r="P444" s="22" t="n">
        <x:v>5</x:v>
      </x:c>
      <x:c r="Q444" s="22" t="str">
        <x:v>2026-09-15</x:v>
      </x:c>
      <x:c r="R444" s="22" t="n">
        <x:f>COUNTIF($M$6:$M$1177,M444)</x:f>
        <x:v>1</x:v>
      </x:c>
      <x:c r="S444" s="22" t="str">
        <x:v>Supporting discovery</x:v>
      </x:c>
      <x:c r="T444" s="22" t="str">
        <x:v>Scoped desk assessment</x:v>
      </x:c>
    </x:row>
    <x:row r="445" ht="48" customHeight="1">
      <x:c r="A445" s="22" t="n">
        <x:v>440</x:v>
      </x:c>
      <x:c r="B445" s="22" t="str">
        <x:v>twint</x:v>
      </x:c>
      <x:c r="C445" s="39" t="str">
        <x:v>C</x:v>
      </x:c>
      <x:c r="D445" s="22" t="str">
        <x:v>Documented</x:v>
      </x:c>
      <x:c r="E445" s="22" t="str">
        <x:v>TWITTER</x:v>
      </x:c>
      <x:c r="F445" s="22" t="str">
        <x:v>Legacy Twitter scraping</x:v>
      </x:c>
      <x:c r="G445" s="22" t="str">
        <x:v>Upstream repository was archived March 30, 2023. Its old capability claims are not a current functionality test.</x:v>
      </x:c>
      <x:c r="H445" s="22" t="str">
        <x:v>Replace or validate on controlled examples before use</x:v>
      </x:c>
      <x:c r="I445" s="22" t="str">
        <x:v>Archived upstream; linked PyPI tool not run</x:v>
      </x:c>
      <x:c r="J445" s="22" t="str">
        <x:v>Maintainer repository status</x:v>
      </x:c>
      <x:c r="K445" s="22" t="str">
        <x:v>S067</x:v>
      </x:c>
      <x:c r="L445" s="24" t="str">
        <x:v>https://github.com/twintproject/twint</x:v>
      </x:c>
      <x:c r="M445" s="24" t="str">
        <x:v>https://pypi.org/project/twint/</x:v>
      </x:c>
      <x:c r="N445" s="22" t="str">
        <x:v>268399074</x:v>
      </x:c>
      <x:c r="O445" s="22" t="n">
        <x:v>1020</x:v>
      </x:c>
      <x:c r="P445" s="22" t="n">
        <x:v>6</x:v>
      </x:c>
      <x:c r="Q445" s="22" t="str">
        <x:v>2026-09-15</x:v>
      </x:c>
      <x:c r="R445" s="22" t="n">
        <x:f>COUNTIF($M$6:$M$1177,M445)</x:f>
        <x:v>1</x:v>
      </x:c>
      <x:c r="S445" s="22" t="str">
        <x:v>Supporting discovery</x:v>
      </x:c>
      <x:c r="T445" s="22" t="str">
        <x:v>Scoped desk assessment</x:v>
      </x:c>
    </x:row>
    <x:row r="446" ht="48" customHeight="1">
      <x:c r="A446" s="22" t="n">
        <x:v>441</x:v>
      </x:c>
      <x:c r="B446" s="22" t="str">
        <x:v>Twitter Search Engine</x:v>
      </x:c>
      <x:c r="C446" s="43" t="str">
        <x:v>C-P</x:v>
      </x:c>
      <x:c r="D446" s="22" t="str">
        <x:v>Provisional</x:v>
      </x:c>
      <x:c r="E446" s="22" t="str">
        <x:v>TWITTER</x:v>
      </x:c>
      <x:c r="F446" s="22" t="str">
        <x:v>Custom-search discovery only</x:v>
      </x:c>
      <x:c r="G446" s="22" t="str">
        <x:v>The saved URL identifies a custom search. This engine's configuration, coverage and query results were not tested.</x:v>
      </x:c>
      <x:c r="H446" s="22" t="str">
        <x:v>Open and verify the original result; do not count the search as corroboration</x:v>
      </x:c>
      <x:c r="I446" s="22" t="str">
        <x:v>Not checked</x:v>
      </x:c>
      <x:c r="J446" s="22" t="str">
        <x:v>Saved bookmark metadata only</x:v>
      </x:c>
      <x:c r="K446" s="22" t="str"/>
      <x:c r="L446" s="24" t="str"/>
      <x:c r="M446" s="24" t="str">
        <x:v>https://cse.google.com/cse?cx=5857bab69c8b8e37e</x:v>
      </x:c>
      <x:c r="N446" s="22" t="str">
        <x:v>286819437</x:v>
      </x:c>
      <x:c r="O446" s="22" t="n">
        <x:v>1020</x:v>
      </x:c>
      <x:c r="P446" s="22" t="n">
        <x:v>7</x:v>
      </x:c>
      <x:c r="Q446" s="22" t="str"/>
      <x:c r="R446" s="22" t="n">
        <x:f>COUNTIF($M$6:$M$1177,M446)</x:f>
        <x:v>1</x:v>
      </x:c>
      <x:c r="S446" s="22" t="str">
        <x:v>Supporting discovery</x:v>
      </x:c>
      <x:c r="T446" s="22" t="str">
        <x:v>Low</x:v>
      </x:c>
    </x:row>
    <x:row r="447" ht="48" customHeight="1">
      <x:c r="A447" s="22" t="n">
        <x:v>442</x:v>
      </x:c>
      <x:c r="B447" s="22" t="str">
        <x:v>Tweet Finder</x:v>
      </x:c>
      <x:c r="C447" s="43" t="str">
        <x:v>C-P</x:v>
      </x:c>
      <x:c r="D447" s="22" t="str">
        <x:v>Provisional</x:v>
      </x:c>
      <x:c r="E447" s="22" t="str">
        <x:v>TWITTER</x:v>
      </x:c>
      <x:c r="F447" s="22" t="str">
        <x:v>Custom-search discovery only</x:v>
      </x:c>
      <x:c r="G447" s="22" t="str">
        <x:v>The saved URL identifies a custom search. This engine's configuration, coverage and query results were not tested.</x:v>
      </x:c>
      <x:c r="H447" s="22" t="str">
        <x:v>Open and verify the original result; do not count the search as corroboration</x:v>
      </x:c>
      <x:c r="I447" s="22" t="str">
        <x:v>Not checked</x:v>
      </x:c>
      <x:c r="J447" s="22" t="str">
        <x:v>Saved bookmark metadata only</x:v>
      </x:c>
      <x:c r="K447" s="22" t="str"/>
      <x:c r="L447" s="24" t="str"/>
      <x:c r="M447" s="24" t="str">
        <x:v>https://cse.google.com/cse/publicurl?cx=016621447308871563343:u4r_fupvs-e</x:v>
      </x:c>
      <x:c r="N447" s="22" t="str">
        <x:v>290065841</x:v>
      </x:c>
      <x:c r="O447" s="22" t="n">
        <x:v>1020</x:v>
      </x:c>
      <x:c r="P447" s="22" t="n">
        <x:v>8</x:v>
      </x:c>
      <x:c r="Q447" s="22" t="str"/>
      <x:c r="R447" s="22" t="n">
        <x:f>COUNTIF($M$6:$M$1177,M447)</x:f>
        <x:v>1</x:v>
      </x:c>
      <x:c r="S447" s="22" t="str">
        <x:v>Supporting discovery</x:v>
      </x:c>
      <x:c r="T447" s="22" t="str">
        <x:v>Low</x:v>
      </x:c>
    </x:row>
    <x:row r="448" ht="48" customHeight="1">
      <x:c r="A448" s="22" t="n">
        <x:v>443</x:v>
      </x:c>
      <x:c r="B448" s="22" t="str">
        <x:v>Twitter Photo Search</x:v>
      </x:c>
      <x:c r="C448" s="43" t="str">
        <x:v>C-P</x:v>
      </x:c>
      <x:c r="D448" s="22" t="str">
        <x:v>Provisional</x:v>
      </x:c>
      <x:c r="E448" s="22" t="str">
        <x:v>TWITTER</x:v>
      </x:c>
      <x:c r="F448" s="22" t="str">
        <x:v>Custom-search discovery only</x:v>
      </x:c>
      <x:c r="G448" s="22" t="str">
        <x:v>The saved URL identifies a custom search. This engine's configuration, coverage and query results were not tested.</x:v>
      </x:c>
      <x:c r="H448" s="22" t="str">
        <x:v>Open and verify the original result; do not count the search as corroboration</x:v>
      </x:c>
      <x:c r="I448" s="22" t="str">
        <x:v>Not checked</x:v>
      </x:c>
      <x:c r="J448" s="22" t="str">
        <x:v>Saved bookmark metadata only</x:v>
      </x:c>
      <x:c r="K448" s="22" t="str"/>
      <x:c r="L448" s="24" t="str"/>
      <x:c r="M448" s="24" t="str">
        <x:v>https://cse.google.com/cse/publicurl?cx=006290531980334157382:_ltcjq0robu</x:v>
      </x:c>
      <x:c r="N448" s="22" t="str">
        <x:v>290065845</x:v>
      </x:c>
      <x:c r="O448" s="22" t="n">
        <x:v>1020</x:v>
      </x:c>
      <x:c r="P448" s="22" t="n">
        <x:v>9</x:v>
      </x:c>
      <x:c r="Q448" s="22" t="str"/>
      <x:c r="R448" s="22" t="n">
        <x:f>COUNTIF($M$6:$M$1177,M448)</x:f>
        <x:v>1</x:v>
      </x:c>
      <x:c r="S448" s="22" t="str">
        <x:v>Supporting discovery</x:v>
      </x:c>
      <x:c r="T448" s="22" t="str">
        <x:v>Low</x:v>
      </x:c>
    </x:row>
    <x:row r="449" ht="48" customHeight="1">
      <x:c r="A449" s="22" t="n">
        <x:v>444</x:v>
      </x:c>
      <x:c r="B449" s="22" t="str">
        <x:v>Tweet Archive Search</x:v>
      </x:c>
      <x:c r="C449" s="43" t="str">
        <x:v>C-P</x:v>
      </x:c>
      <x:c r="D449" s="22" t="str">
        <x:v>Provisional</x:v>
      </x:c>
      <x:c r="E449" s="22" t="str">
        <x:v>TWITTER</x:v>
      </x:c>
      <x:c r="F449" s="22" t="str">
        <x:v>Custom-search discovery only</x:v>
      </x:c>
      <x:c r="G449" s="22" t="str">
        <x:v>The saved URL identifies a custom search. This engine's configuration, coverage and query results were not tested.</x:v>
      </x:c>
      <x:c r="H449" s="22" t="str">
        <x:v>Open and verify the original result; do not count the search as corroboration</x:v>
      </x:c>
      <x:c r="I449" s="22" t="str">
        <x:v>Not checked</x:v>
      </x:c>
      <x:c r="J449" s="22" t="str">
        <x:v>Saved bookmark metadata only</x:v>
      </x:c>
      <x:c r="K449" s="22" t="str"/>
      <x:c r="L449" s="24" t="str"/>
      <x:c r="M449" s="24" t="str">
        <x:v>https://cse.google.com/cse/publicurl?cx=005797772976587943970:kffjgylvzwu</x:v>
      </x:c>
      <x:c r="N449" s="22" t="str">
        <x:v>290065557</x:v>
      </x:c>
      <x:c r="O449" s="22" t="n">
        <x:v>1020</x:v>
      </x:c>
      <x:c r="P449" s="22" t="n">
        <x:v>10</x:v>
      </x:c>
      <x:c r="Q449" s="22" t="str"/>
      <x:c r="R449" s="22" t="n">
        <x:f>COUNTIF($M$6:$M$1177,M449)</x:f>
        <x:v>1</x:v>
      </x:c>
      <x:c r="S449" s="22" t="str">
        <x:v>Supporting discovery</x:v>
      </x:c>
      <x:c r="T449" s="22" t="str">
        <x:v>Low</x:v>
      </x:c>
    </x:row>
    <x:row r="450" ht="54" customHeight="1">
      <x:c r="A450" s="22" t="n">
        <x:v>445</x:v>
      </x:c>
      <x:c r="B450" s="22" t="str">
        <x:v>Twitter Advanced Search</x:v>
      </x:c>
      <x:c r="C450" s="43" t="str">
        <x:v>C-P</x:v>
      </x:c>
      <x:c r="D450" s="22" t="str">
        <x:v>Provisional</x:v>
      </x:c>
      <x:c r="E450" s="22" t="str">
        <x:v>TWITTER</x:v>
      </x:c>
      <x:c r="F450" s="22" t="str">
        <x:v>Twitter/X content / account discovery</x:v>
      </x:c>
      <x:c r="G450" s="22" t="str">
        <x:v>Provisional ceiling from saved search/discovery context only. Verify the original page, account attribution and date; no result accuracy test.</x:v>
      </x:c>
      <x:c r="H450" s="22" t="str">
        <x:v>Lead only; inspect original content before attribution</x:v>
      </x:c>
      <x:c r="I450" s="22" t="str">
        <x:v>Not checked</x:v>
      </x:c>
      <x:c r="J450" s="22" t="str">
        <x:v>Saved bookmark metadata only</x:v>
      </x:c>
      <x:c r="K450" s="22" t="str"/>
      <x:c r="L450" s="24" t="str"/>
      <x:c r="M450" s="24" t="str">
        <x:v>https://twitter.com/search-advanced</x:v>
      </x:c>
      <x:c r="N450" s="22" t="str">
        <x:v>268402753</x:v>
      </x:c>
      <x:c r="O450" s="22" t="n">
        <x:v>1020</x:v>
      </x:c>
      <x:c r="P450" s="22" t="n">
        <x:v>11</x:v>
      </x:c>
      <x:c r="Q450" s="22" t="str"/>
      <x:c r="R450" s="22" t="n">
        <x:f>COUNTIF($M$6:$M$1177,M450)</x:f>
        <x:v>1</x:v>
      </x:c>
      <x:c r="S450" s="22" t="str">
        <x:v>Supporting discovery</x:v>
      </x:c>
      <x:c r="T450" s="22" t="str">
        <x:v>Low</x:v>
      </x:c>
    </x:row>
    <x:row r="451" ht="54" customHeight="1">
      <x:c r="A451" s="22" t="n">
        <x:v>446</x:v>
      </x:c>
      <x:c r="B451" s="22" t="str">
        <x:v>Twitter / Profiles Directory</x:v>
      </x:c>
      <x:c r="C451" s="43" t="str">
        <x:v>C-P</x:v>
      </x:c>
      <x:c r="D451" s="22" t="str">
        <x:v>Provisional</x:v>
      </x:c>
      <x:c r="E451" s="22" t="str">
        <x:v>TWITTER</x:v>
      </x:c>
      <x:c r="F451" s="22" t="str">
        <x:v>Twitter/X content / account discovery</x:v>
      </x:c>
      <x:c r="G451" s="22" t="str">
        <x:v>Provisional ceiling from saved search/discovery context only. Verify the original page, account attribution and date; no result accuracy test.</x:v>
      </x:c>
      <x:c r="H451" s="22" t="str">
        <x:v>Lead only; inspect original content before attribution</x:v>
      </x:c>
      <x:c r="I451" s="22" t="str">
        <x:v>Not checked</x:v>
      </x:c>
      <x:c r="J451" s="22" t="str">
        <x:v>Saved bookmark metadata only</x:v>
      </x:c>
      <x:c r="K451" s="22" t="str"/>
      <x:c r="L451" s="24" t="str"/>
      <x:c r="M451" s="24" t="str">
        <x:v>https://twitter.com/i/directory/</x:v>
      </x:c>
      <x:c r="N451" s="22" t="str">
        <x:v>286644723</x:v>
      </x:c>
      <x:c r="O451" s="22" t="n">
        <x:v>1020</x:v>
      </x:c>
      <x:c r="P451" s="22" t="n">
        <x:v>12</x:v>
      </x:c>
      <x:c r="Q451" s="22" t="str"/>
      <x:c r="R451" s="22" t="n">
        <x:f>COUNTIF($M$6:$M$1177,M451)</x:f>
        <x:v>1</x:v>
      </x:c>
      <x:c r="S451" s="22" t="str">
        <x:v>Supporting discovery</x:v>
      </x:c>
      <x:c r="T451" s="22" t="str">
        <x:v>Low</x:v>
      </x:c>
    </x:row>
    <x:row r="452" ht="54" customHeight="1">
      <x:c r="A452" s="22" t="n">
        <x:v>447</x:v>
      </x:c>
      <x:c r="B452" s="22" t="str">
        <x:v>TweetBeaver</x:v>
      </x:c>
      <x:c r="C452" s="43" t="str">
        <x:v>C-P</x:v>
      </x:c>
      <x:c r="D452" s="22" t="str">
        <x:v>Provisional</x:v>
      </x:c>
      <x:c r="E452" s="22" t="str">
        <x:v>TWITTER</x:v>
      </x:c>
      <x:c r="F452" s="22" t="str">
        <x:v>Twitter/X content / account discovery</x:v>
      </x:c>
      <x:c r="G452" s="22" t="str">
        <x:v>Provisional ceiling from saved search/discovery context only. Verify the original page, account attribution and date; no result accuracy test.</x:v>
      </x:c>
      <x:c r="H452" s="22" t="str">
        <x:v>Lead only; inspect original content before attribution</x:v>
      </x:c>
      <x:c r="I452" s="22" t="str">
        <x:v>Not checked</x:v>
      </x:c>
      <x:c r="J452" s="22" t="str">
        <x:v>Saved bookmark metadata only</x:v>
      </x:c>
      <x:c r="K452" s="22" t="str"/>
      <x:c r="L452" s="24" t="str"/>
      <x:c r="M452" s="24" t="str">
        <x:v>https://tweetbeaver.com/</x:v>
      </x:c>
      <x:c r="N452" s="22" t="str">
        <x:v>290985346</x:v>
      </x:c>
      <x:c r="O452" s="22" t="n">
        <x:v>1020</x:v>
      </x:c>
      <x:c r="P452" s="22" t="n">
        <x:v>13</x:v>
      </x:c>
      <x:c r="Q452" s="22" t="str"/>
      <x:c r="R452" s="22" t="n">
        <x:f>COUNTIF($M$6:$M$1177,M452)</x:f>
        <x:v>1</x:v>
      </x:c>
      <x:c r="S452" s="22" t="str">
        <x:v>Supporting discovery</x:v>
      </x:c>
      <x:c r="T452" s="22" t="str">
        <x:v>Low</x:v>
      </x:c>
    </x:row>
    <x:row r="453" ht="54" customHeight="1">
      <x:c r="A453" s="22" t="n">
        <x:v>448</x:v>
      </x:c>
      <x:c r="B453" s="22" t="str">
        <x:v>Twitter search tool</x:v>
      </x:c>
      <x:c r="C453" s="43" t="str">
        <x:v>C-P</x:v>
      </x:c>
      <x:c r="D453" s="22" t="str">
        <x:v>Provisional</x:v>
      </x:c>
      <x:c r="E453" s="22" t="str">
        <x:v>TWITTER</x:v>
      </x:c>
      <x:c r="F453" s="22" t="str">
        <x:v>Twitter/X content / account discovery</x:v>
      </x:c>
      <x:c r="G453" s="22" t="str">
        <x:v>Provisional ceiling from saved search/discovery context only. Verify the original page, account attribution and date; no result accuracy test.</x:v>
      </x:c>
      <x:c r="H453" s="22" t="str">
        <x:v>Lead only; inspect original content before attribution</x:v>
      </x:c>
      <x:c r="I453" s="22" t="str">
        <x:v>Not checked</x:v>
      </x:c>
      <x:c r="J453" s="22" t="str">
        <x:v>Saved bookmark metadata only</x:v>
      </x:c>
      <x:c r="K453" s="22" t="str"/>
      <x:c r="L453" s="24" t="str"/>
      <x:c r="M453" s="24" t="str">
        <x:v>https://www.aware-online.com/en/osint-tools/twitter-search-tool/</x:v>
      </x:c>
      <x:c r="N453" s="22" t="str">
        <x:v>268396350</x:v>
      </x:c>
      <x:c r="O453" s="22" t="n">
        <x:v>1020</x:v>
      </x:c>
      <x:c r="P453" s="22" t="n">
        <x:v>14</x:v>
      </x:c>
      <x:c r="Q453" s="22" t="str"/>
      <x:c r="R453" s="22" t="n">
        <x:f>COUNTIF($M$6:$M$1177,M453)</x:f>
        <x:v>1</x:v>
      </x:c>
      <x:c r="S453" s="22" t="str">
        <x:v>Supporting discovery</x:v>
      </x:c>
      <x:c r="T453" s="22" t="str">
        <x:v>Low</x:v>
      </x:c>
    </x:row>
    <x:row r="454" ht="54" customHeight="1">
      <x:c r="A454" s="22" t="n">
        <x:v>449</x:v>
      </x:c>
      <x:c r="B454" s="22" t="str">
        <x:v>Google to search profiles on Twitter</x:v>
      </x:c>
      <x:c r="C454" s="43" t="str">
        <x:v>C-P</x:v>
      </x:c>
      <x:c r="D454" s="22" t="str">
        <x:v>Provisional</x:v>
      </x:c>
      <x:c r="E454" s="22" t="str">
        <x:v>TWITTER</x:v>
      </x:c>
      <x:c r="F454" s="22" t="str">
        <x:v>Twitter/X content / account discovery</x:v>
      </x:c>
      <x:c r="G454" s="22" t="str">
        <x:v>Provisional ceiling from saved search/discovery context only. Verify the original page, account attribution and date; no result accuracy test.</x:v>
      </x:c>
      <x:c r="H454" s="22" t="str">
        <x:v>Lead only; inspect original content before attribution</x:v>
      </x:c>
      <x:c r="I454" s="22" t="str">
        <x:v>Not checked</x:v>
      </x:c>
      <x:c r="J454" s="22" t="str">
        <x:v>Saved bookmark metadata only</x:v>
      </x:c>
      <x:c r="K454" s="22" t="str"/>
      <x:c r="L454" s="24" t="str"/>
      <x:c r="M454" s="24" t="str">
        <x:v>https://recruitin.net/twitter.php</x:v>
      </x:c>
      <x:c r="N454" s="22" t="str">
        <x:v>291679147</x:v>
      </x:c>
      <x:c r="O454" s="22" t="n">
        <x:v>1020</x:v>
      </x:c>
      <x:c r="P454" s="22" t="n">
        <x:v>15</x:v>
      </x:c>
      <x:c r="Q454" s="22" t="str"/>
      <x:c r="R454" s="22" t="n">
        <x:f>COUNTIF($M$6:$M$1177,M454)</x:f>
        <x:v>1</x:v>
      </x:c>
      <x:c r="S454" s="22" t="str">
        <x:v>Supporting discovery</x:v>
      </x:c>
      <x:c r="T454" s="22" t="str">
        <x:v>Low</x:v>
      </x:c>
    </x:row>
    <x:row r="455" ht="54" customHeight="1">
      <x:c r="A455" s="22" t="n">
        <x:v>450</x:v>
      </x:c>
      <x:c r="B455" s="22" t="str">
        <x:v>Tweettioc.com</x:v>
      </x:c>
      <x:c r="C455" s="43" t="str">
        <x:v>C-P</x:v>
      </x:c>
      <x:c r="D455" s="22" t="str">
        <x:v>Provisional</x:v>
      </x:c>
      <x:c r="E455" s="22" t="str">
        <x:v>TWITTER</x:v>
      </x:c>
      <x:c r="F455" s="22" t="str">
        <x:v>Twitter/X content / account discovery</x:v>
      </x:c>
      <x:c r="G455" s="22" t="str">
        <x:v>Provisional ceiling from saved search/discovery context only. Verify the original page, account attribution and date; no result accuracy test.</x:v>
      </x:c>
      <x:c r="H455" s="22" t="str">
        <x:v>Lead only; inspect original content before attribution</x:v>
      </x:c>
      <x:c r="I455" s="22" t="str">
        <x:v>Not checked</x:v>
      </x:c>
      <x:c r="J455" s="22" t="str">
        <x:v>Saved bookmark metadata only</x:v>
      </x:c>
      <x:c r="K455" s="22" t="str"/>
      <x:c r="L455" s="24" t="str"/>
      <x:c r="M455" s="24" t="str">
        <x:v>http://tweettioc.com/</x:v>
      </x:c>
      <x:c r="N455" s="22" t="str">
        <x:v>288431603</x:v>
      </x:c>
      <x:c r="O455" s="22" t="n">
        <x:v>1020</x:v>
      </x:c>
      <x:c r="P455" s="22" t="n">
        <x:v>16</x:v>
      </x:c>
      <x:c r="Q455" s="22" t="str"/>
      <x:c r="R455" s="22" t="n">
        <x:f>COUNTIF($M$6:$M$1177,M455)</x:f>
        <x:v>1</x:v>
      </x:c>
      <x:c r="S455" s="22" t="str">
        <x:v>Supporting discovery</x:v>
      </x:c>
      <x:c r="T455" s="22" t="str">
        <x:v>Low</x:v>
      </x:c>
    </x:row>
    <x:row r="456" ht="54" customHeight="1">
      <x:c r="A456" s="22" t="n">
        <x:v>451</x:v>
      </x:c>
      <x:c r="B456" s="22" t="str">
        <x:v>Search Twitter Bios and Profiles</x:v>
      </x:c>
      <x:c r="C456" s="43" t="str">
        <x:v>C-P</x:v>
      </x:c>
      <x:c r="D456" s="22" t="str">
        <x:v>Provisional</x:v>
      </x:c>
      <x:c r="E456" s="22" t="str">
        <x:v>TWITTER</x:v>
      </x:c>
      <x:c r="F456" s="22" t="str">
        <x:v>Twitter/X content / account discovery</x:v>
      </x:c>
      <x:c r="G456" s="22" t="str">
        <x:v>Provisional ceiling from saved search/discovery context only. Verify the original page, account attribution and date; no result accuracy test.</x:v>
      </x:c>
      <x:c r="H456" s="22" t="str">
        <x:v>Lead only; inspect original content before attribution</x:v>
      </x:c>
      <x:c r="I456" s="22" t="str">
        <x:v>Not checked</x:v>
      </x:c>
      <x:c r="J456" s="22" t="str">
        <x:v>Saved bookmark metadata only</x:v>
      </x:c>
      <x:c r="K456" s="22" t="str"/>
      <x:c r="L456" s="24" t="str"/>
      <x:c r="M456" s="24" t="str">
        <x:v>https://followerwonk.com/bio</x:v>
      </x:c>
      <x:c r="N456" s="22" t="str">
        <x:v>286644957</x:v>
      </x:c>
      <x:c r="O456" s="22" t="n">
        <x:v>1020</x:v>
      </x:c>
      <x:c r="P456" s="22" t="n">
        <x:v>17</x:v>
      </x:c>
      <x:c r="Q456" s="22" t="str"/>
      <x:c r="R456" s="22" t="n">
        <x:f>COUNTIF($M$6:$M$1177,M456)</x:f>
        <x:v>1</x:v>
      </x:c>
      <x:c r="S456" s="22" t="str">
        <x:v>Supporting discovery</x:v>
      </x:c>
      <x:c r="T456" s="22" t="str">
        <x:v>Low</x:v>
      </x:c>
    </x:row>
    <x:row r="457" ht="54" customHeight="1">
      <x:c r="A457" s="22" t="n">
        <x:v>452</x:v>
      </x:c>
      <x:c r="B457" s="22" t="str">
        <x:v>The one million tweet map</x:v>
      </x:c>
      <x:c r="C457" s="43" t="str">
        <x:v>C-P</x:v>
      </x:c>
      <x:c r="D457" s="22" t="str">
        <x:v>Provisional</x:v>
      </x:c>
      <x:c r="E457" s="22" t="str">
        <x:v>TWITTER</x:v>
      </x:c>
      <x:c r="F457" s="22" t="str">
        <x:v>Twitter/X content / account discovery</x:v>
      </x:c>
      <x:c r="G457" s="22" t="str">
        <x:v>Provisional ceiling from saved search/discovery context only. Verify the original page, account attribution and date; no result accuracy test.</x:v>
      </x:c>
      <x:c r="H457" s="22" t="str">
        <x:v>Lead only; inspect original content before attribution</x:v>
      </x:c>
      <x:c r="I457" s="22" t="str">
        <x:v>Not checked</x:v>
      </x:c>
      <x:c r="J457" s="22" t="str">
        <x:v>Saved bookmark metadata only</x:v>
      </x:c>
      <x:c r="K457" s="22" t="str"/>
      <x:c r="L457" s="24" t="str"/>
      <x:c r="M457" s="24" t="str">
        <x:v>https://onemilliontweetmap.com/</x:v>
      </x:c>
      <x:c r="N457" s="22" t="str">
        <x:v>286644960</x:v>
      </x:c>
      <x:c r="O457" s="22" t="n">
        <x:v>1020</x:v>
      </x:c>
      <x:c r="P457" s="22" t="n">
        <x:v>18</x:v>
      </x:c>
      <x:c r="Q457" s="22" t="str"/>
      <x:c r="R457" s="22" t="n">
        <x:f>COUNTIF($M$6:$M$1177,M457)</x:f>
        <x:v>1</x:v>
      </x:c>
      <x:c r="S457" s="22" t="str">
        <x:v>Supporting discovery</x:v>
      </x:c>
      <x:c r="T457" s="22" t="str">
        <x:v>Low</x:v>
      </x:c>
    </x:row>
    <x:row r="458" ht="54" customHeight="1">
      <x:c r="A458" s="22" t="n">
        <x:v>453</x:v>
      </x:c>
      <x:c r="B458" s="22" t="str">
        <x:v>Tweet Binder</x:v>
      </x:c>
      <x:c r="C458" s="43" t="str">
        <x:v>C-P</x:v>
      </x:c>
      <x:c r="D458" s="22" t="str">
        <x:v>Provisional</x:v>
      </x:c>
      <x:c r="E458" s="22" t="str">
        <x:v>TWITTER</x:v>
      </x:c>
      <x:c r="F458" s="22" t="str">
        <x:v>Twitter/X content / account discovery</x:v>
      </x:c>
      <x:c r="G458" s="22" t="str">
        <x:v>Provisional ceiling from saved search/discovery context only. Verify the original page, account attribution and date; no result accuracy test.</x:v>
      </x:c>
      <x:c r="H458" s="22" t="str">
        <x:v>Lead only; inspect original content before attribution</x:v>
      </x:c>
      <x:c r="I458" s="22" t="str">
        <x:v>Not checked</x:v>
      </x:c>
      <x:c r="J458" s="22" t="str">
        <x:v>Saved bookmark metadata only</x:v>
      </x:c>
      <x:c r="K458" s="22" t="str"/>
      <x:c r="L458" s="24" t="str"/>
      <x:c r="M458" s="24" t="str">
        <x:v>https://www.tweetbinder.com/</x:v>
      </x:c>
      <x:c r="N458" s="22" t="str">
        <x:v>286644898</x:v>
      </x:c>
      <x:c r="O458" s="22" t="n">
        <x:v>1020</x:v>
      </x:c>
      <x:c r="P458" s="22" t="n">
        <x:v>19</x:v>
      </x:c>
      <x:c r="Q458" s="22" t="str"/>
      <x:c r="R458" s="22" t="n">
        <x:f>COUNTIF($M$6:$M$1177,M458)</x:f>
        <x:v>1</x:v>
      </x:c>
      <x:c r="S458" s="22" t="str">
        <x:v>Supporting discovery</x:v>
      </x:c>
      <x:c r="T458" s="22" t="str">
        <x:v>Low</x:v>
      </x:c>
    </x:row>
    <x:row r="459" ht="54" customHeight="1">
      <x:c r="A459" s="22" t="n">
        <x:v>454</x:v>
      </x:c>
      <x:c r="B459" s="22" t="str">
        <x:v>Twitter Search</x:v>
      </x:c>
      <x:c r="C459" s="43" t="str">
        <x:v>C-P</x:v>
      </x:c>
      <x:c r="D459" s="22" t="str">
        <x:v>Provisional</x:v>
      </x:c>
      <x:c r="E459" s="22" t="str">
        <x:v>TWITTER</x:v>
      </x:c>
      <x:c r="F459" s="22" t="str">
        <x:v>Twitter/X content / account discovery</x:v>
      </x:c>
      <x:c r="G459" s="22" t="str">
        <x:v>Provisional ceiling from saved search/discovery context only. Verify the original page, account attribution and date; no result accuracy test.</x:v>
      </x:c>
      <x:c r="H459" s="22" t="str">
        <x:v>Lead only; inspect original content before attribution</x:v>
      </x:c>
      <x:c r="I459" s="22" t="str">
        <x:v>Not checked</x:v>
      </x:c>
      <x:c r="J459" s="22" t="str">
        <x:v>Saved bookmark metadata only</x:v>
      </x:c>
      <x:c r="K459" s="22" t="str"/>
      <x:c r="L459" s="24" t="str"/>
      <x:c r="M459" s="24" t="str">
        <x:v>https://one-plus.github.io/Twitter</x:v>
      </x:c>
      <x:c r="N459" s="22" t="str">
        <x:v>286013795</x:v>
      </x:c>
      <x:c r="O459" s="22" t="n">
        <x:v>1020</x:v>
      </x:c>
      <x:c r="P459" s="22" t="n">
        <x:v>20</x:v>
      </x:c>
      <x:c r="Q459" s="22" t="str"/>
      <x:c r="R459" s="22" t="n">
        <x:f>COUNTIF($M$6:$M$1177,M459)</x:f>
        <x:v>1</x:v>
      </x:c>
      <x:c r="S459" s="22" t="str">
        <x:v>Supporting discovery</x:v>
      </x:c>
      <x:c r="T459" s="22" t="str">
        <x:v>Low</x:v>
      </x:c>
    </x:row>
    <x:row r="460" ht="54" customHeight="1">
      <x:c r="A460" s="22" t="n">
        <x:v>455</x:v>
      </x:c>
      <x:c r="B460" s="22" t="str">
        <x:v>Twitter Monitoring</x:v>
      </x:c>
      <x:c r="C460" s="43" t="str">
        <x:v>C-P</x:v>
      </x:c>
      <x:c r="D460" s="22" t="str">
        <x:v>Provisional</x:v>
      </x:c>
      <x:c r="E460" s="22" t="str">
        <x:v>TWITTER</x:v>
      </x:c>
      <x:c r="F460" s="22" t="str">
        <x:v>Twitter/X content / account discovery</x:v>
      </x:c>
      <x:c r="G460" s="22" t="str">
        <x:v>Provisional ceiling from saved search/discovery context only. Verify the original page, account attribution and date; no result accuracy test.</x:v>
      </x:c>
      <x:c r="H460" s="22" t="str">
        <x:v>Lead only; inspect original content before attribution</x:v>
      </x:c>
      <x:c r="I460" s="22" t="str">
        <x:v>Not checked</x:v>
      </x:c>
      <x:c r="J460" s="22" t="str">
        <x:v>Saved bookmark metadata only</x:v>
      </x:c>
      <x:c r="K460" s="22" t="str"/>
      <x:c r="L460" s="24" t="str"/>
      <x:c r="M460" s="24" t="str">
        <x:v>https://one-plus.github.io/TwitterMonitor</x:v>
      </x:c>
      <x:c r="N460" s="22" t="str">
        <x:v>286013803</x:v>
      </x:c>
      <x:c r="O460" s="22" t="n">
        <x:v>1020</x:v>
      </x:c>
      <x:c r="P460" s="22" t="n">
        <x:v>21</x:v>
      </x:c>
      <x:c r="Q460" s="22" t="str"/>
      <x:c r="R460" s="22" t="n">
        <x:f>COUNTIF($M$6:$M$1177,M460)</x:f>
        <x:v>1</x:v>
      </x:c>
      <x:c r="S460" s="22" t="str">
        <x:v>Supporting discovery</x:v>
      </x:c>
      <x:c r="T460" s="22" t="str">
        <x:v>Low</x:v>
      </x:c>
    </x:row>
    <x:row r="461" ht="54" customHeight="1">
      <x:c r="A461" s="22" t="n">
        <x:v>456</x:v>
      </x:c>
      <x:c r="B461" s="22" t="str">
        <x:v>Thread Reader</x:v>
      </x:c>
      <x:c r="C461" s="43" t="str">
        <x:v>C-P</x:v>
      </x:c>
      <x:c r="D461" s="22" t="str">
        <x:v>Provisional</x:v>
      </x:c>
      <x:c r="E461" s="22" t="str">
        <x:v>TWITTER</x:v>
      </x:c>
      <x:c r="F461" s="22" t="str">
        <x:v>Twitter/X content / account discovery</x:v>
      </x:c>
      <x:c r="G461" s="22" t="str">
        <x:v>Provisional ceiling from saved search/discovery context only. Verify the original page, account attribution and date; no result accuracy test.</x:v>
      </x:c>
      <x:c r="H461" s="22" t="str">
        <x:v>Lead only; inspect original content before attribution</x:v>
      </x:c>
      <x:c r="I461" s="22" t="str">
        <x:v>Not checked</x:v>
      </x:c>
      <x:c r="J461" s="22" t="str">
        <x:v>Saved bookmark metadata only</x:v>
      </x:c>
      <x:c r="K461" s="22" t="str"/>
      <x:c r="L461" s="24" t="str"/>
      <x:c r="M461" s="24" t="str">
        <x:v>https://threadreaderapp.com/</x:v>
      </x:c>
      <x:c r="N461" s="22" t="str">
        <x:v>268509547</x:v>
      </x:c>
      <x:c r="O461" s="22" t="n">
        <x:v>1020</x:v>
      </x:c>
      <x:c r="P461" s="22" t="n">
        <x:v>22</x:v>
      </x:c>
      <x:c r="Q461" s="22" t="str"/>
      <x:c r="R461" s="22" t="n">
        <x:f>COUNTIF($M$6:$M$1177,M461)</x:f>
        <x:v>1</x:v>
      </x:c>
      <x:c r="S461" s="22" t="str">
        <x:v>Supporting discovery</x:v>
      </x:c>
      <x:c r="T461" s="22" t="str">
        <x:v>Low</x:v>
      </x:c>
    </x:row>
    <x:row r="462" ht="54" customHeight="1">
      <x:c r="A462" s="22" t="n">
        <x:v>457</x:v>
      </x:c>
      <x:c r="B462" s="22" t="str">
        <x:v>Search Twitter Users</x:v>
      </x:c>
      <x:c r="C462" s="43" t="str">
        <x:v>C-P</x:v>
      </x:c>
      <x:c r="D462" s="22" t="str">
        <x:v>Provisional</x:v>
      </x:c>
      <x:c r="E462" s="22" t="str">
        <x:v>TWITTER</x:v>
      </x:c>
      <x:c r="F462" s="22" t="str">
        <x:v>Twitter/X content / account discovery</x:v>
      </x:c>
      <x:c r="G462" s="22" t="str">
        <x:v>Provisional ceiling from saved search/discovery context only. Verify the original page, account attribution and date; no result accuracy test.</x:v>
      </x:c>
      <x:c r="H462" s="22" t="str">
        <x:v>Lead only; inspect original content before attribution</x:v>
      </x:c>
      <x:c r="I462" s="22" t="str">
        <x:v>Not checked</x:v>
      </x:c>
      <x:c r="J462" s="22" t="str">
        <x:v>Saved bookmark metadata only</x:v>
      </x:c>
      <x:c r="K462" s="22" t="str"/>
      <x:c r="L462" s="24" t="str"/>
      <x:c r="M462" s="24" t="str">
        <x:v>https://pushshift.io/twitter-user-search/</x:v>
      </x:c>
      <x:c r="N462" s="22" t="str">
        <x:v>268396359</x:v>
      </x:c>
      <x:c r="O462" s="22" t="n">
        <x:v>1020</x:v>
      </x:c>
      <x:c r="P462" s="22" t="n">
        <x:v>23</x:v>
      </x:c>
      <x:c r="Q462" s="22" t="str"/>
      <x:c r="R462" s="22" t="n">
        <x:f>COUNTIF($M$6:$M$1177,M462)</x:f>
        <x:v>1</x:v>
      </x:c>
      <x:c r="S462" s="22" t="str">
        <x:v>Supporting discovery</x:v>
      </x:c>
      <x:c r="T462" s="22" t="str">
        <x:v>Low</x:v>
      </x:c>
    </x:row>
    <x:row r="463" ht="54" customHeight="1">
      <x:c r="A463" s="22" t="n">
        <x:v>458</x:v>
      </x:c>
      <x:c r="B463" s="22" t="str">
        <x:v>Find Twitter Followers</x:v>
      </x:c>
      <x:c r="C463" s="43" t="str">
        <x:v>C-P</x:v>
      </x:c>
      <x:c r="D463" s="22" t="str">
        <x:v>Provisional</x:v>
      </x:c>
      <x:c r="E463" s="22" t="str">
        <x:v>TWITTER</x:v>
      </x:c>
      <x:c r="F463" s="22" t="str">
        <x:v>Twitter/X content / account discovery</x:v>
      </x:c>
      <x:c r="G463" s="22" t="str">
        <x:v>Provisional ceiling from saved search/discovery context only. Verify the original page, account attribution and date; no result accuracy test.</x:v>
      </x:c>
      <x:c r="H463" s="22" t="str">
        <x:v>Lead only; inspect original content before attribution</x:v>
      </x:c>
      <x:c r="I463" s="22" t="str">
        <x:v>Not checked</x:v>
      </x:c>
      <x:c r="J463" s="22" t="str">
        <x:v>Saved bookmark metadata only</x:v>
      </x:c>
      <x:c r="K463" s="22" t="str"/>
      <x:c r="L463" s="24" t="str"/>
      <x:c r="M463" s="24" t="str">
        <x:v>http://searchfortweets1.com/</x:v>
      </x:c>
      <x:c r="N463" s="22" t="str">
        <x:v>268404133</x:v>
      </x:c>
      <x:c r="O463" s="22" t="n">
        <x:v>1020</x:v>
      </x:c>
      <x:c r="P463" s="22" t="n">
        <x:v>24</x:v>
      </x:c>
      <x:c r="Q463" s="22" t="str"/>
      <x:c r="R463" s="22" t="n">
        <x:f>COUNTIF($M$6:$M$1177,M463)</x:f>
        <x:v>1</x:v>
      </x:c>
      <x:c r="S463" s="22" t="str">
        <x:v>Supporting discovery</x:v>
      </x:c>
      <x:c r="T463" s="22" t="str">
        <x:v>Low</x:v>
      </x:c>
    </x:row>
    <x:row r="464" ht="54" customHeight="1">
      <x:c r="A464" s="22" t="n">
        <x:v>459</x:v>
      </x:c>
      <x:c r="B464" s="22" t="str">
        <x:v>Getdewey.co</x:v>
      </x:c>
      <x:c r="C464" s="43" t="str">
        <x:v>C-P</x:v>
      </x:c>
      <x:c r="D464" s="22" t="str">
        <x:v>Provisional</x:v>
      </x:c>
      <x:c r="E464" s="22" t="str">
        <x:v>TWITTER</x:v>
      </x:c>
      <x:c r="F464" s="22" t="str">
        <x:v>Twitter/X content / account discovery</x:v>
      </x:c>
      <x:c r="G464" s="22" t="str">
        <x:v>Provisional ceiling from saved search/discovery context only. Verify the original page, account attribution and date; no result accuracy test.</x:v>
      </x:c>
      <x:c r="H464" s="22" t="str">
        <x:v>Lead only; inspect original content before attribution</x:v>
      </x:c>
      <x:c r="I464" s="22" t="str">
        <x:v>Not checked</x:v>
      </x:c>
      <x:c r="J464" s="22" t="str">
        <x:v>Saved bookmark metadata only</x:v>
      </x:c>
      <x:c r="K464" s="22" t="str"/>
      <x:c r="L464" s="24" t="str"/>
      <x:c r="M464" s="24" t="str">
        <x:v>https://getdewey.co/</x:v>
      </x:c>
      <x:c r="N464" s="22" t="str">
        <x:v>291333048</x:v>
      </x:c>
      <x:c r="O464" s="22" t="n">
        <x:v>1020</x:v>
      </x:c>
      <x:c r="P464" s="22" t="n">
        <x:v>25</x:v>
      </x:c>
      <x:c r="Q464" s="22" t="str"/>
      <x:c r="R464" s="22" t="n">
        <x:f>COUNTIF($M$6:$M$1177,M464)</x:f>
        <x:v>1</x:v>
      </x:c>
      <x:c r="S464" s="22" t="str">
        <x:v>Supporting discovery</x:v>
      </x:c>
      <x:c r="T464" s="22" t="str">
        <x:v>Low</x:v>
      </x:c>
    </x:row>
    <x:row r="465" ht="54" customHeight="1">
      <x:c r="A465" s="22" t="n">
        <x:v>460</x:v>
      </x:c>
      <x:c r="B465" s="22" t="str">
        <x:v>geosocial footprint</x:v>
      </x:c>
      <x:c r="C465" s="43" t="str">
        <x:v>C-P</x:v>
      </x:c>
      <x:c r="D465" s="22" t="str">
        <x:v>Provisional</x:v>
      </x:c>
      <x:c r="E465" s="22" t="str">
        <x:v>TWITTER</x:v>
      </x:c>
      <x:c r="F465" s="22" t="str">
        <x:v>Twitter/X content / account discovery</x:v>
      </x:c>
      <x:c r="G465" s="22" t="str">
        <x:v>Provisional ceiling from saved search/discovery context only. Verify the original page, account attribution and date; no result accuracy test.</x:v>
      </x:c>
      <x:c r="H465" s="22" t="str">
        <x:v>Lead only; inspect original content before attribution</x:v>
      </x:c>
      <x:c r="I465" s="22" t="str">
        <x:v>Not checked</x:v>
      </x:c>
      <x:c r="J465" s="22" t="str">
        <x:v>Saved bookmark metadata only</x:v>
      </x:c>
      <x:c r="K465" s="22" t="str"/>
      <x:c r="L465" s="24" t="str"/>
      <x:c r="M465" s="24" t="str">
        <x:v>http://geosocialfootprint.com/</x:v>
      </x:c>
      <x:c r="N465" s="22" t="str">
        <x:v>268404135</x:v>
      </x:c>
      <x:c r="O465" s="22" t="n">
        <x:v>1020</x:v>
      </x:c>
      <x:c r="P465" s="22" t="n">
        <x:v>26</x:v>
      </x:c>
      <x:c r="Q465" s="22" t="str"/>
      <x:c r="R465" s="22" t="n">
        <x:f>COUNTIF($M$6:$M$1177,M465)</x:f>
        <x:v>1</x:v>
      </x:c>
      <x:c r="S465" s="22" t="str">
        <x:v>Supporting discovery</x:v>
      </x:c>
      <x:c r="T465" s="22" t="str">
        <x:v>Low</x:v>
      </x:c>
    </x:row>
    <x:row r="466" ht="54" customHeight="1">
      <x:c r="A466" s="22" t="n">
        <x:v>461</x:v>
      </x:c>
      <x:c r="B466" s="22" t="str">
        <x:v>tweetmap</x:v>
      </x:c>
      <x:c r="C466" s="43" t="str">
        <x:v>C-P</x:v>
      </x:c>
      <x:c r="D466" s="22" t="str">
        <x:v>Provisional</x:v>
      </x:c>
      <x:c r="E466" s="22" t="str">
        <x:v>TWITTER</x:v>
      </x:c>
      <x:c r="F466" s="22" t="str">
        <x:v>Twitter/X content / account discovery</x:v>
      </x:c>
      <x:c r="G466" s="22" t="str">
        <x:v>Provisional ceiling from saved search/discovery context only. Verify the original page, account attribution and date; no result accuracy test.</x:v>
      </x:c>
      <x:c r="H466" s="22" t="str">
        <x:v>Lead only; inspect original content before attribution</x:v>
      </x:c>
      <x:c r="I466" s="22" t="str">
        <x:v>Not checked</x:v>
      </x:c>
      <x:c r="J466" s="22" t="str">
        <x:v>Saved bookmark metadata only</x:v>
      </x:c>
      <x:c r="K466" s="22" t="str"/>
      <x:c r="L466" s="24" t="str"/>
      <x:c r="M466" s="24" t="str">
        <x:v>https://www.omnisci.com/demos/tweetmap</x:v>
      </x:c>
      <x:c r="N466" s="22" t="str">
        <x:v>268408296</x:v>
      </x:c>
      <x:c r="O466" s="22" t="n">
        <x:v>1020</x:v>
      </x:c>
      <x:c r="P466" s="22" t="n">
        <x:v>27</x:v>
      </x:c>
      <x:c r="Q466" s="22" t="str"/>
      <x:c r="R466" s="22" t="n">
        <x:f>COUNTIF($M$6:$M$1177,M466)</x:f>
        <x:v>1</x:v>
      </x:c>
      <x:c r="S466" s="22" t="str">
        <x:v>Supporting discovery</x:v>
      </x:c>
      <x:c r="T466" s="22" t="str">
        <x:v>Low</x:v>
      </x:c>
    </x:row>
    <x:row r="467" ht="54" customHeight="1">
      <x:c r="A467" s="22" t="n">
        <x:v>462</x:v>
      </x:c>
      <x:c r="B467" s="22" t="str">
        <x:v>DoesFollow</x:v>
      </x:c>
      <x:c r="C467" s="43" t="str">
        <x:v>C-P</x:v>
      </x:c>
      <x:c r="D467" s="22" t="str">
        <x:v>Provisional</x:v>
      </x:c>
      <x:c r="E467" s="22" t="str">
        <x:v>TWITTER</x:v>
      </x:c>
      <x:c r="F467" s="22" t="str">
        <x:v>Twitter/X content / account discovery</x:v>
      </x:c>
      <x:c r="G467" s="22" t="str">
        <x:v>Provisional ceiling from saved search/discovery context only. Verify the original page, account attribution and date; no result accuracy test.</x:v>
      </x:c>
      <x:c r="H467" s="22" t="str">
        <x:v>Lead only; inspect original content before attribution</x:v>
      </x:c>
      <x:c r="I467" s="22" t="str">
        <x:v>Not checked</x:v>
      </x:c>
      <x:c r="J467" s="22" t="str">
        <x:v>Saved bookmark metadata only</x:v>
      </x:c>
      <x:c r="K467" s="22" t="str"/>
      <x:c r="L467" s="24" t="str"/>
      <x:c r="M467" s="24" t="str">
        <x:v>https://doesfollow.com/</x:v>
      </x:c>
      <x:c r="N467" s="22" t="str">
        <x:v>286644808</x:v>
      </x:c>
      <x:c r="O467" s="22" t="n">
        <x:v>1020</x:v>
      </x:c>
      <x:c r="P467" s="22" t="n">
        <x:v>28</x:v>
      </x:c>
      <x:c r="Q467" s="22" t="str"/>
      <x:c r="R467" s="22" t="n">
        <x:f>COUNTIF($M$6:$M$1177,M467)</x:f>
        <x:v>1</x:v>
      </x:c>
      <x:c r="S467" s="22" t="str">
        <x:v>Supporting discovery</x:v>
      </x:c>
      <x:c r="T467" s="22" t="str">
        <x:v>Low</x:v>
      </x:c>
    </x:row>
    <x:row r="468" ht="54" customHeight="1">
      <x:c r="A468" s="22" t="n">
        <x:v>463</x:v>
      </x:c>
      <x:c r="B468" s="22" t="str">
        <x:v>Sleeping Time</x:v>
      </x:c>
      <x:c r="C468" s="43" t="str">
        <x:v>C-P</x:v>
      </x:c>
      <x:c r="D468" s="22" t="str">
        <x:v>Provisional</x:v>
      </x:c>
      <x:c r="E468" s="22" t="str">
        <x:v>TWITTER</x:v>
      </x:c>
      <x:c r="F468" s="22" t="str">
        <x:v>Twitter/X content / account discovery</x:v>
      </x:c>
      <x:c r="G468" s="22" t="str">
        <x:v>Provisional ceiling from saved search/discovery context only. Verify the original page, account attribution and date; no result accuracy test.</x:v>
      </x:c>
      <x:c r="H468" s="22" t="str">
        <x:v>Lead only; inspect original content before attribution</x:v>
      </x:c>
      <x:c r="I468" s="22" t="str">
        <x:v>Not checked</x:v>
      </x:c>
      <x:c r="J468" s="22" t="str">
        <x:v>Saved bookmark metadata only</x:v>
      </x:c>
      <x:c r="K468" s="22" t="str"/>
      <x:c r="L468" s="24" t="str"/>
      <x:c r="M468" s="24" t="str">
        <x:v>http://sleepingtime.org/</x:v>
      </x:c>
      <x:c r="N468" s="22" t="str">
        <x:v>286644812</x:v>
      </x:c>
      <x:c r="O468" s="22" t="n">
        <x:v>1020</x:v>
      </x:c>
      <x:c r="P468" s="22" t="n">
        <x:v>29</x:v>
      </x:c>
      <x:c r="Q468" s="22" t="str"/>
      <x:c r="R468" s="22" t="n">
        <x:f>COUNTIF($M$6:$M$1177,M468)</x:f>
        <x:v>1</x:v>
      </x:c>
      <x:c r="S468" s="22" t="str">
        <x:v>Supporting discovery</x:v>
      </x:c>
      <x:c r="T468" s="22" t="str">
        <x:v>Low</x:v>
      </x:c>
    </x:row>
    <x:row r="469" ht="54" customHeight="1">
      <x:c r="A469" s="22" t="n">
        <x:v>464</x:v>
      </x:c>
      <x:c r="B469" s="22" t="str">
        <x:v>Twitter Analytics</x:v>
      </x:c>
      <x:c r="C469" s="43" t="str">
        <x:v>C-P</x:v>
      </x:c>
      <x:c r="D469" s="22" t="str">
        <x:v>Provisional</x:v>
      </x:c>
      <x:c r="E469" s="22" t="str">
        <x:v>TWITTER</x:v>
      </x:c>
      <x:c r="F469" s="22" t="str">
        <x:v>Twitter/X content / account discovery</x:v>
      </x:c>
      <x:c r="G469" s="22" t="str">
        <x:v>Provisional ceiling from saved search/discovery context only. Verify the original page, account attribution and date; no result accuracy test.</x:v>
      </x:c>
      <x:c r="H469" s="22" t="str">
        <x:v>Lead only; inspect original content before attribution</x:v>
      </x:c>
      <x:c r="I469" s="22" t="str">
        <x:v>Not checked</x:v>
      </x:c>
      <x:c r="J469" s="22" t="str">
        <x:v>Saved bookmark metadata only</x:v>
      </x:c>
      <x:c r="K469" s="22" t="str"/>
      <x:c r="L469" s="24" t="str"/>
      <x:c r="M469" s="24" t="str">
        <x:v>https://foller.me/</x:v>
      </x:c>
      <x:c r="N469" s="22" t="str">
        <x:v>286644895</x:v>
      </x:c>
      <x:c r="O469" s="22" t="n">
        <x:v>1020</x:v>
      </x:c>
      <x:c r="P469" s="22" t="n">
        <x:v>30</x:v>
      </x:c>
      <x:c r="Q469" s="22" t="str"/>
      <x:c r="R469" s="22" t="n">
        <x:f>COUNTIF($M$6:$M$1177,M469)</x:f>
        <x:v>1</x:v>
      </x:c>
      <x:c r="S469" s="22" t="str">
        <x:v>Supporting discovery</x:v>
      </x:c>
      <x:c r="T469" s="22" t="str">
        <x:v>Low</x:v>
      </x:c>
    </x:row>
    <x:row r="470" ht="54" customHeight="1">
      <x:c r="A470" s="22" t="n">
        <x:v>465</x:v>
      </x:c>
      <x:c r="B470" s="22" t="str">
        <x:v>Tweet Topic Explorer</x:v>
      </x:c>
      <x:c r="C470" s="43" t="str">
        <x:v>C-P</x:v>
      </x:c>
      <x:c r="D470" s="22" t="str">
        <x:v>Provisional</x:v>
      </x:c>
      <x:c r="E470" s="22" t="str">
        <x:v>TWITTER</x:v>
      </x:c>
      <x:c r="F470" s="22" t="str">
        <x:v>Twitter/X content / account discovery</x:v>
      </x:c>
      <x:c r="G470" s="22" t="str">
        <x:v>Provisional ceiling from saved search/discovery context only. Verify the original page, account attribution and date; no result accuracy test.</x:v>
      </x:c>
      <x:c r="H470" s="22" t="str">
        <x:v>Lead only; inspect original content before attribution</x:v>
      </x:c>
      <x:c r="I470" s="22" t="str">
        <x:v>Not checked</x:v>
      </x:c>
      <x:c r="J470" s="22" t="str">
        <x:v>Saved bookmark metadata only</x:v>
      </x:c>
      <x:c r="K470" s="22" t="str"/>
      <x:c r="L470" s="24" t="str"/>
      <x:c r="M470" s="24" t="str">
        <x:v>http://tweettopicexplorer.neoformix.com/</x:v>
      </x:c>
      <x:c r="N470" s="22" t="str">
        <x:v>286644904</x:v>
      </x:c>
      <x:c r="O470" s="22" t="n">
        <x:v>1020</x:v>
      </x:c>
      <x:c r="P470" s="22" t="n">
        <x:v>31</x:v>
      </x:c>
      <x:c r="Q470" s="22" t="str"/>
      <x:c r="R470" s="22" t="n">
        <x:f>COUNTIF($M$6:$M$1177,M470)</x:f>
        <x:v>1</x:v>
      </x:c>
      <x:c r="S470" s="22" t="str">
        <x:v>Supporting discovery</x:v>
      </x:c>
      <x:c r="T470" s="22" t="str">
        <x:v>Low</x:v>
      </x:c>
    </x:row>
    <x:row r="471" ht="54" customHeight="1">
      <x:c r="A471" s="22" t="n">
        <x:v>466</x:v>
      </x:c>
      <x:c r="B471" s="22" t="str">
        <x:v>TruthNest</x:v>
      </x:c>
      <x:c r="C471" s="43" t="str">
        <x:v>C-P</x:v>
      </x:c>
      <x:c r="D471" s="22" t="str">
        <x:v>Provisional</x:v>
      </x:c>
      <x:c r="E471" s="22" t="str">
        <x:v>TWITTER</x:v>
      </x:c>
      <x:c r="F471" s="22" t="str">
        <x:v>Twitter/X content / account discovery</x:v>
      </x:c>
      <x:c r="G471" s="22" t="str">
        <x:v>Provisional ceiling from saved search/discovery context only. Verify the original page, account attribution and date; no result accuracy test.</x:v>
      </x:c>
      <x:c r="H471" s="22" t="str">
        <x:v>Lead only; inspect original content before attribution</x:v>
      </x:c>
      <x:c r="I471" s="22" t="str">
        <x:v>Not checked</x:v>
      </x:c>
      <x:c r="J471" s="22" t="str">
        <x:v>Saved bookmark metadata only</x:v>
      </x:c>
      <x:c r="K471" s="22" t="str"/>
      <x:c r="L471" s="24" t="str"/>
      <x:c r="M471" s="24" t="str">
        <x:v>https://app.truthnest.com/</x:v>
      </x:c>
      <x:c r="N471" s="22" t="str">
        <x:v>286644951</x:v>
      </x:c>
      <x:c r="O471" s="22" t="n">
        <x:v>1020</x:v>
      </x:c>
      <x:c r="P471" s="22" t="n">
        <x:v>32</x:v>
      </x:c>
      <x:c r="Q471" s="22" t="str"/>
      <x:c r="R471" s="22" t="n">
        <x:f>COUNTIF($M$6:$M$1177,M471)</x:f>
        <x:v>1</x:v>
      </x:c>
      <x:c r="S471" s="22" t="str">
        <x:v>Supporting discovery</x:v>
      </x:c>
      <x:c r="T471" s="22" t="str">
        <x:v>Low</x:v>
      </x:c>
    </x:row>
    <x:row r="472" ht="54" customHeight="1">
      <x:c r="A472" s="22" t="n">
        <x:v>467</x:v>
      </x:c>
      <x:c r="B472" s="22" t="str">
        <x:v>getdaytrends</x:v>
      </x:c>
      <x:c r="C472" s="43" t="str">
        <x:v>C-P</x:v>
      </x:c>
      <x:c r="D472" s="22" t="str">
        <x:v>Provisional</x:v>
      </x:c>
      <x:c r="E472" s="22" t="str">
        <x:v>TWITTER</x:v>
      </x:c>
      <x:c r="F472" s="22" t="str">
        <x:v>Twitter/X content / account discovery</x:v>
      </x:c>
      <x:c r="G472" s="22" t="str">
        <x:v>Provisional ceiling from saved search/discovery context only. Verify the original page, account attribution and date; no result accuracy test.</x:v>
      </x:c>
      <x:c r="H472" s="22" t="str">
        <x:v>Lead only; inspect original content before attribution</x:v>
      </x:c>
      <x:c r="I472" s="22" t="str">
        <x:v>Not checked</x:v>
      </x:c>
      <x:c r="J472" s="22" t="str">
        <x:v>Saved bookmark metadata only</x:v>
      </x:c>
      <x:c r="K472" s="22" t="str"/>
      <x:c r="L472" s="24" t="str"/>
      <x:c r="M472" s="24" t="str">
        <x:v>https://getdaytrends.com/</x:v>
      </x:c>
      <x:c r="N472" s="22" t="str">
        <x:v>286644954</x:v>
      </x:c>
      <x:c r="O472" s="22" t="n">
        <x:v>1020</x:v>
      </x:c>
      <x:c r="P472" s="22" t="n">
        <x:v>33</x:v>
      </x:c>
      <x:c r="Q472" s="22" t="str"/>
      <x:c r="R472" s="22" t="n">
        <x:f>COUNTIF($M$6:$M$1177,M472)</x:f>
        <x:v>1</x:v>
      </x:c>
      <x:c r="S472" s="22" t="str">
        <x:v>Supporting discovery</x:v>
      </x:c>
      <x:c r="T472" s="22" t="str">
        <x:v>Low</x:v>
      </x:c>
    </x:row>
    <x:row r="473" ht="54" customHeight="1">
      <x:c r="A473" s="22" t="n">
        <x:v>468</x:v>
      </x:c>
      <x:c r="B473" s="22" t="str">
        <x:v>Twitter Trending Hashtags and Topics</x:v>
      </x:c>
      <x:c r="C473" s="43" t="str">
        <x:v>C-P</x:v>
      </x:c>
      <x:c r="D473" s="22" t="str">
        <x:v>Provisional</x:v>
      </x:c>
      <x:c r="E473" s="22" t="str">
        <x:v>TWITTER</x:v>
      </x:c>
      <x:c r="F473" s="22" t="str">
        <x:v>Twitter/X content / account discovery</x:v>
      </x:c>
      <x:c r="G473" s="22" t="str">
        <x:v>Provisional ceiling from saved search/discovery context only. Verify the original page, account attribution and date; no result accuracy test.</x:v>
      </x:c>
      <x:c r="H473" s="22" t="str">
        <x:v>Lead only; inspect original content before attribution</x:v>
      </x:c>
      <x:c r="I473" s="22" t="str">
        <x:v>Not checked</x:v>
      </x:c>
      <x:c r="J473" s="22" t="str">
        <x:v>Saved bookmark metadata only</x:v>
      </x:c>
      <x:c r="K473" s="22" t="str"/>
      <x:c r="L473" s="24" t="str"/>
      <x:c r="M473" s="24" t="str">
        <x:v>https://www.trendsmap.com/</x:v>
      </x:c>
      <x:c r="N473" s="22" t="str">
        <x:v>268404711</x:v>
      </x:c>
      <x:c r="O473" s="22" t="n">
        <x:v>1020</x:v>
      </x:c>
      <x:c r="P473" s="22" t="n">
        <x:v>34</x:v>
      </x:c>
      <x:c r="Q473" s="22" t="str"/>
      <x:c r="R473" s="22" t="n">
        <x:f>COUNTIF($M$6:$M$1177,M473)</x:f>
        <x:v>1</x:v>
      </x:c>
      <x:c r="S473" s="22" t="str">
        <x:v>Supporting discovery</x:v>
      </x:c>
      <x:c r="T473" s="22" t="str">
        <x:v>Low</x:v>
      </x:c>
    </x:row>
    <x:row r="474" ht="54" customHeight="1">
      <x:c r="A474" s="22" t="n">
        <x:v>469</x:v>
      </x:c>
      <x:c r="B474" s="22" t="str">
        <x:v>Socialbearing</x:v>
      </x:c>
      <x:c r="C474" s="43" t="str">
        <x:v>C-P</x:v>
      </x:c>
      <x:c r="D474" s="22" t="str">
        <x:v>Provisional</x:v>
      </x:c>
      <x:c r="E474" s="22" t="str">
        <x:v>TWITTER</x:v>
      </x:c>
      <x:c r="F474" s="22" t="str">
        <x:v>Twitter/X content / account discovery</x:v>
      </x:c>
      <x:c r="G474" s="22" t="str">
        <x:v>Provisional ceiling from saved search/discovery context only. Verify the original page, account attribution and date; no result accuracy test.</x:v>
      </x:c>
      <x:c r="H474" s="22" t="str">
        <x:v>Lead only; inspect original content before attribution</x:v>
      </x:c>
      <x:c r="I474" s="22" t="str">
        <x:v>Not checked</x:v>
      </x:c>
      <x:c r="J474" s="22" t="str">
        <x:v>Saved bookmark metadata only</x:v>
      </x:c>
      <x:c r="K474" s="22" t="str"/>
      <x:c r="L474" s="24" t="str"/>
      <x:c r="M474" s="24" t="str">
        <x:v>https://socialbearing.com/</x:v>
      </x:c>
      <x:c r="N474" s="22" t="str">
        <x:v>268404715</x:v>
      </x:c>
      <x:c r="O474" s="22" t="n">
        <x:v>1020</x:v>
      </x:c>
      <x:c r="P474" s="22" t="n">
        <x:v>35</x:v>
      </x:c>
      <x:c r="Q474" s="22" t="str"/>
      <x:c r="R474" s="22" t="n">
        <x:f>COUNTIF($M$6:$M$1177,M474)</x:f>
        <x:v>1</x:v>
      </x:c>
      <x:c r="S474" s="22" t="str">
        <x:v>Supporting discovery</x:v>
      </x:c>
      <x:c r="T474" s="22" t="str">
        <x:v>Low</x:v>
      </x:c>
    </x:row>
    <x:row r="475" ht="54" customHeight="1">
      <x:c r="A475" s="22" t="n">
        <x:v>470</x:v>
      </x:c>
      <x:c r="B475" s="22" t="str">
        <x:v>Twiangulate: analyzing the connections between friends and followers</x:v>
      </x:c>
      <x:c r="C475" s="43" t="str">
        <x:v>C-P</x:v>
      </x:c>
      <x:c r="D475" s="22" t="str">
        <x:v>Provisional</x:v>
      </x:c>
      <x:c r="E475" s="22" t="str">
        <x:v>TWITTER</x:v>
      </x:c>
      <x:c r="F475" s="22" t="str">
        <x:v>Twitter/X content / account discovery</x:v>
      </x:c>
      <x:c r="G475" s="22" t="str">
        <x:v>Provisional ceiling from saved search/discovery context only. Verify the original page, account attribution and date; no result accuracy test.</x:v>
      </x:c>
      <x:c r="H475" s="22" t="str">
        <x:v>Lead only; inspect original content before attribution</x:v>
      </x:c>
      <x:c r="I475" s="22" t="str">
        <x:v>Not checked</x:v>
      </x:c>
      <x:c r="J475" s="22" t="str">
        <x:v>Saved bookmark metadata only</x:v>
      </x:c>
      <x:c r="K475" s="22" t="str"/>
      <x:c r="L475" s="24" t="str"/>
      <x:c r="M475" s="24" t="str">
        <x:v>http://twiangulate.com/search/</x:v>
      </x:c>
      <x:c r="N475" s="22" t="str">
        <x:v>268404761</x:v>
      </x:c>
      <x:c r="O475" s="22" t="n">
        <x:v>1020</x:v>
      </x:c>
      <x:c r="P475" s="22" t="n">
        <x:v>36</x:v>
      </x:c>
      <x:c r="Q475" s="22" t="str"/>
      <x:c r="R475" s="22" t="n">
        <x:f>COUNTIF($M$6:$M$1177,M475)</x:f>
        <x:v>1</x:v>
      </x:c>
      <x:c r="S475" s="22" t="str">
        <x:v>Supporting discovery</x:v>
      </x:c>
      <x:c r="T475" s="22" t="str">
        <x:v>Low</x:v>
      </x:c>
    </x:row>
    <x:row r="476" ht="54" customHeight="1">
      <x:c r="A476" s="22" t="n">
        <x:v>471</x:v>
      </x:c>
      <x:c r="B476" s="22" t="str">
        <x:v>First Tweet</x:v>
      </x:c>
      <x:c r="C476" s="43" t="str">
        <x:v>C-P</x:v>
      </x:c>
      <x:c r="D476" s="22" t="str">
        <x:v>Provisional</x:v>
      </x:c>
      <x:c r="E476" s="22" t="str">
        <x:v>TWITTER</x:v>
      </x:c>
      <x:c r="F476" s="22" t="str">
        <x:v>Twitter/X content / account discovery</x:v>
      </x:c>
      <x:c r="G476" s="22" t="str">
        <x:v>Provisional ceiling from saved search/discovery context only. Verify the original page, account attribution and date; no result accuracy test.</x:v>
      </x:c>
      <x:c r="H476" s="22" t="str">
        <x:v>Lead only; inspect original content before attribution</x:v>
      </x:c>
      <x:c r="I476" s="22" t="str">
        <x:v>Not checked</x:v>
      </x:c>
      <x:c r="J476" s="22" t="str">
        <x:v>Saved bookmark metadata only</x:v>
      </x:c>
      <x:c r="K476" s="22" t="str"/>
      <x:c r="L476" s="24" t="str"/>
      <x:c r="M476" s="24" t="str">
        <x:v>http://ctrlq.org/first/</x:v>
      </x:c>
      <x:c r="N476" s="22" t="str">
        <x:v>268404763</x:v>
      </x:c>
      <x:c r="O476" s="22" t="n">
        <x:v>1020</x:v>
      </x:c>
      <x:c r="P476" s="22" t="n">
        <x:v>37</x:v>
      </x:c>
      <x:c r="Q476" s="22" t="str"/>
      <x:c r="R476" s="22" t="n">
        <x:f>COUNTIF($M$6:$M$1177,M476)</x:f>
        <x:v>1</x:v>
      </x:c>
      <x:c r="S476" s="22" t="str">
        <x:v>Supporting discovery</x:v>
      </x:c>
      <x:c r="T476" s="22" t="str">
        <x:v>Low</x:v>
      </x:c>
    </x:row>
    <x:row r="477" ht="54" customHeight="1">
      <x:c r="A477" s="22" t="n">
        <x:v>472</x:v>
      </x:c>
      <x:c r="B477" s="22" t="str">
        <x:v>Twittertrails.com</x:v>
      </x:c>
      <x:c r="C477" s="43" t="str">
        <x:v>C-P</x:v>
      </x:c>
      <x:c r="D477" s="22" t="str">
        <x:v>Provisional</x:v>
      </x:c>
      <x:c r="E477" s="22" t="str">
        <x:v>TWITTER</x:v>
      </x:c>
      <x:c r="F477" s="22" t="str">
        <x:v>Twitter/X content / account discovery</x:v>
      </x:c>
      <x:c r="G477" s="22" t="str">
        <x:v>Provisional ceiling from saved search/discovery context only. Verify the original page, account attribution and date; no result accuracy test.</x:v>
      </x:c>
      <x:c r="H477" s="22" t="str">
        <x:v>Lead only; inspect original content before attribution</x:v>
      </x:c>
      <x:c r="I477" s="22" t="str">
        <x:v>Not checked</x:v>
      </x:c>
      <x:c r="J477" s="22" t="str">
        <x:v>Saved bookmark metadata only</x:v>
      </x:c>
      <x:c r="K477" s="22" t="str"/>
      <x:c r="L477" s="24" t="str"/>
      <x:c r="M477" s="24" t="str">
        <x:v>http://twittertrails.com/</x:v>
      </x:c>
      <x:c r="N477" s="22" t="str">
        <x:v>297339799</x:v>
      </x:c>
      <x:c r="O477" s="22" t="n">
        <x:v>1020</x:v>
      </x:c>
      <x:c r="P477" s="22" t="n">
        <x:v>38</x:v>
      </x:c>
      <x:c r="Q477" s="22" t="str"/>
      <x:c r="R477" s="22" t="n">
        <x:f>COUNTIF($M$6:$M$1177,M477)</x:f>
        <x:v>1</x:v>
      </x:c>
      <x:c r="S477" s="22" t="str">
        <x:v>Supporting discovery</x:v>
      </x:c>
      <x:c r="T477" s="22" t="str">
        <x:v>Low</x:v>
      </x:c>
    </x:row>
    <x:row r="478" ht="54" customHeight="1">
      <x:c r="A478" s="22" t="n">
        <x:v>473</x:v>
      </x:c>
      <x:c r="B478" s="22" t="str">
        <x:v>Download and Export Twitter Followers into Excel for Free</x:v>
      </x:c>
      <x:c r="C478" s="43" t="str">
        <x:v>C-P</x:v>
      </x:c>
      <x:c r="D478" s="22" t="str">
        <x:v>Provisional</x:v>
      </x:c>
      <x:c r="E478" s="22" t="str">
        <x:v>TWITTER</x:v>
      </x:c>
      <x:c r="F478" s="22" t="str">
        <x:v>Twitter/X content / account discovery</x:v>
      </x:c>
      <x:c r="G478" s="22" t="str">
        <x:v>Provisional ceiling from saved search/discovery context only. Verify the original page, account attribution and date; no result accuracy test.</x:v>
      </x:c>
      <x:c r="H478" s="22" t="str">
        <x:v>Lead only; inspect original content before attribution</x:v>
      </x:c>
      <x:c r="I478" s="22" t="str">
        <x:v>Not checked</x:v>
      </x:c>
      <x:c r="J478" s="22" t="str">
        <x:v>Saved bookmark metadata only</x:v>
      </x:c>
      <x:c r="K478" s="22" t="str"/>
      <x:c r="L478" s="24" t="str"/>
      <x:c r="M478" s="24" t="str">
        <x:v>https://www.vicinitas.io/free-tools/download-twitter-followers</x:v>
      </x:c>
      <x:c r="N478" s="22" t="str">
        <x:v>286644817</x:v>
      </x:c>
      <x:c r="O478" s="22" t="n">
        <x:v>1020</x:v>
      </x:c>
      <x:c r="P478" s="22" t="n">
        <x:v>39</x:v>
      </x:c>
      <x:c r="Q478" s="22" t="str"/>
      <x:c r="R478" s="22" t="n">
        <x:f>COUNTIF($M$6:$M$1177,M478)</x:f>
        <x:v>1</x:v>
      </x:c>
      <x:c r="S478" s="22" t="str">
        <x:v>Supporting discovery</x:v>
      </x:c>
      <x:c r="T478" s="22" t="str">
        <x:v>Low</x:v>
      </x:c>
    </x:row>
    <x:row r="479" ht="54" customHeight="1">
      <x:c r="A479" s="22" t="n">
        <x:v>474</x:v>
      </x:c>
      <x:c r="B479" s="22" t="str">
        <x:v>Simplescraper OSINT</x:v>
      </x:c>
      <x:c r="C479" s="43" t="str">
        <x:v>C-P</x:v>
      </x:c>
      <x:c r="D479" s="22" t="str">
        <x:v>Provisional</x:v>
      </x:c>
      <x:c r="E479" s="22" t="str">
        <x:v>TWITTER</x:v>
      </x:c>
      <x:c r="F479" s="22" t="str">
        <x:v>Twitter/X content / account discovery</x:v>
      </x:c>
      <x:c r="G479" s="22" t="str">
        <x:v>Provisional ceiling from saved search/discovery context only. Verify the original page, account attribution and date; no result accuracy test.</x:v>
      </x:c>
      <x:c r="H479" s="22" t="str">
        <x:v>Lead only; inspect original content before attribution</x:v>
      </x:c>
      <x:c r="I479" s="22" t="str">
        <x:v>Not checked</x:v>
      </x:c>
      <x:c r="J479" s="22" t="str">
        <x:v>Saved bookmark metadata only</x:v>
      </x:c>
      <x:c r="K479" s="22" t="str"/>
      <x:c r="L479" s="24" t="str"/>
      <x:c r="M479" s="24" t="str">
        <x:v>https://airtable.com/shrceHfvukijgln9q/</x:v>
      </x:c>
      <x:c r="N479" s="22" t="str">
        <x:v>318586755</x:v>
      </x:c>
      <x:c r="O479" s="22" t="n">
        <x:v>1020</x:v>
      </x:c>
      <x:c r="P479" s="22" t="n">
        <x:v>40</x:v>
      </x:c>
      <x:c r="Q479" s="22" t="str"/>
      <x:c r="R479" s="22" t="n">
        <x:f>COUNTIF($M$6:$M$1177,M479)</x:f>
        <x:v>1</x:v>
      </x:c>
      <x:c r="S479" s="22" t="str">
        <x:v>Supporting discovery</x:v>
      </x:c>
      <x:c r="T479" s="22" t="str">
        <x:v>Low</x:v>
      </x:c>
    </x:row>
    <x:row r="480" ht="54" customHeight="1">
      <x:c r="A480" s="22" t="n">
        <x:v>475</x:v>
      </x:c>
      <x:c r="B480" s="22" t="str">
        <x:v>Invidious Instances</x:v>
      </x:c>
      <x:c r="C480" s="43" t="str">
        <x:v>C-P</x:v>
      </x:c>
      <x:c r="D480" s="22" t="str">
        <x:v>Provisional</x:v>
      </x:c>
      <x:c r="E480" s="22" t="str">
        <x:v>YOUTUBE</x:v>
      </x:c>
      <x:c r="F480" s="22" t="str">
        <x:v>Video and channel discovery</x:v>
      </x:c>
      <x:c r="G480" s="22" t="str">
        <x:v>Provisional ceiling from saved search/discovery context only. Verify the original page, account attribution and date; no result accuracy test.</x:v>
      </x:c>
      <x:c r="H480" s="22" t="str">
        <x:v>Lead only; inspect original content before attribution</x:v>
      </x:c>
      <x:c r="I480" s="22" t="str">
        <x:v>Not checked</x:v>
      </x:c>
      <x:c r="J480" s="22" t="str">
        <x:v>Saved bookmark metadata only</x:v>
      </x:c>
      <x:c r="K480" s="22" t="str"/>
      <x:c r="L480" s="24" t="str"/>
      <x:c r="M480" s="24" t="str">
        <x:v>https://docs.invidious.io/instances/</x:v>
      </x:c>
      <x:c r="N480" s="22" t="str">
        <x:v>311645155</x:v>
      </x:c>
      <x:c r="O480" s="22" t="n">
        <x:v>1020</x:v>
      </x:c>
      <x:c r="P480" s="22" t="n">
        <x:v>1</x:v>
      </x:c>
      <x:c r="Q480" s="22" t="str"/>
      <x:c r="R480" s="22" t="n">
        <x:f>COUNTIF($M$6:$M$1177,M480)</x:f>
        <x:v>1</x:v>
      </x:c>
      <x:c r="S480" s="22" t="str">
        <x:v>Supporting discovery</x:v>
      </x:c>
      <x:c r="T480" s="22" t="str">
        <x:v>Low</x:v>
      </x:c>
    </x:row>
    <x:row r="481" ht="54" customHeight="1">
      <x:c r="A481" s="22" t="n">
        <x:v>476</x:v>
      </x:c>
      <x:c r="B481" s="22" t="str">
        <x:v>YouTube video upload time</x:v>
      </x:c>
      <x:c r="C481" s="43" t="str">
        <x:v>C-P</x:v>
      </x:c>
      <x:c r="D481" s="22" t="str">
        <x:v>Provisional</x:v>
      </x:c>
      <x:c r="E481" s="22" t="str">
        <x:v>YOUTUBE</x:v>
      </x:c>
      <x:c r="F481" s="22" t="str">
        <x:v>Video and channel discovery</x:v>
      </x:c>
      <x:c r="G481" s="22" t="str">
        <x:v>Provisional ceiling from saved search/discovery context only. Verify the original page, account attribution and date; no result accuracy test.</x:v>
      </x:c>
      <x:c r="H481" s="22" t="str">
        <x:v>Lead only; inspect original content before attribution</x:v>
      </x:c>
      <x:c r="I481" s="22" t="str">
        <x:v>Not checked</x:v>
      </x:c>
      <x:c r="J481" s="22" t="str">
        <x:v>Saved bookmark metadata only</x:v>
      </x:c>
      <x:c r="K481" s="22" t="str"/>
      <x:c r="L481" s="24" t="str"/>
      <x:c r="M481" s="24" t="str">
        <x:v>https://www.aware-online.com/en/osint-tutorials/youtube-video-upload-time/</x:v>
      </x:c>
      <x:c r="N481" s="22" t="str">
        <x:v>268503799</x:v>
      </x:c>
      <x:c r="O481" s="22" t="n">
        <x:v>1020</x:v>
      </x:c>
      <x:c r="P481" s="22" t="n">
        <x:v>2</x:v>
      </x:c>
      <x:c r="Q481" s="22" t="str"/>
      <x:c r="R481" s="22" t="n">
        <x:f>COUNTIF($M$6:$M$1177,M481)</x:f>
        <x:v>1</x:v>
      </x:c>
      <x:c r="S481" s="22" t="str">
        <x:v>Supporting discovery</x:v>
      </x:c>
      <x:c r="T481" s="22" t="str">
        <x:v>Low</x:v>
      </x:c>
    </x:row>
    <x:row r="482" ht="54" customHeight="1">
      <x:c r="A482" s="22" t="n">
        <x:v>477</x:v>
      </x:c>
      <x:c r="B482" s="22" t="str">
        <x:v>yt-dlp</x:v>
      </x:c>
      <x:c r="C482" s="43" t="str">
        <x:v>C-P</x:v>
      </x:c>
      <x:c r="D482" s="22" t="str">
        <x:v>Provisional</x:v>
      </x:c>
      <x:c r="E482" s="22" t="str">
        <x:v>YOUTUBE</x:v>
      </x:c>
      <x:c r="F482" s="22" t="str">
        <x:v>Video and channel discovery</x:v>
      </x:c>
      <x:c r="G482" s="22" t="str">
        <x:v>Provisional ceiling from saved search/discovery context only. Verify the original page, account attribution and date; no result accuracy test.</x:v>
      </x:c>
      <x:c r="H482" s="22" t="str">
        <x:v>Lead only; inspect original content before attribution</x:v>
      </x:c>
      <x:c r="I482" s="22" t="str">
        <x:v>Not checked</x:v>
      </x:c>
      <x:c r="J482" s="22" t="str">
        <x:v>Saved bookmark metadata only</x:v>
      </x:c>
      <x:c r="K482" s="22" t="str"/>
      <x:c r="L482" s="24" t="str"/>
      <x:c r="M482" s="24" t="str">
        <x:v>https://pypi.org/project/yt-dlp/</x:v>
      </x:c>
      <x:c r="N482" s="22" t="str">
        <x:v>297340927</x:v>
      </x:c>
      <x:c r="O482" s="22" t="n">
        <x:v>1020</x:v>
      </x:c>
      <x:c r="P482" s="22" t="n">
        <x:v>3</x:v>
      </x:c>
      <x:c r="Q482" s="22" t="str"/>
      <x:c r="R482" s="22" t="n">
        <x:f>COUNTIF($M$6:$M$1177,M482)</x:f>
        <x:v>1</x:v>
      </x:c>
      <x:c r="S482" s="22" t="str">
        <x:v>Supporting discovery</x:v>
      </x:c>
      <x:c r="T482" s="22" t="str">
        <x:v>Low</x:v>
      </x:c>
    </x:row>
    <x:row r="483" ht="54" customHeight="1">
      <x:c r="A483" s="22" t="n">
        <x:v>478</x:v>
      </x:c>
      <x:c r="B483" s="22" t="str">
        <x:v>youtube-dl</x:v>
      </x:c>
      <x:c r="C483" s="43" t="str">
        <x:v>C-P</x:v>
      </x:c>
      <x:c r="D483" s="22" t="str">
        <x:v>Provisional</x:v>
      </x:c>
      <x:c r="E483" s="22" t="str">
        <x:v>YOUTUBE</x:v>
      </x:c>
      <x:c r="F483" s="22" t="str">
        <x:v>Video and channel discovery</x:v>
      </x:c>
      <x:c r="G483" s="22" t="str">
        <x:v>Provisional ceiling from saved search/discovery context only. Verify the original page, account attribution and date; no result accuracy test.</x:v>
      </x:c>
      <x:c r="H483" s="22" t="str">
        <x:v>Lead only; inspect original content before attribution</x:v>
      </x:c>
      <x:c r="I483" s="22" t="str">
        <x:v>Not checked</x:v>
      </x:c>
      <x:c r="J483" s="22" t="str">
        <x:v>Saved bookmark metadata only</x:v>
      </x:c>
      <x:c r="K483" s="22" t="str"/>
      <x:c r="L483" s="24" t="str"/>
      <x:c r="M483" s="24" t="str">
        <x:v>https://ytdl.actionsack.com/</x:v>
      </x:c>
      <x:c r="N483" s="22" t="str">
        <x:v>304994981</x:v>
      </x:c>
      <x:c r="O483" s="22" t="n">
        <x:v>1020</x:v>
      </x:c>
      <x:c r="P483" s="22" t="n">
        <x:v>4</x:v>
      </x:c>
      <x:c r="Q483" s="22" t="str"/>
      <x:c r="R483" s="22" t="n">
        <x:f>COUNTIF($M$6:$M$1177,M483)</x:f>
        <x:v>1</x:v>
      </x:c>
      <x:c r="S483" s="22" t="str">
        <x:v>Supporting discovery</x:v>
      </x:c>
      <x:c r="T483" s="22" t="str">
        <x:v>Low</x:v>
      </x:c>
    </x:row>
    <x:row r="484" ht="54" customHeight="1">
      <x:c r="A484" s="22" t="n">
        <x:v>479</x:v>
      </x:c>
      <x:c r="B484" s="22" t="str">
        <x:v>Location Search</x:v>
      </x:c>
      <x:c r="C484" s="43" t="str">
        <x:v>C-P</x:v>
      </x:c>
      <x:c r="D484" s="22" t="str">
        <x:v>Provisional</x:v>
      </x:c>
      <x:c r="E484" s="22" t="str">
        <x:v>YOUTUBE</x:v>
      </x:c>
      <x:c r="F484" s="22" t="str">
        <x:v>Video and channel discovery</x:v>
      </x:c>
      <x:c r="G484" s="22" t="str">
        <x:v>Provisional ceiling from saved search/discovery context only. Verify the original page, account attribution and date; no result accuracy test.</x:v>
      </x:c>
      <x:c r="H484" s="22" t="str">
        <x:v>Lead only; inspect original content before attribution</x:v>
      </x:c>
      <x:c r="I484" s="22" t="str">
        <x:v>Not checked</x:v>
      </x:c>
      <x:c r="J484" s="22" t="str">
        <x:v>Saved bookmark metadata only</x:v>
      </x:c>
      <x:c r="K484" s="22" t="str"/>
      <x:c r="L484" s="24" t="str"/>
      <x:c r="M484" s="24" t="str">
        <x:v>https://mattw.io/youtube-geofind/location</x:v>
      </x:c>
      <x:c r="N484" s="22" t="str">
        <x:v>286823815</x:v>
      </x:c>
      <x:c r="O484" s="22" t="n">
        <x:v>1020</x:v>
      </x:c>
      <x:c r="P484" s="22" t="n">
        <x:v>5</x:v>
      </x:c>
      <x:c r="Q484" s="22" t="str"/>
      <x:c r="R484" s="22" t="n">
        <x:f>COUNTIF($M$6:$M$1177,M484)</x:f>
        <x:v>1</x:v>
      </x:c>
      <x:c r="S484" s="22" t="str">
        <x:v>Supporting discovery</x:v>
      </x:c>
      <x:c r="T484" s="22" t="str">
        <x:v>Low</x:v>
      </x:c>
    </x:row>
    <x:row r="485" ht="54" customHeight="1">
      <x:c r="A485" s="22" t="n">
        <x:v>480</x:v>
      </x:c>
      <x:c r="B485" s="22" t="str">
        <x:v>YouTube Metadata Bulk</x:v>
      </x:c>
      <x:c r="C485" s="43" t="str">
        <x:v>C-P</x:v>
      </x:c>
      <x:c r="D485" s="22" t="str">
        <x:v>Provisional</x:v>
      </x:c>
      <x:c r="E485" s="22" t="str">
        <x:v>YOUTUBE</x:v>
      </x:c>
      <x:c r="F485" s="22" t="str">
        <x:v>Video and channel discovery</x:v>
      </x:c>
      <x:c r="G485" s="22" t="str">
        <x:v>Provisional ceiling from saved search/discovery context only. Verify the original page, account attribution and date; no result accuracy test.</x:v>
      </x:c>
      <x:c r="H485" s="22" t="str">
        <x:v>Lead only; inspect original content before attribution</x:v>
      </x:c>
      <x:c r="I485" s="22" t="str">
        <x:v>Not checked</x:v>
      </x:c>
      <x:c r="J485" s="22" t="str">
        <x:v>Saved bookmark metadata only</x:v>
      </x:c>
      <x:c r="K485" s="22" t="str"/>
      <x:c r="L485" s="24" t="str"/>
      <x:c r="M485" s="24" t="str">
        <x:v>https://mattw.io/youtube-metadata/bulk</x:v>
      </x:c>
      <x:c r="N485" s="22" t="str">
        <x:v>291436019</x:v>
      </x:c>
      <x:c r="O485" s="22" t="n">
        <x:v>1020</x:v>
      </x:c>
      <x:c r="P485" s="22" t="n">
        <x:v>6</x:v>
      </x:c>
      <x:c r="Q485" s="22" t="str"/>
      <x:c r="R485" s="22" t="n">
        <x:f>COUNTIF($M$6:$M$1177,M485)</x:f>
        <x:v>1</x:v>
      </x:c>
      <x:c r="S485" s="22" t="str">
        <x:v>Supporting discovery</x:v>
      </x:c>
      <x:c r="T485" s="22" t="str">
        <x:v>Low</x:v>
      </x:c>
    </x:row>
    <x:row r="486" ht="54" customHeight="1">
      <x:c r="A486" s="22" t="n">
        <x:v>481</x:v>
      </x:c>
      <x:c r="B486" s="22" t="str">
        <x:v>Hadzy.com</x:v>
      </x:c>
      <x:c r="C486" s="43" t="str">
        <x:v>C-P</x:v>
      </x:c>
      <x:c r="D486" s="22" t="str">
        <x:v>Provisional</x:v>
      </x:c>
      <x:c r="E486" s="22" t="str">
        <x:v>YOUTUBE</x:v>
      </x:c>
      <x:c r="F486" s="22" t="str">
        <x:v>Video and channel discovery</x:v>
      </x:c>
      <x:c r="G486" s="22" t="str">
        <x:v>Provisional ceiling from saved search/discovery context only. Verify the original page, account attribution and date; no result accuracy test.</x:v>
      </x:c>
      <x:c r="H486" s="22" t="str">
        <x:v>Lead only; inspect original content before attribution</x:v>
      </x:c>
      <x:c r="I486" s="22" t="str">
        <x:v>Not checked</x:v>
      </x:c>
      <x:c r="J486" s="22" t="str">
        <x:v>Saved bookmark metadata only</x:v>
      </x:c>
      <x:c r="K486" s="22" t="str"/>
      <x:c r="L486" s="24" t="str"/>
      <x:c r="M486" s="24" t="str">
        <x:v>https://hadzy.com/</x:v>
      </x:c>
      <x:c r="N486" s="22" t="str">
        <x:v>286644663</x:v>
      </x:c>
      <x:c r="O486" s="22" t="n">
        <x:v>1020</x:v>
      </x:c>
      <x:c r="P486" s="22" t="n">
        <x:v>7</x:v>
      </x:c>
      <x:c r="Q486" s="22" t="str"/>
      <x:c r="R486" s="22" t="n">
        <x:f>COUNTIF($M$6:$M$1177,M486)</x:f>
        <x:v>1</x:v>
      </x:c>
      <x:c r="S486" s="22" t="str">
        <x:v>Supporting discovery</x:v>
      </x:c>
      <x:c r="T486" s="22" t="str">
        <x:v>Low</x:v>
      </x:c>
    </x:row>
    <x:row r="487" ht="54" customHeight="1">
      <x:c r="A487" s="22" t="n">
        <x:v>482</x:v>
      </x:c>
      <x:c r="B487" s="22" t="str">
        <x:v>Youtube channel ID</x:v>
      </x:c>
      <x:c r="C487" s="43" t="str">
        <x:v>C-P</x:v>
      </x:c>
      <x:c r="D487" s="22" t="str">
        <x:v>Provisional</x:v>
      </x:c>
      <x:c r="E487" s="22" t="str">
        <x:v>YOUTUBE</x:v>
      </x:c>
      <x:c r="F487" s="22" t="str">
        <x:v>Video and channel discovery</x:v>
      </x:c>
      <x:c r="G487" s="22" t="str">
        <x:v>Provisional ceiling from saved search/discovery context only. Verify the original page, account attribution and date; no result accuracy test.</x:v>
      </x:c>
      <x:c r="H487" s="22" t="str">
        <x:v>Lead only; inspect original content before attribution</x:v>
      </x:c>
      <x:c r="I487" s="22" t="str">
        <x:v>Not checked</x:v>
      </x:c>
      <x:c r="J487" s="22" t="str">
        <x:v>Saved bookmark metadata only</x:v>
      </x:c>
      <x:c r="K487" s="22" t="str"/>
      <x:c r="L487" s="24" t="str"/>
      <x:c r="M487" s="24" t="str">
        <x:v>https://commentpicker.com/youtube-channel-id.php</x:v>
      </x:c>
      <x:c r="N487" s="22" t="str">
        <x:v>268406417</x:v>
      </x:c>
      <x:c r="O487" s="22" t="n">
        <x:v>1020</x:v>
      </x:c>
      <x:c r="P487" s="22" t="n">
        <x:v>8</x:v>
      </x:c>
      <x:c r="Q487" s="22" t="str"/>
      <x:c r="R487" s="22" t="n">
        <x:f>COUNTIF($M$6:$M$1177,M487)</x:f>
        <x:v>1</x:v>
      </x:c>
      <x:c r="S487" s="22" t="str">
        <x:v>Supporting discovery</x:v>
      </x:c>
      <x:c r="T487" s="22" t="str">
        <x:v>Low</x:v>
      </x:c>
    </x:row>
    <x:row r="488" ht="54" customHeight="1">
      <x:c r="A488" s="22" t="n">
        <x:v>483</x:v>
      </x:c>
      <x:c r="B488" s="22" t="str">
        <x:v>Extract Meta Data YouTube</x:v>
      </x:c>
      <x:c r="C488" s="43" t="str">
        <x:v>C-P</x:v>
      </x:c>
      <x:c r="D488" s="22" t="str">
        <x:v>Provisional</x:v>
      </x:c>
      <x:c r="E488" s="22" t="str">
        <x:v>YOUTUBE</x:v>
      </x:c>
      <x:c r="F488" s="22" t="str">
        <x:v>Video and channel discovery</x:v>
      </x:c>
      <x:c r="G488" s="22" t="str">
        <x:v>Provisional ceiling from saved search/discovery context only. Verify the original page, account attribution and date; no result accuracy test.</x:v>
      </x:c>
      <x:c r="H488" s="22" t="str">
        <x:v>Lead only; inspect original content before attribution</x:v>
      </x:c>
      <x:c r="I488" s="22" t="str">
        <x:v>Not checked</x:v>
      </x:c>
      <x:c r="J488" s="22" t="str">
        <x:v>Saved bookmark metadata only</x:v>
      </x:c>
      <x:c r="K488" s="22" t="str"/>
      <x:c r="L488" s="24" t="str"/>
      <x:c r="M488" s="24" t="str">
        <x:v>https://citizenevidence.amnestyusa.org/</x:v>
      </x:c>
      <x:c r="N488" s="22" t="str">
        <x:v>268405912</x:v>
      </x:c>
      <x:c r="O488" s="22" t="n">
        <x:v>1020</x:v>
      </x:c>
      <x:c r="P488" s="22" t="n">
        <x:v>9</x:v>
      </x:c>
      <x:c r="Q488" s="22" t="str"/>
      <x:c r="R488" s="22" t="n">
        <x:f>COUNTIF($M$6:$M$1177,M488)</x:f>
        <x:v>1</x:v>
      </x:c>
      <x:c r="S488" s="22" t="str">
        <x:v>Supporting discovery</x:v>
      </x:c>
      <x:c r="T488" s="22" t="str">
        <x:v>Low</x:v>
      </x:c>
    </x:row>
    <x:row r="489" ht="54" customHeight="1">
      <x:c r="A489" s="22" t="n">
        <x:v>484</x:v>
      </x:c>
      <x:c r="B489" s="22" t="str">
        <x:v>Youtube Geo Search Tool</x:v>
      </x:c>
      <x:c r="C489" s="43" t="str">
        <x:v>C-P</x:v>
      </x:c>
      <x:c r="D489" s="22" t="str">
        <x:v>Provisional</x:v>
      </x:c>
      <x:c r="E489" s="22" t="str">
        <x:v>YOUTUBE</x:v>
      </x:c>
      <x:c r="F489" s="22" t="str">
        <x:v>Video and channel discovery</x:v>
      </x:c>
      <x:c r="G489" s="22" t="str">
        <x:v>Provisional ceiling from saved search/discovery context only. Verify the original page, account attribution and date; no result accuracy test.</x:v>
      </x:c>
      <x:c r="H489" s="22" t="str">
        <x:v>Lead only; inspect original content before attribution</x:v>
      </x:c>
      <x:c r="I489" s="22" t="str">
        <x:v>Not checked</x:v>
      </x:c>
      <x:c r="J489" s="22" t="str">
        <x:v>Saved bookmark metadata only</x:v>
      </x:c>
      <x:c r="K489" s="22" t="str"/>
      <x:c r="L489" s="24" t="str"/>
      <x:c r="M489" s="24" t="str">
        <x:v>https://youtube.github.io/geo-search-tool/search.html</x:v>
      </x:c>
      <x:c r="N489" s="22" t="str">
        <x:v>268405838</x:v>
      </x:c>
      <x:c r="O489" s="22" t="n">
        <x:v>1020</x:v>
      </x:c>
      <x:c r="P489" s="22" t="n">
        <x:v>10</x:v>
      </x:c>
      <x:c r="Q489" s="22" t="str"/>
      <x:c r="R489" s="22" t="n">
        <x:f>COUNTIF($M$6:$M$1177,M489)</x:f>
        <x:v>1</x:v>
      </x:c>
      <x:c r="S489" s="22" t="str">
        <x:v>Supporting discovery</x:v>
      </x:c>
      <x:c r="T489" s="22" t="str">
        <x:v>Low</x:v>
      </x:c>
    </x:row>
    <x:row r="490" ht="54" customHeight="1">
      <x:c r="A490" s="22" t="n">
        <x:v>485</x:v>
      </x:c>
      <x:c r="B490" s="22" t="str">
        <x:v>Youtube Channel Search</x:v>
      </x:c>
      <x:c r="C490" s="43" t="str">
        <x:v>C-P</x:v>
      </x:c>
      <x:c r="D490" s="22" t="str">
        <x:v>Provisional</x:v>
      </x:c>
      <x:c r="E490" s="22" t="str">
        <x:v>YOUTUBE</x:v>
      </x:c>
      <x:c r="F490" s="22" t="str">
        <x:v>Video and channel discovery</x:v>
      </x:c>
      <x:c r="G490" s="22" t="str">
        <x:v>Provisional ceiling from saved search/discovery context only. Verify the original page, account attribution and date; no result accuracy test.</x:v>
      </x:c>
      <x:c r="H490" s="22" t="str">
        <x:v>Lead only; inspect original content before attribution</x:v>
      </x:c>
      <x:c r="I490" s="22" t="str">
        <x:v>Not checked</x:v>
      </x:c>
      <x:c r="J490" s="22" t="str">
        <x:v>Saved bookmark metadata only</x:v>
      </x:c>
      <x:c r="K490" s="22" t="str"/>
      <x:c r="L490" s="24" t="str"/>
      <x:c r="M490" s="24" t="str">
        <x:v>https://asif633.github.io/youtube-channel-search/</x:v>
      </x:c>
      <x:c r="N490" s="22" t="str">
        <x:v>286013171</x:v>
      </x:c>
      <x:c r="O490" s="22" t="n">
        <x:v>1020</x:v>
      </x:c>
      <x:c r="P490" s="22" t="n">
        <x:v>11</x:v>
      </x:c>
      <x:c r="Q490" s="22" t="str"/>
      <x:c r="R490" s="22" t="n">
        <x:f>COUNTIF($M$6:$M$1177,M490)</x:f>
        <x:v>1</x:v>
      </x:c>
      <x:c r="S490" s="22" t="str">
        <x:v>Supporting discovery</x:v>
      </x:c>
      <x:c r="T490" s="22" t="str">
        <x:v>Low</x:v>
      </x:c>
    </x:row>
    <x:row r="491" ht="54" customHeight="1">
      <x:c r="A491" s="22" t="n">
        <x:v>486</x:v>
      </x:c>
      <x:c r="B491" s="22" t="str">
        <x:v>YouTube search tool</x:v>
      </x:c>
      <x:c r="C491" s="43" t="str">
        <x:v>C-P</x:v>
      </x:c>
      <x:c r="D491" s="22" t="str">
        <x:v>Provisional</x:v>
      </x:c>
      <x:c r="E491" s="22" t="str">
        <x:v>YOUTUBE</x:v>
      </x:c>
      <x:c r="F491" s="22" t="str">
        <x:v>Video and channel discovery</x:v>
      </x:c>
      <x:c r="G491" s="22" t="str">
        <x:v>Provisional ceiling from saved search/discovery context only. Verify the original page, account attribution and date; no result accuracy test.</x:v>
      </x:c>
      <x:c r="H491" s="22" t="str">
        <x:v>Lead only; inspect original content before attribution</x:v>
      </x:c>
      <x:c r="I491" s="22" t="str">
        <x:v>Not checked</x:v>
      </x:c>
      <x:c r="J491" s="22" t="str">
        <x:v>Saved bookmark metadata only</x:v>
      </x:c>
      <x:c r="K491" s="22" t="str"/>
      <x:c r="L491" s="24" t="str"/>
      <x:c r="M491" s="24" t="str">
        <x:v>https://www.aware-online.com/en/osint-tools/youtube-search-tool/</x:v>
      </x:c>
      <x:c r="N491" s="22" t="str">
        <x:v>268503608</x:v>
      </x:c>
      <x:c r="O491" s="22" t="n">
        <x:v>1020</x:v>
      </x:c>
      <x:c r="P491" s="22" t="n">
        <x:v>12</x:v>
      </x:c>
      <x:c r="Q491" s="22" t="str"/>
      <x:c r="R491" s="22" t="n">
        <x:f>COUNTIF($M$6:$M$1177,M491)</x:f>
        <x:v>1</x:v>
      </x:c>
      <x:c r="S491" s="22" t="str">
        <x:v>Supporting discovery</x:v>
      </x:c>
      <x:c r="T491" s="22" t="str">
        <x:v>Low</x:v>
      </x:c>
    </x:row>
    <x:row r="492" ht="54" customHeight="1">
      <x:c r="A492" s="22" t="n">
        <x:v>487</x:v>
      </x:c>
      <x:c r="B492" s="22" t="str">
        <x:v>Yout</x:v>
      </x:c>
      <x:c r="C492" s="43" t="str">
        <x:v>C-P</x:v>
      </x:c>
      <x:c r="D492" s="22" t="str">
        <x:v>Provisional</x:v>
      </x:c>
      <x:c r="E492" s="22" t="str">
        <x:v>YOUTUBE</x:v>
      </x:c>
      <x:c r="F492" s="22" t="str">
        <x:v>Video and channel discovery</x:v>
      </x:c>
      <x:c r="G492" s="22" t="str">
        <x:v>Provisional ceiling from saved search/discovery context only. Verify the original page, account attribution and date; no result accuracy test.</x:v>
      </x:c>
      <x:c r="H492" s="22" t="str">
        <x:v>Lead only; inspect original content before attribution</x:v>
      </x:c>
      <x:c r="I492" s="22" t="str">
        <x:v>Not checked</x:v>
      </x:c>
      <x:c r="J492" s="22" t="str">
        <x:v>Saved bookmark metadata only</x:v>
      </x:c>
      <x:c r="K492" s="22" t="str"/>
      <x:c r="L492" s="24" t="str"/>
      <x:c r="M492" s="24" t="str">
        <x:v>https://yout.com/</x:v>
      </x:c>
      <x:c r="N492" s="22" t="str">
        <x:v>268405962</x:v>
      </x:c>
      <x:c r="O492" s="22" t="n">
        <x:v>1020</x:v>
      </x:c>
      <x:c r="P492" s="22" t="n">
        <x:v>13</x:v>
      </x:c>
      <x:c r="Q492" s="22" t="str"/>
      <x:c r="R492" s="22" t="n">
        <x:f>COUNTIF($M$6:$M$1177,M492)</x:f>
        <x:v>1</x:v>
      </x:c>
      <x:c r="S492" s="22" t="str">
        <x:v>Supporting discovery</x:v>
      </x:c>
      <x:c r="T492" s="22" t="str">
        <x:v>Low</x:v>
      </x:c>
    </x:row>
    <x:row r="493" ht="54" customHeight="1">
      <x:c r="A493" s="22" t="n">
        <x:v>488</x:v>
      </x:c>
      <x:c r="B493" s="22" t="str">
        <x:v>YouTube Comment Finder</x:v>
      </x:c>
      <x:c r="C493" s="43" t="str">
        <x:v>C-P</x:v>
      </x:c>
      <x:c r="D493" s="22" t="str">
        <x:v>Provisional</x:v>
      </x:c>
      <x:c r="E493" s="22" t="str">
        <x:v>YOUTUBE</x:v>
      </x:c>
      <x:c r="F493" s="22" t="str">
        <x:v>Video and channel discovery</x:v>
      </x:c>
      <x:c r="G493" s="22" t="str">
        <x:v>Provisional ceiling from saved search/discovery context only. Verify the original page, account attribution and date; no result accuracy test.</x:v>
      </x:c>
      <x:c r="H493" s="22" t="str">
        <x:v>Lead only; inspect original content before attribution</x:v>
      </x:c>
      <x:c r="I493" s="22" t="str">
        <x:v>Not checked</x:v>
      </x:c>
      <x:c r="J493" s="22" t="str">
        <x:v>Saved bookmark metadata only</x:v>
      </x:c>
      <x:c r="K493" s="22" t="str"/>
      <x:c r="L493" s="24" t="str"/>
      <x:c r="M493" s="24" t="str">
        <x:v>https://ytcomment.kmcat.uk/</x:v>
      </x:c>
      <x:c r="N493" s="22" t="str">
        <x:v>286644661</x:v>
      </x:c>
      <x:c r="O493" s="22" t="n">
        <x:v>1020</x:v>
      </x:c>
      <x:c r="P493" s="22" t="n">
        <x:v>14</x:v>
      </x:c>
      <x:c r="Q493" s="22" t="str"/>
      <x:c r="R493" s="22" t="n">
        <x:f>COUNTIF($M$6:$M$1177,M493)</x:f>
        <x:v>1</x:v>
      </x:c>
      <x:c r="S493" s="22" t="str">
        <x:v>Supporting discovery</x:v>
      </x:c>
      <x:c r="T493" s="22" t="str">
        <x:v>Low</x:v>
      </x:c>
    </x:row>
    <x:row r="494" ht="54" customHeight="1">
      <x:c r="A494" s="22" t="n">
        <x:v>489</x:v>
      </x:c>
      <x:c r="B494" s="22" t="str">
        <x:v>Youtube, Periscope, Twitch &amp; Dailymotion</x:v>
      </x:c>
      <x:c r="C494" s="43" t="str">
        <x:v>C-P</x:v>
      </x:c>
      <x:c r="D494" s="22" t="str">
        <x:v>Provisional</x:v>
      </x:c>
      <x:c r="E494" s="22" t="str">
        <x:v>YOUTUBE</x:v>
      </x:c>
      <x:c r="F494" s="22" t="str">
        <x:v>Video and channel discovery</x:v>
      </x:c>
      <x:c r="G494" s="22" t="str">
        <x:v>Provisional ceiling from saved search/discovery context only. Verify the original page, account attribution and date; no result accuracy test.</x:v>
      </x:c>
      <x:c r="H494" s="22" t="str">
        <x:v>Lead only; inspect original content before attribution</x:v>
      </x:c>
      <x:c r="I494" s="22" t="str">
        <x:v>Not checked</x:v>
      </x:c>
      <x:c r="J494" s="22" t="str">
        <x:v>Saved bookmark metadata only</x:v>
      </x:c>
      <x:c r="K494" s="22" t="str"/>
      <x:c r="L494" s="24" t="str"/>
      <x:c r="M494" s="24" t="str">
        <x:v>https://one-plus.github.io/Youtube</x:v>
      </x:c>
      <x:c r="N494" s="22" t="str">
        <x:v>286013815</x:v>
      </x:c>
      <x:c r="O494" s="22" t="n">
        <x:v>1020</x:v>
      </x:c>
      <x:c r="P494" s="22" t="n">
        <x:v>15</x:v>
      </x:c>
      <x:c r="Q494" s="22" t="str"/>
      <x:c r="R494" s="22" t="n">
        <x:f>COUNTIF($M$6:$M$1177,M494)</x:f>
        <x:v>1</x:v>
      </x:c>
      <x:c r="S494" s="22" t="str">
        <x:v>Supporting discovery</x:v>
      </x:c>
      <x:c r="T494" s="22" t="str">
        <x:v>Low</x:v>
      </x:c>
    </x:row>
    <x:row r="495" ht="54" customHeight="1">
      <x:c r="A495" s="22" t="n">
        <x:v>490</x:v>
      </x:c>
      <x:c r="B495" s="22" t="str">
        <x:v>Unlistedvideos.com</x:v>
      </x:c>
      <x:c r="C495" s="43" t="str">
        <x:v>C-P</x:v>
      </x:c>
      <x:c r="D495" s="22" t="str">
        <x:v>Provisional</x:v>
      </x:c>
      <x:c r="E495" s="22" t="str">
        <x:v>YOUTUBE</x:v>
      </x:c>
      <x:c r="F495" s="22" t="str">
        <x:v>Video and channel discovery</x:v>
      </x:c>
      <x:c r="G495" s="22" t="str">
        <x:v>Provisional ceiling from saved search/discovery context only. Verify the original page, account attribution and date; no result accuracy test.</x:v>
      </x:c>
      <x:c r="H495" s="22" t="str">
        <x:v>Lead only; inspect original content before attribution</x:v>
      </x:c>
      <x:c r="I495" s="22" t="str">
        <x:v>Not checked</x:v>
      </x:c>
      <x:c r="J495" s="22" t="str">
        <x:v>Saved bookmark metadata only</x:v>
      </x:c>
      <x:c r="K495" s="22" t="str"/>
      <x:c r="L495" s="24" t="str"/>
      <x:c r="M495" s="24" t="str">
        <x:v>https://unlistedvideos.com/</x:v>
      </x:c>
      <x:c r="N495" s="22" t="str">
        <x:v>286644675</x:v>
      </x:c>
      <x:c r="O495" s="22" t="n">
        <x:v>1020</x:v>
      </x:c>
      <x:c r="P495" s="22" t="n">
        <x:v>16</x:v>
      </x:c>
      <x:c r="Q495" s="22" t="str"/>
      <x:c r="R495" s="22" t="n">
        <x:f>COUNTIF($M$6:$M$1177,M495)</x:f>
        <x:v>1</x:v>
      </x:c>
      <x:c r="S495" s="22" t="str">
        <x:v>Supporting discovery</x:v>
      </x:c>
      <x:c r="T495" s="22" t="str">
        <x:v>Low</x:v>
      </x:c>
    </x:row>
    <x:row r="496" ht="54" customHeight="1">
      <x:c r="A496" s="22" t="n">
        <x:v>491</x:v>
      </x:c>
      <x:c r="B496" s="22" t="str">
        <x:v>Youtube Comments Downloader</x:v>
      </x:c>
      <x:c r="C496" s="43" t="str">
        <x:v>C-P</x:v>
      </x:c>
      <x:c r="D496" s="22" t="str">
        <x:v>Provisional</x:v>
      </x:c>
      <x:c r="E496" s="22" t="str">
        <x:v>YOUTUBE</x:v>
      </x:c>
      <x:c r="F496" s="22" t="str">
        <x:v>Video and channel discovery</x:v>
      </x:c>
      <x:c r="G496" s="22" t="str">
        <x:v>Provisional ceiling from saved search/discovery context only. Verify the original page, account attribution and date; no result accuracy test.</x:v>
      </x:c>
      <x:c r="H496" s="22" t="str">
        <x:v>Lead only; inspect original content before attribution</x:v>
      </x:c>
      <x:c r="I496" s="22" t="str">
        <x:v>Not checked</x:v>
      </x:c>
      <x:c r="J496" s="22" t="str">
        <x:v>Saved bookmark metadata only</x:v>
      </x:c>
      <x:c r="K496" s="22" t="str"/>
      <x:c r="L496" s="24" t="str"/>
      <x:c r="M496" s="24" t="str">
        <x:v>https://youtubecommentsdownloader.com/</x:v>
      </x:c>
      <x:c r="N496" s="22" t="str">
        <x:v>268643829</x:v>
      </x:c>
      <x:c r="O496" s="22" t="n">
        <x:v>1020</x:v>
      </x:c>
      <x:c r="P496" s="22" t="n">
        <x:v>17</x:v>
      </x:c>
      <x:c r="Q496" s="22" t="str"/>
      <x:c r="R496" s="22" t="n">
        <x:f>COUNTIF($M$6:$M$1177,M496)</x:f>
        <x:v>1</x:v>
      </x:c>
      <x:c r="S496" s="22" t="str">
        <x:v>Supporting discovery</x:v>
      </x:c>
      <x:c r="T496" s="22" t="str">
        <x:v>Low</x:v>
      </x:c>
    </x:row>
    <x:row r="497" ht="54" customHeight="1">
      <x:c r="A497" s="22" t="n">
        <x:v>492</x:v>
      </x:c>
      <x:c r="B497" s="22" t="str">
        <x:v>teddit</x:v>
      </x:c>
      <x:c r="C497" s="43" t="str">
        <x:v>C-P</x:v>
      </x:c>
      <x:c r="D497" s="22" t="str">
        <x:v>Provisional</x:v>
      </x:c>
      <x:c r="E497" s="22" t="str">
        <x:v>REDDIT</x:v>
      </x:c>
      <x:c r="F497" s="22" t="str">
        <x:v>Forum-content discovery</x:v>
      </x:c>
      <x:c r="G497" s="22" t="str">
        <x:v>Provisional ceiling from saved search/discovery context only. Verify the original page, account attribution and date; no result accuracy test.</x:v>
      </x:c>
      <x:c r="H497" s="22" t="str">
        <x:v>Lead only; inspect original content before attribution</x:v>
      </x:c>
      <x:c r="I497" s="22" t="str">
        <x:v>Not checked</x:v>
      </x:c>
      <x:c r="J497" s="22" t="str">
        <x:v>Saved bookmark metadata only</x:v>
      </x:c>
      <x:c r="K497" s="22" t="str"/>
      <x:c r="L497" s="24" t="str"/>
      <x:c r="M497" s="24" t="str">
        <x:v>https://teddit.net/</x:v>
      </x:c>
      <x:c r="N497" s="22" t="str">
        <x:v>311645021</x:v>
      </x:c>
      <x:c r="O497" s="22" t="n">
        <x:v>1020</x:v>
      </x:c>
      <x:c r="P497" s="22" t="n">
        <x:v>1</x:v>
      </x:c>
      <x:c r="Q497" s="22" t="str"/>
      <x:c r="R497" s="22" t="n">
        <x:f>COUNTIF($M$6:$M$1177,M497)</x:f>
        <x:v>1</x:v>
      </x:c>
      <x:c r="S497" s="22" t="str">
        <x:v>Supporting discovery</x:v>
      </x:c>
      <x:c r="T497" s="22" t="str">
        <x:v>Low</x:v>
      </x:c>
    </x:row>
    <x:row r="498" ht="54" customHeight="1">
      <x:c r="A498" s="22" t="n">
        <x:v>493</x:v>
      </x:c>
      <x:c r="B498" s="22" t="str">
        <x:v>Reddit Search</x:v>
      </x:c>
      <x:c r="C498" s="43" t="str">
        <x:v>C-P</x:v>
      </x:c>
      <x:c r="D498" s="22" t="str">
        <x:v>Provisional</x:v>
      </x:c>
      <x:c r="E498" s="22" t="str">
        <x:v>REDDIT</x:v>
      </x:c>
      <x:c r="F498" s="22" t="str">
        <x:v>Forum-content discovery</x:v>
      </x:c>
      <x:c r="G498" s="22" t="str">
        <x:v>Provisional ceiling from saved search/discovery context only. Verify the original page, account attribution and date; no result accuracy test.</x:v>
      </x:c>
      <x:c r="H498" s="22" t="str">
        <x:v>Lead only; inspect original content before attribution</x:v>
      </x:c>
      <x:c r="I498" s="22" t="str">
        <x:v>Not checked</x:v>
      </x:c>
      <x:c r="J498" s="22" t="str">
        <x:v>Saved bookmark metadata only</x:v>
      </x:c>
      <x:c r="K498" s="22" t="str"/>
      <x:c r="L498" s="24" t="str"/>
      <x:c r="M498" s="24" t="str">
        <x:v>https://camas.unddit.com/</x:v>
      </x:c>
      <x:c r="N498" s="22" t="str">
        <x:v>286012759</x:v>
      </x:c>
      <x:c r="O498" s="22" t="n">
        <x:v>1021</x:v>
      </x:c>
      <x:c r="P498" s="22" t="n">
        <x:v>2</x:v>
      </x:c>
      <x:c r="Q498" s="22" t="str"/>
      <x:c r="R498" s="22" t="n">
        <x:f>COUNTIF($M$6:$M$1177,M498)</x:f>
        <x:v>1</x:v>
      </x:c>
      <x:c r="S498" s="22" t="str">
        <x:v>Supporting discovery</x:v>
      </x:c>
      <x:c r="T498" s="22" t="str">
        <x:v>Low</x:v>
      </x:c>
    </x:row>
    <x:row r="499" ht="54" customHeight="1">
      <x:c r="A499" s="22" t="n">
        <x:v>494</x:v>
      </x:c>
      <x:c r="B499" s="22" t="str">
        <x:v>Karma Decay</x:v>
      </x:c>
      <x:c r="C499" s="43" t="str">
        <x:v>C-P</x:v>
      </x:c>
      <x:c r="D499" s="22" t="str">
        <x:v>Provisional</x:v>
      </x:c>
      <x:c r="E499" s="22" t="str">
        <x:v>REDDIT</x:v>
      </x:c>
      <x:c r="F499" s="22" t="str">
        <x:v>Forum-content discovery</x:v>
      </x:c>
      <x:c r="G499" s="22" t="str">
        <x:v>Provisional ceiling from saved search/discovery context only. Verify the original page, account attribution and date; no result accuracy test.</x:v>
      </x:c>
      <x:c r="H499" s="22" t="str">
        <x:v>Lead only; inspect original content before attribution</x:v>
      </x:c>
      <x:c r="I499" s="22" t="str">
        <x:v>Not checked</x:v>
      </x:c>
      <x:c r="J499" s="22" t="str">
        <x:v>Saved bookmark metadata only</x:v>
      </x:c>
      <x:c r="K499" s="22" t="str"/>
      <x:c r="L499" s="24" t="str"/>
      <x:c r="M499" s="24" t="str">
        <x:v>http://karmadecay.com/</x:v>
      </x:c>
      <x:c r="N499" s="22" t="str">
        <x:v>297340647</x:v>
      </x:c>
      <x:c r="O499" s="22" t="n">
        <x:v>1022</x:v>
      </x:c>
      <x:c r="P499" s="22" t="n">
        <x:v>3</x:v>
      </x:c>
      <x:c r="Q499" s="22" t="str"/>
      <x:c r="R499" s="22" t="n">
        <x:f>COUNTIF($M$6:$M$1177,M499)</x:f>
        <x:v>1</x:v>
      </x:c>
      <x:c r="S499" s="22" t="str">
        <x:v>Supporting discovery</x:v>
      </x:c>
      <x:c r="T499" s="22" t="str">
        <x:v>Low</x:v>
      </x:c>
    </x:row>
    <x:row r="500" ht="54" customHeight="1">
      <x:c r="A500" s="22" t="n">
        <x:v>495</x:v>
      </x:c>
      <x:c r="B500" s="22" t="str">
        <x:v>redditsfinder</x:v>
      </x:c>
      <x:c r="C500" s="43" t="str">
        <x:v>C-P</x:v>
      </x:c>
      <x:c r="D500" s="22" t="str">
        <x:v>Provisional</x:v>
      </x:c>
      <x:c r="E500" s="22" t="str">
        <x:v>REDDIT</x:v>
      </x:c>
      <x:c r="F500" s="22" t="str">
        <x:v>Forum-content discovery</x:v>
      </x:c>
      <x:c r="G500" s="22" t="str">
        <x:v>Provisional ceiling from saved search/discovery context only. Verify the original page, account attribution and date; no result accuracy test.</x:v>
      </x:c>
      <x:c r="H500" s="22" t="str">
        <x:v>Lead only; inspect original content before attribution</x:v>
      </x:c>
      <x:c r="I500" s="22" t="str">
        <x:v>Not checked</x:v>
      </x:c>
      <x:c r="J500" s="22" t="str">
        <x:v>Saved bookmark metadata only</x:v>
      </x:c>
      <x:c r="K500" s="22" t="str"/>
      <x:c r="L500" s="24" t="str"/>
      <x:c r="M500" s="24" t="str">
        <x:v>https://pypi.org/project/redditsfinder/</x:v>
      </x:c>
      <x:c r="N500" s="22" t="str">
        <x:v>268399025</x:v>
      </x:c>
      <x:c r="O500" s="22" t="n">
        <x:v>1022</x:v>
      </x:c>
      <x:c r="P500" s="22" t="n">
        <x:v>4</x:v>
      </x:c>
      <x:c r="Q500" s="22" t="str"/>
      <x:c r="R500" s="22" t="n">
        <x:f>COUNTIF($M$6:$M$1177,M500)</x:f>
        <x:v>1</x:v>
      </x:c>
      <x:c r="S500" s="22" t="str">
        <x:v>Supporting discovery</x:v>
      </x:c>
      <x:c r="T500" s="22" t="str">
        <x:v>Low</x:v>
      </x:c>
    </x:row>
    <x:row r="501" ht="54" customHeight="1">
      <x:c r="A501" s="22" t="n">
        <x:v>496</x:v>
      </x:c>
      <x:c r="B501" s="22" t="str">
        <x:v>SocialGrep</x:v>
      </x:c>
      <x:c r="C501" s="43" t="str">
        <x:v>C-P</x:v>
      </x:c>
      <x:c r="D501" s="22" t="str">
        <x:v>Provisional</x:v>
      </x:c>
      <x:c r="E501" s="22" t="str">
        <x:v>REDDIT</x:v>
      </x:c>
      <x:c r="F501" s="22" t="str">
        <x:v>Forum-content discovery</x:v>
      </x:c>
      <x:c r="G501" s="22" t="str">
        <x:v>Provisional ceiling from saved search/discovery context only. Verify the original page, account attribution and date; no result accuracy test.</x:v>
      </x:c>
      <x:c r="H501" s="22" t="str">
        <x:v>Lead only; inspect original content before attribution</x:v>
      </x:c>
      <x:c r="I501" s="22" t="str">
        <x:v>Not checked</x:v>
      </x:c>
      <x:c r="J501" s="22" t="str">
        <x:v>Saved bookmark metadata only</x:v>
      </x:c>
      <x:c r="K501" s="22" t="str"/>
      <x:c r="L501" s="24" t="str"/>
      <x:c r="M501" s="24" t="str">
        <x:v>https://www.socialgrep.com/search</x:v>
      </x:c>
      <x:c r="N501" s="22" t="str">
        <x:v>292321197</x:v>
      </x:c>
      <x:c r="O501" s="22" t="n">
        <x:v>1023</x:v>
      </x:c>
      <x:c r="P501" s="22" t="n">
        <x:v>5</x:v>
      </x:c>
      <x:c r="Q501" s="22" t="str"/>
      <x:c r="R501" s="22" t="n">
        <x:f>COUNTIF($M$6:$M$1177,M501)</x:f>
        <x:v>1</x:v>
      </x:c>
      <x:c r="S501" s="22" t="str">
        <x:v>Supporting discovery</x:v>
      </x:c>
      <x:c r="T501" s="22" t="str">
        <x:v>Low</x:v>
      </x:c>
    </x:row>
    <x:row r="502" ht="54" customHeight="1">
      <x:c r="A502" s="22" t="n">
        <x:v>497</x:v>
      </x:c>
      <x:c r="B502" s="22" t="str">
        <x:v>Reddit Search Tool</x:v>
      </x:c>
      <x:c r="C502" s="43" t="str">
        <x:v>C-P</x:v>
      </x:c>
      <x:c r="D502" s="22" t="str">
        <x:v>Provisional</x:v>
      </x:c>
      <x:c r="E502" s="22" t="str">
        <x:v>REDDIT</x:v>
      </x:c>
      <x:c r="F502" s="22" t="str">
        <x:v>Forum-content discovery</x:v>
      </x:c>
      <x:c r="G502" s="22" t="str">
        <x:v>Provisional ceiling from saved search/discovery context only. Verify the original page, account attribution and date; no result accuracy test.</x:v>
      </x:c>
      <x:c r="H502" s="22" t="str">
        <x:v>Lead only; inspect original content before attribution</x:v>
      </x:c>
      <x:c r="I502" s="22" t="str">
        <x:v>Not checked</x:v>
      </x:c>
      <x:c r="J502" s="22" t="str">
        <x:v>Saved bookmark metadata only</x:v>
      </x:c>
      <x:c r="K502" s="22" t="str"/>
      <x:c r="L502" s="24" t="str"/>
      <x:c r="M502" s="24" t="str">
        <x:v>https://redditsearchtool.com/</x:v>
      </x:c>
      <x:c r="N502" s="22" t="str">
        <x:v>310560550</x:v>
      </x:c>
      <x:c r="O502" s="22" t="n">
        <x:v>1024</x:v>
      </x:c>
      <x:c r="P502" s="22" t="n">
        <x:v>6</x:v>
      </x:c>
      <x:c r="Q502" s="22" t="str"/>
      <x:c r="R502" s="22" t="n">
        <x:f>COUNTIF($M$6:$M$1177,M502)</x:f>
        <x:v>1</x:v>
      </x:c>
      <x:c r="S502" s="22" t="str">
        <x:v>Supporting discovery</x:v>
      </x:c>
      <x:c r="T502" s="22" t="str">
        <x:v>Low</x:v>
      </x:c>
    </x:row>
    <x:row r="503" ht="54" customHeight="1">
      <x:c r="A503" s="22" t="n">
        <x:v>498</x:v>
      </x:c>
      <x:c r="B503" s="22" t="str">
        <x:v>Search Reddit</x:v>
      </x:c>
      <x:c r="C503" s="43" t="str">
        <x:v>C-P</x:v>
      </x:c>
      <x:c r="D503" s="22" t="str">
        <x:v>Provisional</x:v>
      </x:c>
      <x:c r="E503" s="22" t="str">
        <x:v>REDDIT</x:v>
      </x:c>
      <x:c r="F503" s="22" t="str">
        <x:v>Forum-content discovery</x:v>
      </x:c>
      <x:c r="G503" s="22" t="str">
        <x:v>Provisional ceiling from saved search/discovery context only. Verify the original page, account attribution and date; no result accuracy test.</x:v>
      </x:c>
      <x:c r="H503" s="22" t="str">
        <x:v>Lead only; inspect original content before attribution</x:v>
      </x:c>
      <x:c r="I503" s="22" t="str">
        <x:v>Not checked</x:v>
      </x:c>
      <x:c r="J503" s="22" t="str">
        <x:v>Saved bookmark metadata only</x:v>
      </x:c>
      <x:c r="K503" s="22" t="str"/>
      <x:c r="L503" s="24" t="str"/>
      <x:c r="M503" s="24" t="str">
        <x:v>https://bmai.dev/reddit/</x:v>
      </x:c>
      <x:c r="N503" s="22" t="str">
        <x:v>310560676</x:v>
      </x:c>
      <x:c r="O503" s="22" t="n">
        <x:v>1024</x:v>
      </x:c>
      <x:c r="P503" s="22" t="n">
        <x:v>7</x:v>
      </x:c>
      <x:c r="Q503" s="22" t="str"/>
      <x:c r="R503" s="22" t="n">
        <x:f>COUNTIF($M$6:$M$1177,M503)</x:f>
        <x:v>1</x:v>
      </x:c>
      <x:c r="S503" s="22" t="str">
        <x:v>Supporting discovery</x:v>
      </x:c>
      <x:c r="T503" s="22" t="str">
        <x:v>Low</x:v>
      </x:c>
    </x:row>
    <x:row r="504" ht="54" customHeight="1">
      <x:c r="A504" s="22" t="n">
        <x:v>499</x:v>
      </x:c>
      <x:c r="B504" s="22" t="str">
        <x:v>Reddit Archive</x:v>
      </x:c>
      <x:c r="C504" s="43" t="str">
        <x:v>C-P</x:v>
      </x:c>
      <x:c r="D504" s="22" t="str">
        <x:v>Provisional</x:v>
      </x:c>
      <x:c r="E504" s="22" t="str">
        <x:v>REDDIT</x:v>
      </x:c>
      <x:c r="F504" s="22" t="str">
        <x:v>Forum-content discovery</x:v>
      </x:c>
      <x:c r="G504" s="22" t="str">
        <x:v>Provisional ceiling from saved search/discovery context only. Verify the original page, account attribution and date; no result accuracy test.</x:v>
      </x:c>
      <x:c r="H504" s="22" t="str">
        <x:v>Lead only; inspect original content before attribution</x:v>
      </x:c>
      <x:c r="I504" s="22" t="str">
        <x:v>Not checked</x:v>
      </x:c>
      <x:c r="J504" s="22" t="str">
        <x:v>Saved bookmark metadata only</x:v>
      </x:c>
      <x:c r="K504" s="22" t="str"/>
      <x:c r="L504" s="24" t="str"/>
      <x:c r="M504" s="24" t="str">
        <x:v>https://ihsoyct.github.io/</x:v>
      </x:c>
      <x:c r="N504" s="22" t="str">
        <x:v>310560699</x:v>
      </x:c>
      <x:c r="O504" s="22" t="n">
        <x:v>1024</x:v>
      </x:c>
      <x:c r="P504" s="22" t="n">
        <x:v>8</x:v>
      </x:c>
      <x:c r="Q504" s="22" t="str"/>
      <x:c r="R504" s="22" t="n">
        <x:f>COUNTIF($M$6:$M$1177,M504)</x:f>
        <x:v>1</x:v>
      </x:c>
      <x:c r="S504" s="22" t="str">
        <x:v>Supporting discovery</x:v>
      </x:c>
      <x:c r="T504" s="22" t="str">
        <x:v>Low</x:v>
      </x:c>
    </x:row>
    <x:row r="505" ht="54" customHeight="1">
      <x:c r="A505" s="22" t="n">
        <x:v>500</x:v>
      </x:c>
      <x:c r="B505" s="22" t="str">
        <x:v>Chearch</x:v>
      </x:c>
      <x:c r="C505" s="43" t="str">
        <x:v>C-P</x:v>
      </x:c>
      <x:c r="D505" s="22" t="str">
        <x:v>Provisional</x:v>
      </x:c>
      <x:c r="E505" s="22" t="str">
        <x:v>REDDIT</x:v>
      </x:c>
      <x:c r="F505" s="22" t="str">
        <x:v>Forum-content discovery</x:v>
      </x:c>
      <x:c r="G505" s="22" t="str">
        <x:v>Provisional ceiling from saved search/discovery context only. Verify the original page, account attribution and date; no result accuracy test.</x:v>
      </x:c>
      <x:c r="H505" s="22" t="str">
        <x:v>Lead only; inspect original content before attribution</x:v>
      </x:c>
      <x:c r="I505" s="22" t="str">
        <x:v>Not checked</x:v>
      </x:c>
      <x:c r="J505" s="22" t="str">
        <x:v>Saved bookmark metadata only</x:v>
      </x:c>
      <x:c r="K505" s="22" t="str"/>
      <x:c r="L505" s="24" t="str"/>
      <x:c r="M505" s="24" t="str">
        <x:v>https://adhesivecheese.github.io/chearch/</x:v>
      </x:c>
      <x:c r="N505" s="22" t="str">
        <x:v>310560770</x:v>
      </x:c>
      <x:c r="O505" s="22" t="n">
        <x:v>1024</x:v>
      </x:c>
      <x:c r="P505" s="22" t="n">
        <x:v>9</x:v>
      </x:c>
      <x:c r="Q505" s="22" t="str"/>
      <x:c r="R505" s="22" t="n">
        <x:f>COUNTIF($M$6:$M$1177,M505)</x:f>
        <x:v>1</x:v>
      </x:c>
      <x:c r="S505" s="22" t="str">
        <x:v>Supporting discovery</x:v>
      </x:c>
      <x:c r="T505" s="22" t="str">
        <x:v>Low</x:v>
      </x:c>
    </x:row>
    <x:row r="506" ht="54" customHeight="1">
      <x:c r="A506" s="22" t="n">
        <x:v>501</x:v>
      </x:c>
      <x:c r="B506" s="22" t="str">
        <x:v>NY Dolls.org</x:v>
      </x:c>
      <x:c r="C506" s="43" t="str">
        <x:v>C-P</x:v>
      </x:c>
      <x:c r="D506" s="22" t="str">
        <x:v>Provisional</x:v>
      </x:c>
      <x:c r="E506" s="22" t="str">
        <x:v>REDDIT</x:v>
      </x:c>
      <x:c r="F506" s="22" t="str">
        <x:v>Forum-content discovery</x:v>
      </x:c>
      <x:c r="G506" s="22" t="str">
        <x:v>Provisional ceiling from saved search/discovery context only. Verify the original page, account attribution and date; no result accuracy test.</x:v>
      </x:c>
      <x:c r="H506" s="22" t="str">
        <x:v>Lead only; inspect original content before attribution</x:v>
      </x:c>
      <x:c r="I506" s="22" t="str">
        <x:v>Not checked</x:v>
      </x:c>
      <x:c r="J506" s="22" t="str">
        <x:v>Saved bookmark metadata only</x:v>
      </x:c>
      <x:c r="K506" s="22" t="str"/>
      <x:c r="L506" s="24" t="str"/>
      <x:c r="M506" s="24" t="str">
        <x:v>https://nydolls.org/author</x:v>
      </x:c>
      <x:c r="N506" s="22" t="str">
        <x:v>309551760</x:v>
      </x:c>
      <x:c r="O506" s="22" t="n">
        <x:v>1025</x:v>
      </x:c>
      <x:c r="P506" s="22" t="n">
        <x:v>10</x:v>
      </x:c>
      <x:c r="Q506" s="22" t="str"/>
      <x:c r="R506" s="22" t="n">
        <x:f>COUNTIF($M$6:$M$1177,M506)</x:f>
        <x:v>1</x:v>
      </x:c>
      <x:c r="S506" s="22" t="str">
        <x:v>Supporting discovery</x:v>
      </x:c>
      <x:c r="T506" s="22" t="str">
        <x:v>Low</x:v>
      </x:c>
    </x:row>
    <x:row r="507" ht="54" customHeight="1">
      <x:c r="A507" s="22" t="n">
        <x:v>502</x:v>
      </x:c>
      <x:c r="B507" s="22" t="str">
        <x:v>Reveddit.com</x:v>
      </x:c>
      <x:c r="C507" s="43" t="str">
        <x:v>C-P</x:v>
      </x:c>
      <x:c r="D507" s="22" t="str">
        <x:v>Provisional</x:v>
      </x:c>
      <x:c r="E507" s="22" t="str">
        <x:v>REDDIT</x:v>
      </x:c>
      <x:c r="F507" s="22" t="str">
        <x:v>Forum-content discovery</x:v>
      </x:c>
      <x:c r="G507" s="22" t="str">
        <x:v>Provisional ceiling from saved search/discovery context only. Verify the original page, account attribution and date; no result accuracy test.</x:v>
      </x:c>
      <x:c r="H507" s="22" t="str">
        <x:v>Lead only; inspect original content before attribution</x:v>
      </x:c>
      <x:c r="I507" s="22" t="str">
        <x:v>Not checked</x:v>
      </x:c>
      <x:c r="J507" s="22" t="str">
        <x:v>Saved bookmark metadata only</x:v>
      </x:c>
      <x:c r="K507" s="22" t="str"/>
      <x:c r="L507" s="24" t="str"/>
      <x:c r="M507" s="24" t="str">
        <x:v>https://www.reveddit.com/</x:v>
      </x:c>
      <x:c r="N507" s="22" t="str">
        <x:v>302155623</x:v>
      </x:c>
      <x:c r="O507" s="22" t="n">
        <x:v>1026</x:v>
      </x:c>
      <x:c r="P507" s="22" t="n">
        <x:v>11</x:v>
      </x:c>
      <x:c r="Q507" s="22" t="str"/>
      <x:c r="R507" s="22" t="n">
        <x:f>COUNTIF($M$6:$M$1177,M507)</x:f>
        <x:v>1</x:v>
      </x:c>
      <x:c r="S507" s="22" t="str">
        <x:v>Supporting discovery</x:v>
      </x:c>
      <x:c r="T507" s="22" t="str">
        <x:v>Low</x:v>
      </x:c>
    </x:row>
    <x:row r="508" ht="54" customHeight="1">
      <x:c r="A508" s="22" t="n">
        <x:v>503</x:v>
      </x:c>
      <x:c r="B508" s="22" t="str">
        <x:v>Reddit Downloader</x:v>
      </x:c>
      <x:c r="C508" s="43" t="str">
        <x:v>C-P</x:v>
      </x:c>
      <x:c r="D508" s="22" t="str">
        <x:v>Provisional</x:v>
      </x:c>
      <x:c r="E508" s="22" t="str">
        <x:v>REDDIT</x:v>
      </x:c>
      <x:c r="F508" s="22" t="str">
        <x:v>Forum-content discovery</x:v>
      </x:c>
      <x:c r="G508" s="22" t="str">
        <x:v>Provisional ceiling from saved search/discovery context only. Verify the original page, account attribution and date; no result accuracy test.</x:v>
      </x:c>
      <x:c r="H508" s="22" t="str">
        <x:v>Lead only; inspect original content before attribution</x:v>
      </x:c>
      <x:c r="I508" s="22" t="str">
        <x:v>Not checked</x:v>
      </x:c>
      <x:c r="J508" s="22" t="str">
        <x:v>Saved bookmark metadata only</x:v>
      </x:c>
      <x:c r="K508" s="22" t="str"/>
      <x:c r="L508" s="24" t="str"/>
      <x:c r="M508" s="24" t="str">
        <x:v>https://redditdownloader.github.io/</x:v>
      </x:c>
      <x:c r="N508" s="22" t="str">
        <x:v>268640517</x:v>
      </x:c>
      <x:c r="O508" s="22" t="n">
        <x:v>1026</x:v>
      </x:c>
      <x:c r="P508" s="22" t="n">
        <x:v>12</x:v>
      </x:c>
      <x:c r="Q508" s="22" t="str"/>
      <x:c r="R508" s="22" t="n">
        <x:f>COUNTIF($M$6:$M$1177,M508)</x:f>
        <x:v>1</x:v>
      </x:c>
      <x:c r="S508" s="22" t="str">
        <x:v>Supporting discovery</x:v>
      </x:c>
      <x:c r="T508" s="22" t="str">
        <x:v>Low</x:v>
      </x:c>
    </x:row>
    <x:row r="509" ht="54" customHeight="1">
      <x:c r="A509" s="22" t="n">
        <x:v>504</x:v>
      </x:c>
      <x:c r="B509" s="22" t="str">
        <x:v>Redective</x:v>
      </x:c>
      <x:c r="C509" s="43" t="str">
        <x:v>C-P</x:v>
      </x:c>
      <x:c r="D509" s="22" t="str">
        <x:v>Provisional</x:v>
      </x:c>
      <x:c r="E509" s="22" t="str">
        <x:v>REDDIT</x:v>
      </x:c>
      <x:c r="F509" s="22" t="str">
        <x:v>Forum-content discovery</x:v>
      </x:c>
      <x:c r="G509" s="22" t="str">
        <x:v>Provisional ceiling from saved search/discovery context only. Verify the original page, account attribution and date; no result accuracy test.</x:v>
      </x:c>
      <x:c r="H509" s="22" t="str">
        <x:v>Lead only; inspect original content before attribution</x:v>
      </x:c>
      <x:c r="I509" s="22" t="str">
        <x:v>Not checked</x:v>
      </x:c>
      <x:c r="J509" s="22" t="str">
        <x:v>Saved bookmark metadata only</x:v>
      </x:c>
      <x:c r="K509" s="22" t="str"/>
      <x:c r="L509" s="24" t="str"/>
      <x:c r="M509" s="24" t="str">
        <x:v>https://www.redective.com/</x:v>
      </x:c>
      <x:c r="N509" s="22" t="str">
        <x:v>297340652</x:v>
      </x:c>
      <x:c r="O509" s="22" t="n">
        <x:v>1026</x:v>
      </x:c>
      <x:c r="P509" s="22" t="n">
        <x:v>13</x:v>
      </x:c>
      <x:c r="Q509" s="22" t="str"/>
      <x:c r="R509" s="22" t="n">
        <x:f>COUNTIF($M$6:$M$1177,M509)</x:f>
        <x:v>1</x:v>
      </x:c>
      <x:c r="S509" s="22" t="str">
        <x:v>Supporting discovery</x:v>
      </x:c>
      <x:c r="T509" s="22" t="str">
        <x:v>Low</x:v>
      </x:c>
    </x:row>
    <x:row r="510" ht="54" customHeight="1">
      <x:c r="A510" s="22" t="n">
        <x:v>505</x:v>
      </x:c>
      <x:c r="B510" s="22" t="str">
        <x:v>Reddit_Persona</x:v>
      </x:c>
      <x:c r="C510" s="43" t="str">
        <x:v>C-P</x:v>
      </x:c>
      <x:c r="D510" s="22" t="str">
        <x:v>Provisional</x:v>
      </x:c>
      <x:c r="E510" s="22" t="str">
        <x:v>REDDIT</x:v>
      </x:c>
      <x:c r="F510" s="22" t="str">
        <x:v>Forum-content discovery</x:v>
      </x:c>
      <x:c r="G510" s="22" t="str">
        <x:v>Provisional ceiling from saved search/discovery context only. Verify the original page, account attribution and date; no result accuracy test.</x:v>
      </x:c>
      <x:c r="H510" s="22" t="str">
        <x:v>Lead only; inspect original content before attribution</x:v>
      </x:c>
      <x:c r="I510" s="22" t="str">
        <x:v>Not checked</x:v>
      </x:c>
      <x:c r="J510" s="22" t="str">
        <x:v>Saved bookmark metadata only</x:v>
      </x:c>
      <x:c r="K510" s="22" t="str"/>
      <x:c r="L510" s="24" t="str"/>
      <x:c r="M510" s="24" t="str">
        <x:v>https://github.com/n2itn/reddit_persona</x:v>
      </x:c>
      <x:c r="N510" s="22" t="str">
        <x:v>302155388</x:v>
      </x:c>
      <x:c r="O510" s="22" t="n">
        <x:v>1026</x:v>
      </x:c>
      <x:c r="P510" s="22" t="n">
        <x:v>14</x:v>
      </x:c>
      <x:c r="Q510" s="22" t="str"/>
      <x:c r="R510" s="22" t="n">
        <x:f>COUNTIF($M$6:$M$1177,M510)</x:f>
        <x:v>1</x:v>
      </x:c>
      <x:c r="S510" s="22" t="str">
        <x:v>Supporting discovery</x:v>
      </x:c>
      <x:c r="T510" s="22" t="str">
        <x:v>Low</x:v>
      </x:c>
    </x:row>
    <x:row r="511" ht="54" customHeight="1">
      <x:c r="A511" s="22" t="n">
        <x:v>506</x:v>
      </x:c>
      <x:c r="B511" s="22" t="str">
        <x:v>Uncensor.cc</x:v>
      </x:c>
      <x:c r="C511" s="43" t="str">
        <x:v>C-P</x:v>
      </x:c>
      <x:c r="D511" s="22" t="str">
        <x:v>Provisional</x:v>
      </x:c>
      <x:c r="E511" s="22" t="str">
        <x:v>REDDIT</x:v>
      </x:c>
      <x:c r="F511" s="22" t="str">
        <x:v>Forum-content discovery</x:v>
      </x:c>
      <x:c r="G511" s="22" t="str">
        <x:v>Provisional ceiling from saved search/discovery context only. Verify the original page, account attribution and date; no result accuracy test.</x:v>
      </x:c>
      <x:c r="H511" s="22" t="str">
        <x:v>Lead only; inspect original content before attribution</x:v>
      </x:c>
      <x:c r="I511" s="22" t="str">
        <x:v>Not checked</x:v>
      </x:c>
      <x:c r="J511" s="22" t="str">
        <x:v>Saved bookmark metadata only</x:v>
      </x:c>
      <x:c r="K511" s="22" t="str"/>
      <x:c r="L511" s="24" t="str"/>
      <x:c r="M511" s="24" t="str">
        <x:v>https://uncensor.cc/</x:v>
      </x:c>
      <x:c r="N511" s="22" t="str">
        <x:v>302155627</x:v>
      </x:c>
      <x:c r="O511" s="22" t="n">
        <x:v>1027</x:v>
      </x:c>
      <x:c r="P511" s="22" t="n">
        <x:v>15</x:v>
      </x:c>
      <x:c r="Q511" s="22" t="str"/>
      <x:c r="R511" s="22" t="n">
        <x:f>COUNTIF($M$6:$M$1177,M511)</x:f>
        <x:v>1</x:v>
      </x:c>
      <x:c r="S511" s="22" t="str">
        <x:v>Supporting discovery</x:v>
      </x:c>
      <x:c r="T511" s="22" t="str">
        <x:v>Low</x:v>
      </x:c>
    </x:row>
    <x:row r="512" ht="48" customHeight="1">
      <x:c r="A512" s="22" t="n">
        <x:v>507</x:v>
      </x:c>
      <x:c r="B512" s="22" t="str">
        <x:v>Reddit Search Engine</x:v>
      </x:c>
      <x:c r="C512" s="43" t="str">
        <x:v>C-P</x:v>
      </x:c>
      <x:c r="D512" s="22" t="str">
        <x:v>Provisional</x:v>
      </x:c>
      <x:c r="E512" s="22" t="str">
        <x:v>REDDIT</x:v>
      </x:c>
      <x:c r="F512" s="22" t="str">
        <x:v>Custom-search discovery only</x:v>
      </x:c>
      <x:c r="G512" s="22" t="str">
        <x:v>The saved URL identifies a custom search. This engine's configuration, coverage and query results were not tested.</x:v>
      </x:c>
      <x:c r="H512" s="22" t="str">
        <x:v>Open and verify the original result; do not count the search as corroboration</x:v>
      </x:c>
      <x:c r="I512" s="22" t="str">
        <x:v>Not checked</x:v>
      </x:c>
      <x:c r="J512" s="22" t="str">
        <x:v>Saved bookmark metadata only</x:v>
      </x:c>
      <x:c r="K512" s="22" t="str"/>
      <x:c r="L512" s="24" t="str"/>
      <x:c r="M512" s="24" t="str">
        <x:v>https://cse.google.com/cse?cx=0728740ab68a619ba</x:v>
      </x:c>
      <x:c r="N512" s="22" t="str">
        <x:v>286819546</x:v>
      </x:c>
      <x:c r="O512" s="22" t="n">
        <x:v>1027</x:v>
      </x:c>
      <x:c r="P512" s="22" t="n">
        <x:v>16</x:v>
      </x:c>
      <x:c r="Q512" s="22" t="str"/>
      <x:c r="R512" s="22" t="n">
        <x:f>COUNTIF($M$6:$M$1177,M512)</x:f>
        <x:v>1</x:v>
      </x:c>
      <x:c r="S512" s="22" t="str">
        <x:v>Supporting discovery</x:v>
      </x:c>
      <x:c r="T512" s="22" t="str">
        <x:v>Low</x:v>
      </x:c>
    </x:row>
    <x:row r="513" ht="48" customHeight="1">
      <x:c r="A513" s="22" t="n">
        <x:v>508</x:v>
      </x:c>
      <x:c r="B513" s="22" t="str">
        <x:v>Reddit Search Engine</x:v>
      </x:c>
      <x:c r="C513" s="43" t="str">
        <x:v>C-P</x:v>
      </x:c>
      <x:c r="D513" s="22" t="str">
        <x:v>Provisional</x:v>
      </x:c>
      <x:c r="E513" s="22" t="str">
        <x:v>REDDIT</x:v>
      </x:c>
      <x:c r="F513" s="22" t="str">
        <x:v>Custom-search discovery only</x:v>
      </x:c>
      <x:c r="G513" s="22" t="str">
        <x:v>The saved URL identifies a custom search. This engine's configuration, coverage and query results were not tested.</x:v>
      </x:c>
      <x:c r="H513" s="22" t="str">
        <x:v>Open and verify the original result; do not count the search as corroboration</x:v>
      </x:c>
      <x:c r="I513" s="22" t="str">
        <x:v>Not checked</x:v>
      </x:c>
      <x:c r="J513" s="22" t="str">
        <x:v>Saved bookmark metadata only</x:v>
      </x:c>
      <x:c r="K513" s="22" t="str"/>
      <x:c r="L513" s="24" t="str"/>
      <x:c r="M513" s="24" t="str">
        <x:v>https://cse.google.com/cse/publicurl?cx=017261104271573007538:bbzhlah6n4o</x:v>
      </x:c>
      <x:c r="N513" s="22" t="str">
        <x:v>291699315</x:v>
      </x:c>
      <x:c r="O513" s="22" t="n">
        <x:v>1027</x:v>
      </x:c>
      <x:c r="P513" s="22" t="n">
        <x:v>17</x:v>
      </x:c>
      <x:c r="Q513" s="22" t="str"/>
      <x:c r="R513" s="22" t="n">
        <x:f>COUNTIF($M$6:$M$1177,M513)</x:f>
        <x:v>1</x:v>
      </x:c>
      <x:c r="S513" s="22" t="str">
        <x:v>Supporting discovery</x:v>
      </x:c>
      <x:c r="T513" s="22" t="str">
        <x:v>Low</x:v>
      </x:c>
    </x:row>
    <x:row r="514" ht="54" customHeight="1">
      <x:c r="A514" s="22" t="n">
        <x:v>509</x:v>
      </x:c>
      <x:c r="B514" s="22" t="str">
        <x:v>Reddit User Analyser</x:v>
      </x:c>
      <x:c r="C514" s="43" t="str">
        <x:v>C-P</x:v>
      </x:c>
      <x:c r="D514" s="22" t="str">
        <x:v>Provisional</x:v>
      </x:c>
      <x:c r="E514" s="22" t="str">
        <x:v>REDDIT</x:v>
      </x:c>
      <x:c r="F514" s="22" t="str">
        <x:v>Forum-content discovery</x:v>
      </x:c>
      <x:c r="G514" s="22" t="str">
        <x:v>Provisional ceiling from saved search/discovery context only. Verify the original page, account attribution and date; no result accuracy test.</x:v>
      </x:c>
      <x:c r="H514" s="22" t="str">
        <x:v>Lead only; inspect original content before attribution</x:v>
      </x:c>
      <x:c r="I514" s="22" t="str">
        <x:v>Not checked</x:v>
      </x:c>
      <x:c r="J514" s="22" t="str">
        <x:v>Saved bookmark metadata only</x:v>
      </x:c>
      <x:c r="K514" s="22" t="str"/>
      <x:c r="L514" s="24" t="str"/>
      <x:c r="M514" s="24" t="str">
        <x:v>https://reddit-user-analyser.netlify.app/</x:v>
      </x:c>
      <x:c r="N514" s="22" t="str">
        <x:v>268395799</x:v>
      </x:c>
      <x:c r="O514" s="22" t="n">
        <x:v>1027</x:v>
      </x:c>
      <x:c r="P514" s="22" t="n">
        <x:v>18</x:v>
      </x:c>
      <x:c r="Q514" s="22" t="str"/>
      <x:c r="R514" s="22" t="n">
        <x:f>COUNTIF($M$6:$M$1177,M514)</x:f>
        <x:v>1</x:v>
      </x:c>
      <x:c r="S514" s="22" t="str">
        <x:v>Supporting discovery</x:v>
      </x:c>
      <x:c r="T514" s="22" t="str">
        <x:v>Low</x:v>
      </x:c>
    </x:row>
    <x:row r="515" ht="54" customHeight="1">
      <x:c r="A515" s="22" t="n">
        <x:v>510</x:v>
      </x:c>
      <x:c r="B515" s="22" t="str">
        <x:v>reddit search</x:v>
      </x:c>
      <x:c r="C515" s="43" t="str">
        <x:v>C-P</x:v>
      </x:c>
      <x:c r="D515" s="22" t="str">
        <x:v>Provisional</x:v>
      </x:c>
      <x:c r="E515" s="22" t="str">
        <x:v>REDDIT</x:v>
      </x:c>
      <x:c r="F515" s="22" t="str">
        <x:v>Forum-content discovery</x:v>
      </x:c>
      <x:c r="G515" s="22" t="str">
        <x:v>Provisional ceiling from saved search/discovery context only. Verify the original page, account attribution and date; no result accuracy test.</x:v>
      </x:c>
      <x:c r="H515" s="22" t="str">
        <x:v>Lead only; inspect original content before attribution</x:v>
      </x:c>
      <x:c r="I515" s="22" t="str">
        <x:v>Not checked</x:v>
      </x:c>
      <x:c r="J515" s="22" t="str">
        <x:v>Saved bookmark metadata only</x:v>
      </x:c>
      <x:c r="K515" s="22" t="str"/>
      <x:c r="L515" s="24" t="str"/>
      <x:c r="M515" s="24" t="str">
        <x:v>https://www.redditsearch.io/</x:v>
      </x:c>
      <x:c r="N515" s="22" t="str">
        <x:v>268505096</x:v>
      </x:c>
      <x:c r="O515" s="22" t="n">
        <x:v>1027</x:v>
      </x:c>
      <x:c r="P515" s="22" t="n">
        <x:v>19</x:v>
      </x:c>
      <x:c r="Q515" s="22" t="str"/>
      <x:c r="R515" s="22" t="n">
        <x:f>COUNTIF($M$6:$M$1177,M515)</x:f>
        <x:v>1</x:v>
      </x:c>
      <x:c r="S515" s="22" t="str">
        <x:v>Supporting discovery</x:v>
      </x:c>
      <x:c r="T515" s="22" t="str">
        <x:v>Low</x:v>
      </x:c>
    </x:row>
    <x:row r="516" ht="54" customHeight="1">
      <x:c r="A516" s="22" t="n">
        <x:v>511</x:v>
      </x:c>
      <x:c r="B516" s="22" t="str">
        <x:v>Reddit search tool</x:v>
      </x:c>
      <x:c r="C516" s="43" t="str">
        <x:v>C-P</x:v>
      </x:c>
      <x:c r="D516" s="22" t="str">
        <x:v>Provisional</x:v>
      </x:c>
      <x:c r="E516" s="22" t="str">
        <x:v>REDDIT</x:v>
      </x:c>
      <x:c r="F516" s="22" t="str">
        <x:v>Forum-content discovery</x:v>
      </x:c>
      <x:c r="G516" s="22" t="str">
        <x:v>Provisional ceiling from saved search/discovery context only. Verify the original page, account attribution and date; no result accuracy test.</x:v>
      </x:c>
      <x:c r="H516" s="22" t="str">
        <x:v>Lead only; inspect original content before attribution</x:v>
      </x:c>
      <x:c r="I516" s="22" t="str">
        <x:v>Not checked</x:v>
      </x:c>
      <x:c r="J516" s="22" t="str">
        <x:v>Saved bookmark metadata only</x:v>
      </x:c>
      <x:c r="K516" s="22" t="str"/>
      <x:c r="L516" s="24" t="str"/>
      <x:c r="M516" s="24" t="str">
        <x:v>https://www.aware-online.com/en/osint-tools/reddit-search-tool/</x:v>
      </x:c>
      <x:c r="N516" s="22" t="str">
        <x:v>268506969</x:v>
      </x:c>
      <x:c r="O516" s="22" t="n">
        <x:v>1027</x:v>
      </x:c>
      <x:c r="P516" s="22" t="n">
        <x:v>20</x:v>
      </x:c>
      <x:c r="Q516" s="22" t="str"/>
      <x:c r="R516" s="22" t="n">
        <x:f>COUNTIF($M$6:$M$1177,M516)</x:f>
        <x:v>1</x:v>
      </x:c>
      <x:c r="S516" s="22" t="str">
        <x:v>Supporting discovery</x:v>
      </x:c>
      <x:c r="T516" s="22" t="str">
        <x:v>Low</x:v>
      </x:c>
    </x:row>
    <x:row r="517" ht="54" customHeight="1">
      <x:c r="A517" s="22" t="n">
        <x:v>512</x:v>
      </x:c>
      <x:c r="B517" s="22" t="str">
        <x:v>Pholder</x:v>
      </x:c>
      <x:c r="C517" s="43" t="str">
        <x:v>C-P</x:v>
      </x:c>
      <x:c r="D517" s="22" t="str">
        <x:v>Provisional</x:v>
      </x:c>
      <x:c r="E517" s="22" t="str">
        <x:v>REDDIT</x:v>
      </x:c>
      <x:c r="F517" s="22" t="str">
        <x:v>Forum-content discovery</x:v>
      </x:c>
      <x:c r="G517" s="22" t="str">
        <x:v>Provisional ceiling from saved search/discovery context only. Verify the original page, account attribution and date; no result accuracy test.</x:v>
      </x:c>
      <x:c r="H517" s="22" t="str">
        <x:v>Lead only; inspect original content before attribution</x:v>
      </x:c>
      <x:c r="I517" s="22" t="str">
        <x:v>Not checked</x:v>
      </x:c>
      <x:c r="J517" s="22" t="str">
        <x:v>Saved bookmark metadata only</x:v>
      </x:c>
      <x:c r="K517" s="22" t="str"/>
      <x:c r="L517" s="24" t="str"/>
      <x:c r="M517" s="24" t="str">
        <x:v>https://pholder.com/</x:v>
      </x:c>
      <x:c r="N517" s="22" t="str">
        <x:v>268508033</x:v>
      </x:c>
      <x:c r="O517" s="22" t="n">
        <x:v>1027</x:v>
      </x:c>
      <x:c r="P517" s="22" t="n">
        <x:v>21</x:v>
      </x:c>
      <x:c r="Q517" s="22" t="str"/>
      <x:c r="R517" s="22" t="n">
        <x:f>COUNTIF($M$6:$M$1177,M517)</x:f>
        <x:v>1</x:v>
      </x:c>
      <x:c r="S517" s="22" t="str">
        <x:v>Supporting discovery</x:v>
      </x:c>
      <x:c r="T517" s="22" t="str">
        <x:v>Low</x:v>
      </x:c>
    </x:row>
    <x:row r="518" ht="54" customHeight="1">
      <x:c r="A518" s="22" t="n">
        <x:v>513</x:v>
      </x:c>
      <x:c r="B518" s="22" t="str">
        <x:v>RedditMetis</x:v>
      </x:c>
      <x:c r="C518" s="43" t="str">
        <x:v>C-P</x:v>
      </x:c>
      <x:c r="D518" s="22" t="str">
        <x:v>Provisional</x:v>
      </x:c>
      <x:c r="E518" s="22" t="str">
        <x:v>REDDIT</x:v>
      </x:c>
      <x:c r="F518" s="22" t="str">
        <x:v>Forum-content discovery</x:v>
      </x:c>
      <x:c r="G518" s="22" t="str">
        <x:v>Provisional ceiling from saved search/discovery context only. Verify the original page, account attribution and date; no result accuracy test.</x:v>
      </x:c>
      <x:c r="H518" s="22" t="str">
        <x:v>Lead only; inspect original content before attribution</x:v>
      </x:c>
      <x:c r="I518" s="22" t="str">
        <x:v>Not checked</x:v>
      </x:c>
      <x:c r="J518" s="22" t="str">
        <x:v>Saved bookmark metadata only</x:v>
      </x:c>
      <x:c r="K518" s="22" t="str"/>
      <x:c r="L518" s="24" t="str"/>
      <x:c r="M518" s="24" t="str">
        <x:v>https://redditmetis.com/</x:v>
      </x:c>
      <x:c r="N518" s="22" t="str">
        <x:v>268395899</x:v>
      </x:c>
      <x:c r="O518" s="22" t="n">
        <x:v>1027</x:v>
      </x:c>
      <x:c r="P518" s="22" t="n">
        <x:v>22</x:v>
      </x:c>
      <x:c r="Q518" s="22" t="str"/>
      <x:c r="R518" s="22" t="n">
        <x:f>COUNTIF($M$6:$M$1177,M518)</x:f>
        <x:v>1</x:v>
      </x:c>
      <x:c r="S518" s="22" t="str">
        <x:v>Supporting discovery</x:v>
      </x:c>
      <x:c r="T518" s="22" t="str">
        <x:v>Low</x:v>
      </x:c>
    </x:row>
    <x:row r="519" ht="54" customHeight="1">
      <x:c r="A519" s="22" t="n">
        <x:v>514</x:v>
      </x:c>
      <x:c r="B519" s="22" t="str">
        <x:v>Search Reddit Comments by User</x:v>
      </x:c>
      <x:c r="C519" s="43" t="str">
        <x:v>C-P</x:v>
      </x:c>
      <x:c r="D519" s="22" t="str">
        <x:v>Provisional</x:v>
      </x:c>
      <x:c r="E519" s="22" t="str">
        <x:v>REDDIT</x:v>
      </x:c>
      <x:c r="F519" s="22" t="str">
        <x:v>Forum-content discovery</x:v>
      </x:c>
      <x:c r="G519" s="22" t="str">
        <x:v>Provisional ceiling from saved search/discovery context only. Verify the original page, account attribution and date; no result accuracy test.</x:v>
      </x:c>
      <x:c r="H519" s="22" t="str">
        <x:v>Lead only; inspect original content before attribution</x:v>
      </x:c>
      <x:c r="I519" s="22" t="str">
        <x:v>Not checked</x:v>
      </x:c>
      <x:c r="J519" s="22" t="str">
        <x:v>Saved bookmark metadata only</x:v>
      </x:c>
      <x:c r="K519" s="22" t="str"/>
      <x:c r="L519" s="24" t="str"/>
      <x:c r="M519" s="24" t="str">
        <x:v>https://www.redditcommentsearch.com/</x:v>
      </x:c>
      <x:c r="N519" s="22" t="str">
        <x:v>268505089</x:v>
      </x:c>
      <x:c r="O519" s="22" t="n">
        <x:v>1027</x:v>
      </x:c>
      <x:c r="P519" s="22" t="n">
        <x:v>23</x:v>
      </x:c>
      <x:c r="Q519" s="22" t="str"/>
      <x:c r="R519" s="22" t="n">
        <x:f>COUNTIF($M$6:$M$1177,M519)</x:f>
        <x:v>1</x:v>
      </x:c>
      <x:c r="S519" s="22" t="str">
        <x:v>Supporting discovery</x:v>
      </x:c>
      <x:c r="T519" s="22" t="str">
        <x:v>Low</x:v>
      </x:c>
    </x:row>
    <x:row r="520" ht="54" customHeight="1">
      <x:c r="A520" s="22" t="n">
        <x:v>515</x:v>
      </x:c>
      <x:c r="B520" s="22" t="str">
        <x:v>Reddit Investigator</x:v>
      </x:c>
      <x:c r="C520" s="43" t="str">
        <x:v>C-P</x:v>
      </x:c>
      <x:c r="D520" s="22" t="str">
        <x:v>Provisional</x:v>
      </x:c>
      <x:c r="E520" s="22" t="str">
        <x:v>REDDIT</x:v>
      </x:c>
      <x:c r="F520" s="22" t="str">
        <x:v>Forum-content discovery</x:v>
      </x:c>
      <x:c r="G520" s="22" t="str">
        <x:v>Provisional ceiling from saved search/discovery context only. Verify the original page, account attribution and date; no result accuracy test.</x:v>
      </x:c>
      <x:c r="H520" s="22" t="str">
        <x:v>Lead only; inspect original content before attribution</x:v>
      </x:c>
      <x:c r="I520" s="22" t="str">
        <x:v>Not checked</x:v>
      </x:c>
      <x:c r="J520" s="22" t="str">
        <x:v>Saved bookmark metadata only</x:v>
      </x:c>
      <x:c r="K520" s="22" t="str"/>
      <x:c r="L520" s="24" t="str"/>
      <x:c r="M520" s="24" t="str">
        <x:v>https://www.redditinvestigator.com/</x:v>
      </x:c>
      <x:c r="N520" s="22" t="str">
        <x:v>268395901</x:v>
      </x:c>
      <x:c r="O520" s="22" t="n">
        <x:v>1027</x:v>
      </x:c>
      <x:c r="P520" s="22" t="n">
        <x:v>24</x:v>
      </x:c>
      <x:c r="Q520" s="22" t="str"/>
      <x:c r="R520" s="22" t="n">
        <x:f>COUNTIF($M$6:$M$1177,M520)</x:f>
        <x:v>1</x:v>
      </x:c>
      <x:c r="S520" s="22" t="str">
        <x:v>Supporting discovery</x:v>
      </x:c>
      <x:c r="T520" s="22" t="str">
        <x:v>Low</x:v>
      </x:c>
    </x:row>
    <x:row r="521" ht="54" customHeight="1">
      <x:c r="A521" s="22" t="n">
        <x:v>516</x:v>
      </x:c>
      <x:c r="B521" s="22" t="str">
        <x:v>pushshift.io</x:v>
      </x:c>
      <x:c r="C521" s="43" t="str">
        <x:v>C-P</x:v>
      </x:c>
      <x:c r="D521" s="22" t="str">
        <x:v>Provisional</x:v>
      </x:c>
      <x:c r="E521" s="22" t="str">
        <x:v>REDDIT</x:v>
      </x:c>
      <x:c r="F521" s="22" t="str">
        <x:v>Forum-content discovery</x:v>
      </x:c>
      <x:c r="G521" s="22" t="str">
        <x:v>Provisional ceiling from saved search/discovery context only. Verify the original page, account attribution and date; no result accuracy test.</x:v>
      </x:c>
      <x:c r="H521" s="22" t="str">
        <x:v>Lead only; inspect original content before attribution</x:v>
      </x:c>
      <x:c r="I521" s="22" t="str">
        <x:v>Not checked</x:v>
      </x:c>
      <x:c r="J521" s="22" t="str">
        <x:v>Saved bookmark metadata only</x:v>
      </x:c>
      <x:c r="K521" s="22" t="str"/>
      <x:c r="L521" s="24" t="str"/>
      <x:c r="M521" s="24" t="str">
        <x:v>https://pushshift.io/</x:v>
      </x:c>
      <x:c r="N521" s="22" t="str">
        <x:v>268395845</x:v>
      </x:c>
      <x:c r="O521" s="22" t="n">
        <x:v>1027</x:v>
      </x:c>
      <x:c r="P521" s="22" t="n">
        <x:v>25</x:v>
      </x:c>
      <x:c r="Q521" s="22" t="str"/>
      <x:c r="R521" s="22" t="n">
        <x:f>COUNTIF($M$6:$M$1177,M521)</x:f>
        <x:v>1</x:v>
      </x:c>
      <x:c r="S521" s="22" t="str">
        <x:v>Supporting discovery</x:v>
      </x:c>
      <x:c r="T521" s="22" t="str">
        <x:v>Low</x:v>
      </x:c>
    </x:row>
    <x:row r="522" ht="54" customHeight="1">
      <x:c r="A522" s="22" t="n">
        <x:v>517</x:v>
      </x:c>
      <x:c r="B522" s="22" t="str">
        <x:v>Pushshift API Guide</x:v>
      </x:c>
      <x:c r="C522" s="43" t="str">
        <x:v>C-P</x:v>
      </x:c>
      <x:c r="D522" s="22" t="str">
        <x:v>Provisional</x:v>
      </x:c>
      <x:c r="E522" s="22" t="str">
        <x:v>REDDIT</x:v>
      </x:c>
      <x:c r="F522" s="22" t="str">
        <x:v>Forum-content discovery</x:v>
      </x:c>
      <x:c r="G522" s="22" t="str">
        <x:v>Provisional ceiling from saved search/discovery context only. Verify the original page, account attribution and date; no result accuracy test.</x:v>
      </x:c>
      <x:c r="H522" s="22" t="str">
        <x:v>Lead only; inspect original content before attribution</x:v>
      </x:c>
      <x:c r="I522" s="22" t="str">
        <x:v>Not checked</x:v>
      </x:c>
      <x:c r="J522" s="22" t="str">
        <x:v>Saved bookmark metadata only</x:v>
      </x:c>
      <x:c r="K522" s="22" t="str"/>
      <x:c r="L522" s="24" t="str"/>
      <x:c r="M522" s="24" t="str">
        <x:v>https://github.com/pushshift/api</x:v>
      </x:c>
      <x:c r="N522" s="22" t="str">
        <x:v>268395903</x:v>
      </x:c>
      <x:c r="O522" s="22" t="n">
        <x:v>1027</x:v>
      </x:c>
      <x:c r="P522" s="22" t="n">
        <x:v>26</x:v>
      </x:c>
      <x:c r="Q522" s="22" t="str"/>
      <x:c r="R522" s="22" t="n">
        <x:f>COUNTIF($M$6:$M$1177,M522)</x:f>
        <x:v>1</x:v>
      </x:c>
      <x:c r="S522" s="22" t="str">
        <x:v>Supporting discovery</x:v>
      </x:c>
      <x:c r="T522" s="22" t="str">
        <x:v>Low</x:v>
      </x:c>
    </x:row>
    <x:row r="523" ht="54" customHeight="1">
      <x:c r="A523" s="22" t="n">
        <x:v>518</x:v>
      </x:c>
      <x:c r="B523" s="22" t="str">
        <x:v>Searcheddit</x:v>
      </x:c>
      <x:c r="C523" s="43" t="str">
        <x:v>C-P</x:v>
      </x:c>
      <x:c r="D523" s="22" t="str">
        <x:v>Provisional</x:v>
      </x:c>
      <x:c r="E523" s="22" t="str">
        <x:v>REDDIT</x:v>
      </x:c>
      <x:c r="F523" s="22" t="str">
        <x:v>Forum-content discovery</x:v>
      </x:c>
      <x:c r="G523" s="22" t="str">
        <x:v>Provisional ceiling from saved search/discovery context only. Verify the original page, account attribution and date; no result accuracy test.</x:v>
      </x:c>
      <x:c r="H523" s="22" t="str">
        <x:v>Lead only; inspect original content before attribution</x:v>
      </x:c>
      <x:c r="I523" s="22" t="str">
        <x:v>Not checked</x:v>
      </x:c>
      <x:c r="J523" s="22" t="str">
        <x:v>Saved bookmark metadata only</x:v>
      </x:c>
      <x:c r="K523" s="22" t="str"/>
      <x:c r="L523" s="24" t="str"/>
      <x:c r="M523" s="24" t="str">
        <x:v>http://searcheddit.com/</x:v>
      </x:c>
      <x:c r="N523" s="22" t="str">
        <x:v>268514087</x:v>
      </x:c>
      <x:c r="O523" s="22" t="n">
        <x:v>1027</x:v>
      </x:c>
      <x:c r="P523" s="22" t="n">
        <x:v>27</x:v>
      </x:c>
      <x:c r="Q523" s="22" t="str"/>
      <x:c r="R523" s="22" t="n">
        <x:f>COUNTIF($M$6:$M$1177,M523)</x:f>
        <x:v>1</x:v>
      </x:c>
      <x:c r="S523" s="22" t="str">
        <x:v>Supporting discovery</x:v>
      </x:c>
      <x:c r="T523" s="22" t="str">
        <x:v>Low</x:v>
      </x:c>
    </x:row>
    <x:row r="524" ht="54" customHeight="1">
      <x:c r="A524" s="22" t="n">
        <x:v>519</x:v>
      </x:c>
      <x:c r="B524" s="22" t="str">
        <x:v>Removeddit</x:v>
      </x:c>
      <x:c r="C524" s="43" t="str">
        <x:v>C-P</x:v>
      </x:c>
      <x:c r="D524" s="22" t="str">
        <x:v>Provisional</x:v>
      </x:c>
      <x:c r="E524" s="22" t="str">
        <x:v>REDDIT</x:v>
      </x:c>
      <x:c r="F524" s="22" t="str">
        <x:v>Forum-content discovery</x:v>
      </x:c>
      <x:c r="G524" s="22" t="str">
        <x:v>Provisional ceiling from saved search/discovery context only. Verify the original page, account attribution and date; no result accuracy test.</x:v>
      </x:c>
      <x:c r="H524" s="22" t="str">
        <x:v>Lead only; inspect original content before attribution</x:v>
      </x:c>
      <x:c r="I524" s="22" t="str">
        <x:v>Not checked</x:v>
      </x:c>
      <x:c r="J524" s="22" t="str">
        <x:v>Saved bookmark metadata only</x:v>
      </x:c>
      <x:c r="K524" s="22" t="str"/>
      <x:c r="L524" s="24" t="str"/>
      <x:c r="M524" s="24" t="str">
        <x:v>https://removeddit.com/</x:v>
      </x:c>
      <x:c r="N524" s="22" t="str">
        <x:v>289965368</x:v>
      </x:c>
      <x:c r="O524" s="22" t="n">
        <x:v>1027</x:v>
      </x:c>
      <x:c r="P524" s="22" t="n">
        <x:v>28</x:v>
      </x:c>
      <x:c r="Q524" s="22" t="str"/>
      <x:c r="R524" s="22" t="n">
        <x:f>COUNTIF($M$6:$M$1177,M524)</x:f>
        <x:v>1</x:v>
      </x:c>
      <x:c r="S524" s="22" t="str">
        <x:v>Supporting discovery</x:v>
      </x:c>
      <x:c r="T524" s="22" t="str">
        <x:v>Low</x:v>
      </x:c>
    </x:row>
    <x:row r="525" ht="54" customHeight="1">
      <x:c r="A525" s="22" t="n">
        <x:v>520</x:v>
      </x:c>
      <x:c r="B525" s="22" t="str">
        <x:v>Deaditarchive.netlify.app</x:v>
      </x:c>
      <x:c r="C525" s="43" t="str">
        <x:v>C-P</x:v>
      </x:c>
      <x:c r="D525" s="22" t="str">
        <x:v>Provisional</x:v>
      </x:c>
      <x:c r="E525" s="22" t="str">
        <x:v>REDDIT</x:v>
      </x:c>
      <x:c r="F525" s="22" t="str">
        <x:v>Forum-content discovery</x:v>
      </x:c>
      <x:c r="G525" s="22" t="str">
        <x:v>Provisional ceiling from saved search/discovery context only. Verify the original page, account attribution and date; no result accuracy test.</x:v>
      </x:c>
      <x:c r="H525" s="22" t="str">
        <x:v>Lead only; inspect original content before attribution</x:v>
      </x:c>
      <x:c r="I525" s="22" t="str">
        <x:v>Not checked</x:v>
      </x:c>
      <x:c r="J525" s="22" t="str">
        <x:v>Saved bookmark metadata only</x:v>
      </x:c>
      <x:c r="K525" s="22" t="str"/>
      <x:c r="L525" s="24" t="str"/>
      <x:c r="M525" s="24" t="str">
        <x:v>https://deaditarchive.netlify.app/</x:v>
      </x:c>
      <x:c r="N525" s="22" t="str">
        <x:v>311647581</x:v>
      </x:c>
      <x:c r="O525" s="22" t="n">
        <x:v>1027</x:v>
      </x:c>
      <x:c r="P525" s="22" t="n">
        <x:v>29</x:v>
      </x:c>
      <x:c r="Q525" s="22" t="str"/>
      <x:c r="R525" s="22" t="n">
        <x:f>COUNTIF($M$6:$M$1177,M525)</x:f>
        <x:v>1</x:v>
      </x:c>
      <x:c r="S525" s="22" t="str">
        <x:v>Supporting discovery</x:v>
      </x:c>
      <x:c r="T525" s="22" t="str">
        <x:v>Low</x:v>
      </x:c>
    </x:row>
    <x:row r="526" ht="54" customHeight="1">
      <x:c r="A526" s="22" t="n">
        <x:v>521</x:v>
      </x:c>
      <x:c r="B526" s="22" t="str">
        <x:v>Map of Reddit</x:v>
      </x:c>
      <x:c r="C526" s="43" t="str">
        <x:v>C-P</x:v>
      </x:c>
      <x:c r="D526" s="22" t="str">
        <x:v>Provisional</x:v>
      </x:c>
      <x:c r="E526" s="22" t="str">
        <x:v>REDDIT</x:v>
      </x:c>
      <x:c r="F526" s="22" t="str">
        <x:v>Forum-content discovery</x:v>
      </x:c>
      <x:c r="G526" s="22" t="str">
        <x:v>Provisional ceiling from saved search/discovery context only. Verify the original page, account attribution and date; no result accuracy test.</x:v>
      </x:c>
      <x:c r="H526" s="22" t="str">
        <x:v>Lead only; inspect original content before attribution</x:v>
      </x:c>
      <x:c r="I526" s="22" t="str">
        <x:v>Not checked</x:v>
      </x:c>
      <x:c r="J526" s="22" t="str">
        <x:v>Saved bookmark metadata only</x:v>
      </x:c>
      <x:c r="K526" s="22" t="str"/>
      <x:c r="L526" s="24" t="str"/>
      <x:c r="M526" s="24" t="str">
        <x:v>https://anvaka.github.io/map-of-reddit/</x:v>
      </x:c>
      <x:c r="N526" s="22" t="str">
        <x:v>311647585</x:v>
      </x:c>
      <x:c r="O526" s="22" t="n">
        <x:v>1027</x:v>
      </x:c>
      <x:c r="P526" s="22" t="n">
        <x:v>30</x:v>
      </x:c>
      <x:c r="Q526" s="22" t="str"/>
      <x:c r="R526" s="22" t="n">
        <x:f>COUNTIF($M$6:$M$1177,M526)</x:f>
        <x:v>1</x:v>
      </x:c>
      <x:c r="S526" s="22" t="str">
        <x:v>Supporting discovery</x:v>
      </x:c>
      <x:c r="T526" s="22" t="str">
        <x:v>Low</x:v>
      </x:c>
    </x:row>
    <x:row r="527" ht="54" customHeight="1">
      <x:c r="A527" s="22" t="n">
        <x:v>522</x:v>
      </x:c>
      <x:c r="B527" s="22" t="str">
        <x:v>reddit visualization</x:v>
      </x:c>
      <x:c r="C527" s="43" t="str">
        <x:v>C-P</x:v>
      </x:c>
      <x:c r="D527" s="22" t="str">
        <x:v>Provisional</x:v>
      </x:c>
      <x:c r="E527" s="22" t="str">
        <x:v>REDDIT</x:v>
      </x:c>
      <x:c r="F527" s="22" t="str">
        <x:v>Forum-content discovery</x:v>
      </x:c>
      <x:c r="G527" s="22" t="str">
        <x:v>Provisional ceiling from saved search/discovery context only. Verify the original page, account attribution and date; no result accuracy test.</x:v>
      </x:c>
      <x:c r="H527" s="22" t="str">
        <x:v>Lead only; inspect original content before attribution</x:v>
      </x:c>
      <x:c r="I527" s="22" t="str">
        <x:v>Not checked</x:v>
      </x:c>
      <x:c r="J527" s="22" t="str">
        <x:v>Saved bookmark metadata only</x:v>
      </x:c>
      <x:c r="K527" s="22" t="str"/>
      <x:c r="L527" s="24" t="str"/>
      <x:c r="M527" s="24" t="str">
        <x:v>https://yasiv.com/reddit</x:v>
      </x:c>
      <x:c r="N527" s="22" t="str">
        <x:v>311647586</x:v>
      </x:c>
      <x:c r="O527" s="22" t="n">
        <x:v>1027</x:v>
      </x:c>
      <x:c r="P527" s="22" t="n">
        <x:v>31</x:v>
      </x:c>
      <x:c r="Q527" s="22" t="str"/>
      <x:c r="R527" s="22" t="n">
        <x:f>COUNTIF($M$6:$M$1177,M527)</x:f>
        <x:v>1</x:v>
      </x:c>
      <x:c r="S527" s="22" t="str">
        <x:v>Supporting discovery</x:v>
      </x:c>
      <x:c r="T527" s="22" t="str">
        <x:v>Low</x:v>
      </x:c>
    </x:row>
    <x:row r="528" ht="54" customHeight="1">
      <x:c r="A528" s="22" t="n">
        <x:v>523</x:v>
      </x:c>
      <x:c r="B528" s="22" t="str">
        <x:v>ReSavr</x:v>
      </x:c>
      <x:c r="C528" s="43" t="str">
        <x:v>C-P</x:v>
      </x:c>
      <x:c r="D528" s="22" t="str">
        <x:v>Provisional</x:v>
      </x:c>
      <x:c r="E528" s="22" t="str">
        <x:v>REDDIT</x:v>
      </x:c>
      <x:c r="F528" s="22" t="str">
        <x:v>Forum-content discovery</x:v>
      </x:c>
      <x:c r="G528" s="22" t="str">
        <x:v>Provisional ceiling from saved search/discovery context only. Verify the original page, account attribution and date; no result accuracy test.</x:v>
      </x:c>
      <x:c r="H528" s="22" t="str">
        <x:v>Lead only; inspect original content before attribution</x:v>
      </x:c>
      <x:c r="I528" s="22" t="str">
        <x:v>Not checked</x:v>
      </x:c>
      <x:c r="J528" s="22" t="str">
        <x:v>Saved bookmark metadata only</x:v>
      </x:c>
      <x:c r="K528" s="22" t="str"/>
      <x:c r="L528" s="24" t="str"/>
      <x:c r="M528" s="24" t="str">
        <x:v>https://www.resavr.com/</x:v>
      </x:c>
      <x:c r="N528" s="22" t="str">
        <x:v>311647587</x:v>
      </x:c>
      <x:c r="O528" s="22" t="n">
        <x:v>1027</x:v>
      </x:c>
      <x:c r="P528" s="22" t="n">
        <x:v>32</x:v>
      </x:c>
      <x:c r="Q528" s="22" t="str"/>
      <x:c r="R528" s="22" t="n">
        <x:f>COUNTIF($M$6:$M$1177,M528)</x:f>
        <x:v>1</x:v>
      </x:c>
      <x:c r="S528" s="22" t="str">
        <x:v>Supporting discovery</x:v>
      </x:c>
      <x:c r="T528" s="22" t="str">
        <x:v>Low</x:v>
      </x:c>
    </x:row>
    <x:row r="529" ht="54" customHeight="1">
      <x:c r="A529" s="22" t="n">
        <x:v>524</x:v>
      </x:c>
      <x:c r="B529" s="22" t="str">
        <x:v>Redditle.com</x:v>
      </x:c>
      <x:c r="C529" s="43" t="str">
        <x:v>C-P</x:v>
      </x:c>
      <x:c r="D529" s="22" t="str">
        <x:v>Provisional</x:v>
      </x:c>
      <x:c r="E529" s="22" t="str">
        <x:v>REDDIT</x:v>
      </x:c>
      <x:c r="F529" s="22" t="str">
        <x:v>Forum-content discovery</x:v>
      </x:c>
      <x:c r="G529" s="22" t="str">
        <x:v>Provisional ceiling from saved search/discovery context only. Verify the original page, account attribution and date; no result accuracy test.</x:v>
      </x:c>
      <x:c r="H529" s="22" t="str">
        <x:v>Lead only; inspect original content before attribution</x:v>
      </x:c>
      <x:c r="I529" s="22" t="str">
        <x:v>Not checked</x:v>
      </x:c>
      <x:c r="J529" s="22" t="str">
        <x:v>Saved bookmark metadata only</x:v>
      </x:c>
      <x:c r="K529" s="22" t="str"/>
      <x:c r="L529" s="24" t="str"/>
      <x:c r="M529" s="24" t="str">
        <x:v>https://redditle.com/</x:v>
      </x:c>
      <x:c r="N529" s="22" t="str">
        <x:v>311647588</x:v>
      </x:c>
      <x:c r="O529" s="22" t="n">
        <x:v>1027</x:v>
      </x:c>
      <x:c r="P529" s="22" t="n">
        <x:v>33</x:v>
      </x:c>
      <x:c r="Q529" s="22" t="str"/>
      <x:c r="R529" s="22" t="n">
        <x:f>COUNTIF($M$6:$M$1177,M529)</x:f>
        <x:v>1</x:v>
      </x:c>
      <x:c r="S529" s="22" t="str">
        <x:v>Supporting discovery</x:v>
      </x:c>
      <x:c r="T529" s="22" t="str">
        <x:v>Low</x:v>
      </x:c>
    </x:row>
    <x:row r="530" ht="54" customHeight="1">
      <x:c r="A530" s="22" t="n">
        <x:v>525</x:v>
      </x:c>
      <x:c r="B530" s="22" t="str">
        <x:v>Libredd.it</x:v>
      </x:c>
      <x:c r="C530" s="43" t="str">
        <x:v>C-P</x:v>
      </x:c>
      <x:c r="D530" s="22" t="str">
        <x:v>Provisional</x:v>
      </x:c>
      <x:c r="E530" s="22" t="str">
        <x:v>REDDIT</x:v>
      </x:c>
      <x:c r="F530" s="22" t="str">
        <x:v>Forum-content discovery</x:v>
      </x:c>
      <x:c r="G530" s="22" t="str">
        <x:v>Provisional ceiling from saved search/discovery context only. Verify the original page, account attribution and date; no result accuracy test.</x:v>
      </x:c>
      <x:c r="H530" s="22" t="str">
        <x:v>Lead only; inspect original content before attribution</x:v>
      </x:c>
      <x:c r="I530" s="22" t="str">
        <x:v>Not checked</x:v>
      </x:c>
      <x:c r="J530" s="22" t="str">
        <x:v>Saved bookmark metadata only</x:v>
      </x:c>
      <x:c r="K530" s="22" t="str"/>
      <x:c r="L530" s="24" t="str"/>
      <x:c r="M530" s="24" t="str">
        <x:v>https://libredd.it/</x:v>
      </x:c>
      <x:c r="N530" s="22" t="str">
        <x:v>311647589</x:v>
      </x:c>
      <x:c r="O530" s="22" t="n">
        <x:v>1027</x:v>
      </x:c>
      <x:c r="P530" s="22" t="n">
        <x:v>34</x:v>
      </x:c>
      <x:c r="Q530" s="22" t="str"/>
      <x:c r="R530" s="22" t="n">
        <x:f>COUNTIF($M$6:$M$1177,M530)</x:f>
        <x:v>1</x:v>
      </x:c>
      <x:c r="S530" s="22" t="str">
        <x:v>Supporting discovery</x:v>
      </x:c>
      <x:c r="T530" s="22" t="str">
        <x:v>Low</x:v>
      </x:c>
    </x:row>
    <x:row r="531" ht="54" customHeight="1">
      <x:c r="A531" s="22" t="n">
        <x:v>526</x:v>
      </x:c>
      <x:c r="B531" s="22" t="str">
        <x:v>LinkedIn Search</x:v>
      </x:c>
      <x:c r="C531" s="43" t="str">
        <x:v>C-P</x:v>
      </x:c>
      <x:c r="D531" s="22" t="str">
        <x:v>Provisional</x:v>
      </x:c>
      <x:c r="E531" s="22" t="str">
        <x:v>LINKEDIN</x:v>
      </x:c>
      <x:c r="F531" s="22" t="str">
        <x:v>Professional-profile discovery</x:v>
      </x:c>
      <x:c r="G531" s="22" t="str">
        <x:v>Provisional ceiling from saved search/discovery context only. Verify the original page, account attribution and date; no result accuracy test.</x:v>
      </x:c>
      <x:c r="H531" s="22" t="str">
        <x:v>Lead only; inspect original content before attribution</x:v>
      </x:c>
      <x:c r="I531" s="22" t="str">
        <x:v>Not checked</x:v>
      </x:c>
      <x:c r="J531" s="22" t="str">
        <x:v>Saved bookmark metadata only</x:v>
      </x:c>
      <x:c r="K531" s="22" t="str"/>
      <x:c r="L531" s="24" t="str"/>
      <x:c r="M531" s="24" t="str">
        <x:v>https://recruitin.net/</x:v>
      </x:c>
      <x:c r="N531" s="22" t="str">
        <x:v>288757777</x:v>
      </x:c>
      <x:c r="O531" s="22" t="n">
        <x:v>1027</x:v>
      </x:c>
      <x:c r="P531" s="22" t="n">
        <x:v>1</x:v>
      </x:c>
      <x:c r="Q531" s="22" t="str"/>
      <x:c r="R531" s="22" t="n">
        <x:f>COUNTIF($M$6:$M$1177,M531)</x:f>
        <x:v>1</x:v>
      </x:c>
      <x:c r="S531" s="22" t="str">
        <x:v>Supporting discovery</x:v>
      </x:c>
      <x:c r="T531" s="22" t="str">
        <x:v>Low</x:v>
      </x:c>
    </x:row>
    <x:row r="532" ht="54" customHeight="1">
      <x:c r="A532" s="22" t="n">
        <x:v>527</x:v>
      </x:c>
      <x:c r="B532" s="22" t="str">
        <x:v>LinkedIn X-Ray Search Tool</x:v>
      </x:c>
      <x:c r="C532" s="43" t="str">
        <x:v>C-P</x:v>
      </x:c>
      <x:c r="D532" s="22" t="str">
        <x:v>Provisional</x:v>
      </x:c>
      <x:c r="E532" s="22" t="str">
        <x:v>LINKEDIN</x:v>
      </x:c>
      <x:c r="F532" s="22" t="str">
        <x:v>Professional-profile discovery</x:v>
      </x:c>
      <x:c r="G532" s="22" t="str">
        <x:v>Provisional ceiling from saved search/discovery context only. Verify the original page, account attribution and date; no result accuracy test.</x:v>
      </x:c>
      <x:c r="H532" s="22" t="str">
        <x:v>Lead only; inspect original content before attribution</x:v>
      </x:c>
      <x:c r="I532" s="22" t="str">
        <x:v>Not checked</x:v>
      </x:c>
      <x:c r="J532" s="22" t="str">
        <x:v>Saved bookmark metadata only</x:v>
      </x:c>
      <x:c r="K532" s="22" t="str"/>
      <x:c r="L532" s="24" t="str"/>
      <x:c r="M532" s="24" t="str">
        <x:v>https://www.lisearcher.com/</x:v>
      </x:c>
      <x:c r="N532" s="22" t="str">
        <x:v>311645292</x:v>
      </x:c>
      <x:c r="O532" s="22" t="n">
        <x:v>1028</x:v>
      </x:c>
      <x:c r="P532" s="22" t="n">
        <x:v>2</x:v>
      </x:c>
      <x:c r="Q532" s="22" t="str"/>
      <x:c r="R532" s="22" t="n">
        <x:f>COUNTIF($M$6:$M$1177,M532)</x:f>
        <x:v>1</x:v>
      </x:c>
      <x:c r="S532" s="22" t="str">
        <x:v>Supporting discovery</x:v>
      </x:c>
      <x:c r="T532" s="22" t="str">
        <x:v>Low</x:v>
      </x:c>
    </x:row>
    <x:row r="533" ht="54" customHeight="1">
      <x:c r="A533" s="22" t="n">
        <x:v>528</x:v>
      </x:c>
      <x:c r="B533" s="22" t="str">
        <x:v>LinkedProspect</x:v>
      </x:c>
      <x:c r="C533" s="43" t="str">
        <x:v>C-P</x:v>
      </x:c>
      <x:c r="D533" s="22" t="str">
        <x:v>Provisional</x:v>
      </x:c>
      <x:c r="E533" s="22" t="str">
        <x:v>LINKEDIN</x:v>
      </x:c>
      <x:c r="F533" s="22" t="str">
        <x:v>Professional-profile discovery</x:v>
      </x:c>
      <x:c r="G533" s="22" t="str">
        <x:v>Provisional ceiling from saved search/discovery context only. Verify the original page, account attribution and date; no result accuracy test.</x:v>
      </x:c>
      <x:c r="H533" s="22" t="str">
        <x:v>Lead only; inspect original content before attribution</x:v>
      </x:c>
      <x:c r="I533" s="22" t="str">
        <x:v>Not checked</x:v>
      </x:c>
      <x:c r="J533" s="22" t="str">
        <x:v>Saved bookmark metadata only</x:v>
      </x:c>
      <x:c r="K533" s="22" t="str"/>
      <x:c r="L533" s="24" t="str"/>
      <x:c r="M533" s="24" t="str">
        <x:v>https://linkedprospect.com/linkedin-boolean-search-tool/</x:v>
      </x:c>
      <x:c r="N533" s="22" t="str">
        <x:v>311645243</x:v>
      </x:c>
      <x:c r="O533" s="22" t="n">
        <x:v>1028</x:v>
      </x:c>
      <x:c r="P533" s="22" t="n">
        <x:v>3</x:v>
      </x:c>
      <x:c r="Q533" s="22" t="str"/>
      <x:c r="R533" s="22" t="n">
        <x:f>COUNTIF($M$6:$M$1177,M533)</x:f>
        <x:v>1</x:v>
      </x:c>
      <x:c r="S533" s="22" t="str">
        <x:v>Supporting discovery</x:v>
      </x:c>
      <x:c r="T533" s="22" t="str">
        <x:v>Low</x:v>
      </x:c>
    </x:row>
    <x:row r="534" ht="48" customHeight="1">
      <x:c r="A534" s="22" t="n">
        <x:v>529</x:v>
      </x:c>
      <x:c r="B534" s="22" t="str">
        <x:v>LinkedIn Search Engine</x:v>
      </x:c>
      <x:c r="C534" s="43" t="str">
        <x:v>C-P</x:v>
      </x:c>
      <x:c r="D534" s="22" t="str">
        <x:v>Provisional</x:v>
      </x:c>
      <x:c r="E534" s="22" t="str">
        <x:v>LINKEDIN</x:v>
      </x:c>
      <x:c r="F534" s="22" t="str">
        <x:v>Custom-search discovery only</x:v>
      </x:c>
      <x:c r="G534" s="22" t="str">
        <x:v>The saved URL identifies a custom search. This engine's configuration, coverage and query results were not tested.</x:v>
      </x:c>
      <x:c r="H534" s="22" t="str">
        <x:v>Open and verify the original result; do not count the search as corroboration</x:v>
      </x:c>
      <x:c r="I534" s="22" t="str">
        <x:v>Not checked</x:v>
      </x:c>
      <x:c r="J534" s="22" t="str">
        <x:v>Saved bookmark metadata only</x:v>
      </x:c>
      <x:c r="K534" s="22" t="str"/>
      <x:c r="L534" s="24" t="str"/>
      <x:c r="M534" s="24" t="str">
        <x:v>https://cse.google.com/cse?cx=daaf18e804f81bed0</x:v>
      </x:c>
      <x:c r="N534" s="22" t="str">
        <x:v>286819376</x:v>
      </x:c>
      <x:c r="O534" s="22" t="n">
        <x:v>1028</x:v>
      </x:c>
      <x:c r="P534" s="22" t="n">
        <x:v>4</x:v>
      </x:c>
      <x:c r="Q534" s="22" t="str"/>
      <x:c r="R534" s="22" t="n">
        <x:f>COUNTIF($M$6:$M$1177,M534)</x:f>
        <x:v>1</x:v>
      </x:c>
      <x:c r="S534" s="22" t="str">
        <x:v>Supporting discovery</x:v>
      </x:c>
      <x:c r="T534" s="22" t="str">
        <x:v>Low</x:v>
      </x:c>
    </x:row>
    <x:row r="535" ht="48" customHeight="1">
      <x:c r="A535" s="22" t="n">
        <x:v>530</x:v>
      </x:c>
      <x:c r="B535" s="22" t="str">
        <x:v>LinkedIn Search Engine (with Images)</x:v>
      </x:c>
      <x:c r="C535" s="43" t="str">
        <x:v>C-P</x:v>
      </x:c>
      <x:c r="D535" s="22" t="str">
        <x:v>Provisional</x:v>
      </x:c>
      <x:c r="E535" s="22" t="str">
        <x:v>LINKEDIN</x:v>
      </x:c>
      <x:c r="F535" s="22" t="str">
        <x:v>Custom-search discovery only</x:v>
      </x:c>
      <x:c r="G535" s="22" t="str">
        <x:v>The saved URL identifies a custom search. This engine's configuration, coverage and query results were not tested.</x:v>
      </x:c>
      <x:c r="H535" s="22" t="str">
        <x:v>Open and verify the original result; do not count the search as corroboration</x:v>
      </x:c>
      <x:c r="I535" s="22" t="str">
        <x:v>Not checked</x:v>
      </x:c>
      <x:c r="J535" s="22" t="str">
        <x:v>Saved bookmark metadata only</x:v>
      </x:c>
      <x:c r="K535" s="22" t="str"/>
      <x:c r="L535" s="24" t="str"/>
      <x:c r="M535" s="24" t="str">
        <x:v>https://cse.google.com/cse?cx=40126f0af1aff84f8</x:v>
      </x:c>
      <x:c r="N535" s="22" t="str">
        <x:v>311644947</x:v>
      </x:c>
      <x:c r="O535" s="22" t="n">
        <x:v>1028</x:v>
      </x:c>
      <x:c r="P535" s="22" t="n">
        <x:v>5</x:v>
      </x:c>
      <x:c r="Q535" s="22" t="str"/>
      <x:c r="R535" s="22" t="n">
        <x:f>COUNTIF($M$6:$M$1177,M535)</x:f>
        <x:v>1</x:v>
      </x:c>
      <x:c r="S535" s="22" t="str">
        <x:v>Supporting discovery</x:v>
      </x:c>
      <x:c r="T535" s="22" t="str">
        <x:v>Low</x:v>
      </x:c>
    </x:row>
    <x:row r="536" ht="54" customHeight="1">
      <x:c r="A536" s="22" t="n">
        <x:v>531</x:v>
      </x:c>
      <x:c r="B536" s="22" t="str">
        <x:v>Chartloop</x:v>
      </x:c>
      <x:c r="C536" s="43" t="str">
        <x:v>C-P</x:v>
      </x:c>
      <x:c r="D536" s="22" t="str">
        <x:v>Provisional</x:v>
      </x:c>
      <x:c r="E536" s="22" t="str">
        <x:v>LINKEDIN</x:v>
      </x:c>
      <x:c r="F536" s="22" t="str">
        <x:v>Professional-profile discovery</x:v>
      </x:c>
      <x:c r="G536" s="22" t="str">
        <x:v>Provisional ceiling from saved search/discovery context only. Verify the original page, account attribution and date; no result accuracy test.</x:v>
      </x:c>
      <x:c r="H536" s="22" t="str">
        <x:v>Lead only; inspect original content before attribution</x:v>
      </x:c>
      <x:c r="I536" s="22" t="str">
        <x:v>Not checked</x:v>
      </x:c>
      <x:c r="J536" s="22" t="str">
        <x:v>Saved bookmark metadata only</x:v>
      </x:c>
      <x:c r="K536" s="22" t="str"/>
      <x:c r="L536" s="24" t="str"/>
      <x:c r="M536" s="24" t="str">
        <x:v>https://buildorgchart.herokuapp.com/</x:v>
      </x:c>
      <x:c r="N536" s="22" t="str">
        <x:v>311645240</x:v>
      </x:c>
      <x:c r="O536" s="22" t="n">
        <x:v>1028</x:v>
      </x:c>
      <x:c r="P536" s="22" t="n">
        <x:v>6</x:v>
      </x:c>
      <x:c r="Q536" s="22" t="str"/>
      <x:c r="R536" s="22" t="n">
        <x:f>COUNTIF($M$6:$M$1177,M536)</x:f>
        <x:v>1</x:v>
      </x:c>
      <x:c r="S536" s="22" t="str">
        <x:v>Supporting discovery</x:v>
      </x:c>
      <x:c r="T536" s="22" t="str">
        <x:v>Low</x:v>
      </x:c>
    </x:row>
    <x:row r="537" ht="54" customHeight="1">
      <x:c r="A537" s="22" t="n">
        <x:v>532</x:v>
      </x:c>
      <x:c r="B537" s="22" t="str">
        <x:v>Proxycurl</x:v>
      </x:c>
      <x:c r="C537" s="43" t="str">
        <x:v>C-P</x:v>
      </x:c>
      <x:c r="D537" s="22" t="str">
        <x:v>Provisional</x:v>
      </x:c>
      <x:c r="E537" s="22" t="str">
        <x:v>LINKEDIN</x:v>
      </x:c>
      <x:c r="F537" s="22" t="str">
        <x:v>Professional-profile discovery</x:v>
      </x:c>
      <x:c r="G537" s="22" t="str">
        <x:v>Provisional ceiling from saved search/discovery context only. Verify the original page, account attribution and date; no result accuracy test.</x:v>
      </x:c>
      <x:c r="H537" s="22" t="str">
        <x:v>Lead only; inspect original content before attribution</x:v>
      </x:c>
      <x:c r="I537" s="22" t="str">
        <x:v>Not checked</x:v>
      </x:c>
      <x:c r="J537" s="22" t="str">
        <x:v>Saved bookmark metadata only</x:v>
      </x:c>
      <x:c r="K537" s="22" t="str"/>
      <x:c r="L537" s="24" t="str"/>
      <x:c r="M537" s="24" t="str">
        <x:v>https://nubela.co/proxycurl/</x:v>
      </x:c>
      <x:c r="N537" s="22" t="str">
        <x:v>291767491</x:v>
      </x:c>
      <x:c r="O537" s="22" t="n">
        <x:v>1028</x:v>
      </x:c>
      <x:c r="P537" s="22" t="n">
        <x:v>7</x:v>
      </x:c>
      <x:c r="Q537" s="22" t="str"/>
      <x:c r="R537" s="22" t="n">
        <x:f>COUNTIF($M$6:$M$1177,M537)</x:f>
        <x:v>1</x:v>
      </x:c>
      <x:c r="S537" s="22" t="str">
        <x:v>Supporting discovery</x:v>
      </x:c>
      <x:c r="T537" s="22" t="str">
        <x:v>Low</x:v>
      </x:c>
    </x:row>
    <x:row r="538" ht="54" customHeight="1">
      <x:c r="A538" s="22" t="n">
        <x:v>533</x:v>
      </x:c>
      <x:c r="B538" s="22" t="str">
        <x:v>nqntnqnqmb</x:v>
      </x:c>
      <x:c r="C538" s="43" t="str">
        <x:v>C-P</x:v>
      </x:c>
      <x:c r="D538" s="22" t="str">
        <x:v>Provisional</x:v>
      </x:c>
      <x:c r="E538" s="22" t="str">
        <x:v>LINKEDIN</x:v>
      </x:c>
      <x:c r="F538" s="22" t="str">
        <x:v>Professional-profile discovery</x:v>
      </x:c>
      <x:c r="G538" s="22" t="str">
        <x:v>Provisional ceiling from saved search/discovery context only. Verify the original page, account attribution and date; no result accuracy test.</x:v>
      </x:c>
      <x:c r="H538" s="22" t="str">
        <x:v>Lead only; inspect original content before attribution</x:v>
      </x:c>
      <x:c r="I538" s="22" t="str">
        <x:v>Not checked</x:v>
      </x:c>
      <x:c r="J538" s="22" t="str">
        <x:v>Saved bookmark metadata only</x:v>
      </x:c>
      <x:c r="K538" s="22" t="str"/>
      <x:c r="L538" s="24" t="str"/>
      <x:c r="M538" s="24" t="str">
        <x:v>https://pypi.org/project/nqntnqnqmb/</x:v>
      </x:c>
      <x:c r="N538" s="22" t="str">
        <x:v>309551495</x:v>
      </x:c>
      <x:c r="O538" s="22" t="n">
        <x:v>1028</x:v>
      </x:c>
      <x:c r="P538" s="22" t="n">
        <x:v>8</x:v>
      </x:c>
      <x:c r="Q538" s="22" t="str"/>
      <x:c r="R538" s="22" t="n">
        <x:f>COUNTIF($M$6:$M$1177,M538)</x:f>
        <x:v>1</x:v>
      </x:c>
      <x:c r="S538" s="22" t="str">
        <x:v>Supporting discovery</x:v>
      </x:c>
      <x:c r="T538" s="22" t="str">
        <x:v>Low</x:v>
      </x:c>
    </x:row>
    <x:row r="539" ht="54" customHeight="1">
      <x:c r="A539" s="22" t="n">
        <x:v>534</x:v>
      </x:c>
      <x:c r="B539" s="22" t="str">
        <x:v>LinkedIn Email Reverse Lookup</x:v>
      </x:c>
      <x:c r="C539" s="43" t="str">
        <x:v>C-P</x:v>
      </x:c>
      <x:c r="D539" s="22" t="str">
        <x:v>Provisional</x:v>
      </x:c>
      <x:c r="E539" s="22" t="str">
        <x:v>LINKEDIN</x:v>
      </x:c>
      <x:c r="F539" s="22" t="str">
        <x:v>Professional-profile discovery</x:v>
      </x:c>
      <x:c r="G539" s="22" t="str">
        <x:v>Provisional ceiling from saved search/discovery context only. Verify the original page, account attribution and date; no result accuracy test.</x:v>
      </x:c>
      <x:c r="H539" s="22" t="str">
        <x:v>Lead only; inspect original content before attribution</x:v>
      </x:c>
      <x:c r="I539" s="22" t="str">
        <x:v>Not checked</x:v>
      </x:c>
      <x:c r="J539" s="22" t="str">
        <x:v>Saved bookmark metadata only</x:v>
      </x:c>
      <x:c r="K539" s="22" t="str"/>
      <x:c r="L539" s="24" t="str"/>
      <x:c r="M539" s="24" t="str">
        <x:v>https://osint.support/chrome-extensions/2019/09/03/linkedin-email-reverse-lookup.html</x:v>
      </x:c>
      <x:c r="N539" s="22" t="str">
        <x:v>289965596</x:v>
      </x:c>
      <x:c r="O539" s="22" t="n">
        <x:v>1029</x:v>
      </x:c>
      <x:c r="P539" s="22" t="n">
        <x:v>9</x:v>
      </x:c>
      <x:c r="Q539" s="22" t="str"/>
      <x:c r="R539" s="22" t="n">
        <x:f>COUNTIF($M$6:$M$1177,M539)</x:f>
        <x:v>1</x:v>
      </x:c>
      <x:c r="S539" s="22" t="str">
        <x:v>Supporting discovery</x:v>
      </x:c>
      <x:c r="T539" s="22" t="str">
        <x:v>Low</x:v>
      </x:c>
    </x:row>
    <x:row r="540" ht="48" customHeight="1">
      <x:c r="A540" s="22" t="n">
        <x:v>535</x:v>
      </x:c>
      <x:c r="B540" s="22" t="str">
        <x:v>Google+ Photo Custom Search</x:v>
      </x:c>
      <x:c r="C540" s="43" t="str">
        <x:v>C-P</x:v>
      </x:c>
      <x:c r="D540" s="22" t="str">
        <x:v>Provisional</x:v>
      </x:c>
      <x:c r="E540" s="22" t="str">
        <x:v>GOOGLE</x:v>
      </x:c>
      <x:c r="F540" s="22" t="str">
        <x:v>Custom-search discovery only</x:v>
      </x:c>
      <x:c r="G540" s="22" t="str">
        <x:v>The saved URL identifies a custom search. This engine's configuration, coverage and query results were not tested.</x:v>
      </x:c>
      <x:c r="H540" s="22" t="str">
        <x:v>Open and verify the original result; do not count the search as corroboration</x:v>
      </x:c>
      <x:c r="I540" s="22" t="str">
        <x:v>Not checked</x:v>
      </x:c>
      <x:c r="J540" s="22" t="str">
        <x:v>Saved bookmark metadata only</x:v>
      </x:c>
      <x:c r="K540" s="22" t="str"/>
      <x:c r="L540" s="24" t="str"/>
      <x:c r="M540" s="24" t="str">
        <x:v>https://cse.google.com/cse/publicurl?cx=006205189065513216365:uo99tr1fxjq</x:v>
      </x:c>
      <x:c r="N540" s="22" t="str">
        <x:v>290065441</x:v>
      </x:c>
      <x:c r="O540" s="22" t="n">
        <x:v>1029</x:v>
      </x:c>
      <x:c r="P540" s="22" t="n">
        <x:v>1</x:v>
      </x:c>
      <x:c r="Q540" s="22" t="str"/>
      <x:c r="R540" s="22" t="n">
        <x:f>COUNTIF($M$6:$M$1177,M540)</x:f>
        <x:v>1</x:v>
      </x:c>
      <x:c r="S540" s="22" t="str">
        <x:v>Supporting discovery</x:v>
      </x:c>
      <x:c r="T540" s="22" t="str">
        <x:v>Low</x:v>
      </x:c>
    </x:row>
    <x:row r="541" ht="54" customHeight="1">
      <x:c r="A541" s="22" t="n">
        <x:v>536</x:v>
      </x:c>
      <x:c r="B541" s="22" t="str">
        <x:v>GHunt</x:v>
      </x:c>
      <x:c r="C541" s="43" t="str">
        <x:v>C-P</x:v>
      </x:c>
      <x:c r="D541" s="22" t="str">
        <x:v>Provisional</x:v>
      </x:c>
      <x:c r="E541" s="22" t="str">
        <x:v>GOOGLE</x:v>
      </x:c>
      <x:c r="F541" s="22" t="str">
        <x:v>Google-account / web discovery</x:v>
      </x:c>
      <x:c r="G541" s="22" t="str">
        <x:v>Provisional ceiling from saved search/discovery context only. Verify the original page, account attribution and date; no result accuracy test.</x:v>
      </x:c>
      <x:c r="H541" s="22" t="str">
        <x:v>Lead only; inspect original content before attribution</x:v>
      </x:c>
      <x:c r="I541" s="22" t="str">
        <x:v>Not checked</x:v>
      </x:c>
      <x:c r="J541" s="22" t="str">
        <x:v>Saved bookmark metadata only</x:v>
      </x:c>
      <x:c r="K541" s="22" t="str"/>
      <x:c r="L541" s="24" t="str"/>
      <x:c r="M541" s="24" t="str">
        <x:v>https://github.com/mxrch/GHunt</x:v>
      </x:c>
      <x:c r="N541" s="22" t="str">
        <x:v>289966177</x:v>
      </x:c>
      <x:c r="O541" s="22" t="n">
        <x:v>1029</x:v>
      </x:c>
      <x:c r="P541" s="22" t="n">
        <x:v>2</x:v>
      </x:c>
      <x:c r="Q541" s="22" t="str"/>
      <x:c r="R541" s="22" t="n">
        <x:f>COUNTIF($M$6:$M$1177,M541)</x:f>
        <x:v>1</x:v>
      </x:c>
      <x:c r="S541" s="22" t="str">
        <x:v>Supporting discovery</x:v>
      </x:c>
      <x:c r="T541" s="22" t="str">
        <x:v>Low</x:v>
      </x:c>
    </x:row>
    <x:row r="542" ht="54" customHeight="1">
      <x:c r="A542" s="22" t="n">
        <x:v>537</x:v>
      </x:c>
      <x:c r="B542" s="22" t="str">
        <x:v>Google Social Search</x:v>
      </x:c>
      <x:c r="C542" s="43" t="str">
        <x:v>C-P</x:v>
      </x:c>
      <x:c r="D542" s="22" t="str">
        <x:v>Provisional</x:v>
      </x:c>
      <x:c r="E542" s="22" t="str">
        <x:v>GOOGLE</x:v>
      </x:c>
      <x:c r="F542" s="22" t="str">
        <x:v>Google-account / web discovery</x:v>
      </x:c>
      <x:c r="G542" s="22" t="str">
        <x:v>Provisional ceiling from saved search/discovery context only. Verify the original page, account attribution and date; no result accuracy test.</x:v>
      </x:c>
      <x:c r="H542" s="22" t="str">
        <x:v>Lead only; inspect original content before attribution</x:v>
      </x:c>
      <x:c r="I542" s="22" t="str">
        <x:v>Not checked</x:v>
      </x:c>
      <x:c r="J542" s="22" t="str">
        <x:v>Saved bookmark metadata only</x:v>
      </x:c>
      <x:c r="K542" s="22" t="str"/>
      <x:c r="L542" s="24" t="str"/>
      <x:c r="M542" s="24" t="str">
        <x:v>https://www.social-searcher.com/google-social-search/</x:v>
      </x:c>
      <x:c r="N542" s="22" t="str">
        <x:v>268387356</x:v>
      </x:c>
      <x:c r="O542" s="22" t="n">
        <x:v>1029</x:v>
      </x:c>
      <x:c r="P542" s="22" t="n">
        <x:v>3</x:v>
      </x:c>
      <x:c r="Q542" s="22" t="str"/>
      <x:c r="R542" s="22" t="n">
        <x:f>COUNTIF($M$6:$M$1177,M542)</x:f>
        <x:v>1</x:v>
      </x:c>
      <x:c r="S542" s="22" t="str">
        <x:v>Supporting discovery</x:v>
      </x:c>
      <x:c r="T542" s="22" t="str">
        <x:v>Low</x:v>
      </x:c>
    </x:row>
    <x:row r="543" ht="54" customHeight="1">
      <x:c r="A543" s="22" t="n">
        <x:v>538</x:v>
      </x:c>
      <x:c r="B543" s="22" t="str">
        <x:v>Google+ &amp; LinkedIn</x:v>
      </x:c>
      <x:c r="C543" s="43" t="str">
        <x:v>C-P</x:v>
      </x:c>
      <x:c r="D543" s="22" t="str">
        <x:v>Provisional</x:v>
      </x:c>
      <x:c r="E543" s="22" t="str">
        <x:v>GOOGLE</x:v>
      </x:c>
      <x:c r="F543" s="22" t="str">
        <x:v>Google-account / web discovery</x:v>
      </x:c>
      <x:c r="G543" s="22" t="str">
        <x:v>Provisional ceiling from saved search/discovery context only. Verify the original page, account attribution and date; no result accuracy test.</x:v>
      </x:c>
      <x:c r="H543" s="22" t="str">
        <x:v>Lead only; inspect original content before attribution</x:v>
      </x:c>
      <x:c r="I543" s="22" t="str">
        <x:v>Not checked</x:v>
      </x:c>
      <x:c r="J543" s="22" t="str">
        <x:v>Saved bookmark metadata only</x:v>
      </x:c>
      <x:c r="K543" s="22" t="str"/>
      <x:c r="L543" s="24" t="str"/>
      <x:c r="M543" s="24" t="str">
        <x:v>https://one-plus.github.io/G+Link</x:v>
      </x:c>
      <x:c r="N543" s="22" t="str">
        <x:v>286013818</x:v>
      </x:c>
      <x:c r="O543" s="22" t="n">
        <x:v>1029</x:v>
      </x:c>
      <x:c r="P543" s="22" t="n">
        <x:v>4</x:v>
      </x:c>
      <x:c r="Q543" s="22" t="str"/>
      <x:c r="R543" s="22" t="n">
        <x:f>COUNTIF($M$6:$M$1177,M543)</x:f>
        <x:v>1</x:v>
      </x:c>
      <x:c r="S543" s="22" t="str">
        <x:v>Supporting discovery</x:v>
      </x:c>
      <x:c r="T543" s="22" t="str">
        <x:v>Low</x:v>
      </x:c>
    </x:row>
    <x:row r="544" ht="54" customHeight="1">
      <x:c r="A544" s="22" t="n">
        <x:v>539</x:v>
      </x:c>
      <x:c r="B544" s="22" t="str">
        <x:v>Discord User Search</x:v>
      </x:c>
      <x:c r="C544" s="43" t="str">
        <x:v>C-P</x:v>
      </x:c>
      <x:c r="D544" s="22" t="str">
        <x:v>Provisional</x:v>
      </x:c>
      <x:c r="E544" s="22" t="str">
        <x:v>DISCORD</x:v>
      </x:c>
      <x:c r="F544" s="22" t="str">
        <x:v>Server / account / content discovery</x:v>
      </x:c>
      <x:c r="G544" s="22" t="str">
        <x:v>Provisional ceiling from saved search/discovery context only. Verify the original page, account attribution and date; no result accuracy test.</x:v>
      </x:c>
      <x:c r="H544" s="22" t="str">
        <x:v>Lead only; inspect original content before attribution</x:v>
      </x:c>
      <x:c r="I544" s="22" t="str">
        <x:v>Not checked</x:v>
      </x:c>
      <x:c r="J544" s="22" t="str">
        <x:v>Saved bookmark metadata only</x:v>
      </x:c>
      <x:c r="K544" s="22" t="str"/>
      <x:c r="L544" s="24" t="str"/>
      <x:c r="M544" s="24" t="str">
        <x:v>https://discordhub.com/user/search</x:v>
      </x:c>
      <x:c r="N544" s="22" t="str">
        <x:v>268393780</x:v>
      </x:c>
      <x:c r="O544" s="22" t="n">
        <x:v>1029</x:v>
      </x:c>
      <x:c r="P544" s="22" t="n">
        <x:v>1</x:v>
      </x:c>
      <x:c r="Q544" s="22" t="str"/>
      <x:c r="R544" s="22" t="n">
        <x:f>COUNTIF($M$6:$M$1177,M544)</x:f>
        <x:v>1</x:v>
      </x:c>
      <x:c r="S544" s="22" t="str">
        <x:v>Supporting discovery</x:v>
      </x:c>
      <x:c r="T544" s="22" t="str">
        <x:v>Low</x:v>
      </x:c>
    </x:row>
    <x:row r="545" ht="54" customHeight="1">
      <x:c r="A545" s="22" t="n">
        <x:v>540</x:v>
      </x:c>
      <x:c r="B545" s="22" t="str">
        <x:v>Discord Me</x:v>
      </x:c>
      <x:c r="C545" s="43" t="str">
        <x:v>C-P</x:v>
      </x:c>
      <x:c r="D545" s="22" t="str">
        <x:v>Provisional</x:v>
      </x:c>
      <x:c r="E545" s="22" t="str">
        <x:v>DISCORD</x:v>
      </x:c>
      <x:c r="F545" s="22" t="str">
        <x:v>Server / account / content discovery</x:v>
      </x:c>
      <x:c r="G545" s="22" t="str">
        <x:v>Provisional ceiling from saved search/discovery context only. Verify the original page, account attribution and date; no result accuracy test.</x:v>
      </x:c>
      <x:c r="H545" s="22" t="str">
        <x:v>Lead only; inspect original content before attribution</x:v>
      </x:c>
      <x:c r="I545" s="22" t="str">
        <x:v>Not checked</x:v>
      </x:c>
      <x:c r="J545" s="22" t="str">
        <x:v>Saved bookmark metadata only</x:v>
      </x:c>
      <x:c r="K545" s="22" t="str"/>
      <x:c r="L545" s="24" t="str"/>
      <x:c r="M545" s="24" t="str">
        <x:v>https://discord.me/</x:v>
      </x:c>
      <x:c r="N545" s="22" t="str">
        <x:v>286643541</x:v>
      </x:c>
      <x:c r="O545" s="22" t="n">
        <x:v>1029</x:v>
      </x:c>
      <x:c r="P545" s="22" t="n">
        <x:v>2</x:v>
      </x:c>
      <x:c r="Q545" s="22" t="str"/>
      <x:c r="R545" s="22" t="n">
        <x:f>COUNTIF($M$6:$M$1177,M545)</x:f>
        <x:v>1</x:v>
      </x:c>
      <x:c r="S545" s="22" t="str">
        <x:v>Supporting discovery</x:v>
      </x:c>
      <x:c r="T545" s="22" t="str">
        <x:v>Low</x:v>
      </x:c>
    </x:row>
    <x:row r="546" ht="54" customHeight="1">
      <x:c r="A546" s="22" t="n">
        <x:v>541</x:v>
      </x:c>
      <x:c r="B546" s="22" t="str">
        <x:v>Enlarge Discord avatars</x:v>
      </x:c>
      <x:c r="C546" s="43" t="str">
        <x:v>C-P</x:v>
      </x:c>
      <x:c r="D546" s="22" t="str">
        <x:v>Provisional</x:v>
      </x:c>
      <x:c r="E546" s="22" t="str">
        <x:v>DISCORD</x:v>
      </x:c>
      <x:c r="F546" s="22" t="str">
        <x:v>Server / account / content discovery</x:v>
      </x:c>
      <x:c r="G546" s="22" t="str">
        <x:v>Provisional ceiling from saved search/discovery context only. Verify the original page, account attribution and date; no result accuracy test.</x:v>
      </x:c>
      <x:c r="H546" s="22" t="str">
        <x:v>Lead only; inspect original content before attribution</x:v>
      </x:c>
      <x:c r="I546" s="22" t="str">
        <x:v>Not checked</x:v>
      </x:c>
      <x:c r="J546" s="22" t="str">
        <x:v>Saved bookmark metadata only</x:v>
      </x:c>
      <x:c r="K546" s="22" t="str"/>
      <x:c r="L546" s="24" t="str"/>
      <x:c r="M546" s="24" t="str">
        <x:v>https://discordzoom.com/en/</x:v>
      </x:c>
      <x:c r="N546" s="22" t="str">
        <x:v>286643734</x:v>
      </x:c>
      <x:c r="O546" s="22" t="n">
        <x:v>1029</x:v>
      </x:c>
      <x:c r="P546" s="22" t="n">
        <x:v>3</x:v>
      </x:c>
      <x:c r="Q546" s="22" t="str"/>
      <x:c r="R546" s="22" t="n">
        <x:f>COUNTIF($M$6:$M$1177,M546)</x:f>
        <x:v>1</x:v>
      </x:c>
      <x:c r="S546" s="22" t="str">
        <x:v>Supporting discovery</x:v>
      </x:c>
      <x:c r="T546" s="22" t="str">
        <x:v>Low</x:v>
      </x:c>
    </x:row>
    <x:row r="547" ht="54" customHeight="1">
      <x:c r="A547" s="22" t="n">
        <x:v>542</x:v>
      </x:c>
      <x:c r="B547" s="22" t="str">
        <x:v>Discord History Tracker</x:v>
      </x:c>
      <x:c r="C547" s="43" t="str">
        <x:v>C-P</x:v>
      </x:c>
      <x:c r="D547" s="22" t="str">
        <x:v>Provisional</x:v>
      </x:c>
      <x:c r="E547" s="22" t="str">
        <x:v>DISCORD</x:v>
      </x:c>
      <x:c r="F547" s="22" t="str">
        <x:v>Server / account / content discovery</x:v>
      </x:c>
      <x:c r="G547" s="22" t="str">
        <x:v>Provisional ceiling from saved search/discovery context only. Verify the original page, account attribution and date; no result accuracy test.</x:v>
      </x:c>
      <x:c r="H547" s="22" t="str">
        <x:v>Lead only; inspect original content before attribution</x:v>
      </x:c>
      <x:c r="I547" s="22" t="str">
        <x:v>Not checked</x:v>
      </x:c>
      <x:c r="J547" s="22" t="str">
        <x:v>Saved bookmark metadata only</x:v>
      </x:c>
      <x:c r="K547" s="22" t="str"/>
      <x:c r="L547" s="24" t="str"/>
      <x:c r="M547" s="24" t="str">
        <x:v>https://dht.chylex.com/</x:v>
      </x:c>
      <x:c r="N547" s="22" t="str">
        <x:v>286643933</x:v>
      </x:c>
      <x:c r="O547" s="22" t="n">
        <x:v>1029</x:v>
      </x:c>
      <x:c r="P547" s="22" t="n">
        <x:v>4</x:v>
      </x:c>
      <x:c r="Q547" s="22" t="str"/>
      <x:c r="R547" s="22" t="n">
        <x:f>COUNTIF($M$6:$M$1177,M547)</x:f>
        <x:v>1</x:v>
      </x:c>
      <x:c r="S547" s="22" t="str">
        <x:v>Supporting discovery</x:v>
      </x:c>
      <x:c r="T547" s="22" t="str">
        <x:v>Low</x:v>
      </x:c>
    </x:row>
    <x:row r="548" ht="54" customHeight="1">
      <x:c r="A548" s="22" t="n">
        <x:v>543</x:v>
      </x:c>
      <x:c r="B548" s="22" t="str">
        <x:v>DiscordOSINT</x:v>
      </x:c>
      <x:c r="C548" s="43" t="str">
        <x:v>C-P</x:v>
      </x:c>
      <x:c r="D548" s="22" t="str">
        <x:v>Provisional</x:v>
      </x:c>
      <x:c r="E548" s="22" t="str">
        <x:v>DISCORD</x:v>
      </x:c>
      <x:c r="F548" s="22" t="str">
        <x:v>Server / account / content discovery</x:v>
      </x:c>
      <x:c r="G548" s="22" t="str">
        <x:v>Provisional ceiling from saved search/discovery context only. Verify the original page, account attribution and date; no result accuracy test.</x:v>
      </x:c>
      <x:c r="H548" s="22" t="str">
        <x:v>Lead only; inspect original content before attribution</x:v>
      </x:c>
      <x:c r="I548" s="22" t="str">
        <x:v>Not checked</x:v>
      </x:c>
      <x:c r="J548" s="22" t="str">
        <x:v>Saved bookmark metadata only</x:v>
      </x:c>
      <x:c r="K548" s="22" t="str"/>
      <x:c r="L548" s="24" t="str"/>
      <x:c r="M548" s="24" t="str">
        <x:v>https://github.com/atoncehussein/DiscordOSINT</x:v>
      </x:c>
      <x:c r="N548" s="22" t="str">
        <x:v>286643683</x:v>
      </x:c>
      <x:c r="O548" s="22" t="n">
        <x:v>1030</x:v>
      </x:c>
      <x:c r="P548" s="22" t="n">
        <x:v>5</x:v>
      </x:c>
      <x:c r="Q548" s="22" t="str"/>
      <x:c r="R548" s="22" t="n">
        <x:f>COUNTIF($M$6:$M$1177,M548)</x:f>
        <x:v>1</x:v>
      </x:c>
      <x:c r="S548" s="22" t="str">
        <x:v>Supporting discovery</x:v>
      </x:c>
      <x:c r="T548" s="22" t="str">
        <x:v>Low</x:v>
      </x:c>
    </x:row>
    <x:row r="549" ht="54" customHeight="1">
      <x:c r="A549" s="22" t="n">
        <x:v>544</x:v>
      </x:c>
      <x:c r="B549" s="22" t="str">
        <x:v>DiscordServers</x:v>
      </x:c>
      <x:c r="C549" s="43" t="str">
        <x:v>C-P</x:v>
      </x:c>
      <x:c r="D549" s="22" t="str">
        <x:v>Provisional</x:v>
      </x:c>
      <x:c r="E549" s="22" t="str">
        <x:v>DISCORD</x:v>
      </x:c>
      <x:c r="F549" s="22" t="str">
        <x:v>Server / account / content discovery</x:v>
      </x:c>
      <x:c r="G549" s="22" t="str">
        <x:v>Provisional ceiling from saved search/discovery context only. Verify the original page, account attribution and date; no result accuracy test.</x:v>
      </x:c>
      <x:c r="H549" s="22" t="str">
        <x:v>Lead only; inspect original content before attribution</x:v>
      </x:c>
      <x:c r="I549" s="22" t="str">
        <x:v>Not checked</x:v>
      </x:c>
      <x:c r="J549" s="22" t="str">
        <x:v>Saved bookmark metadata only</x:v>
      </x:c>
      <x:c r="K549" s="22" t="str"/>
      <x:c r="L549" s="24" t="str"/>
      <x:c r="M549" s="24" t="str">
        <x:v>https://discordservers.com/</x:v>
      </x:c>
      <x:c r="N549" s="22" t="str">
        <x:v>286643687</x:v>
      </x:c>
      <x:c r="O549" s="22" t="n">
        <x:v>1030</x:v>
      </x:c>
      <x:c r="P549" s="22" t="n">
        <x:v>6</x:v>
      </x:c>
      <x:c r="Q549" s="22" t="str"/>
      <x:c r="R549" s="22" t="n">
        <x:f>COUNTIF($M$6:$M$1177,M549)</x:f>
        <x:v>1</x:v>
      </x:c>
      <x:c r="S549" s="22" t="str">
        <x:v>Supporting discovery</x:v>
      </x:c>
      <x:c r="T549" s="22" t="str">
        <x:v>Low</x:v>
      </x:c>
    </x:row>
    <x:row r="550" ht="54" customHeight="1">
      <x:c r="A550" s="22" t="n">
        <x:v>545</x:v>
      </x:c>
      <x:c r="B550" s="22" t="str">
        <x:v>DISBOARD</x:v>
      </x:c>
      <x:c r="C550" s="43" t="str">
        <x:v>C-P</x:v>
      </x:c>
      <x:c r="D550" s="22" t="str">
        <x:v>Provisional</x:v>
      </x:c>
      <x:c r="E550" s="22" t="str">
        <x:v>DISCORD</x:v>
      </x:c>
      <x:c r="F550" s="22" t="str">
        <x:v>Server / account / content discovery</x:v>
      </x:c>
      <x:c r="G550" s="22" t="str">
        <x:v>Provisional ceiling from saved search/discovery context only. Verify the original page, account attribution and date; no result accuracy test.</x:v>
      </x:c>
      <x:c r="H550" s="22" t="str">
        <x:v>Lead only; inspect original content before attribution</x:v>
      </x:c>
      <x:c r="I550" s="22" t="str">
        <x:v>Not checked</x:v>
      </x:c>
      <x:c r="J550" s="22" t="str">
        <x:v>Saved bookmark metadata only</x:v>
      </x:c>
      <x:c r="K550" s="22" t="str"/>
      <x:c r="L550" s="24" t="str"/>
      <x:c r="M550" s="24" t="str">
        <x:v>https://disboard.org/</x:v>
      </x:c>
      <x:c r="N550" s="22" t="str">
        <x:v>286643688</x:v>
      </x:c>
      <x:c r="O550" s="22" t="n">
        <x:v>1030</x:v>
      </x:c>
      <x:c r="P550" s="22" t="n">
        <x:v>7</x:v>
      </x:c>
      <x:c r="Q550" s="22" t="str"/>
      <x:c r="R550" s="22" t="n">
        <x:f>COUNTIF($M$6:$M$1177,M550)</x:f>
        <x:v>1</x:v>
      </x:c>
      <x:c r="S550" s="22" t="str">
        <x:v>Supporting discovery</x:v>
      </x:c>
      <x:c r="T550" s="22" t="str">
        <x:v>Low</x:v>
      </x:c>
    </x:row>
    <x:row r="551" ht="54" customHeight="1">
      <x:c r="A551" s="22" t="n">
        <x:v>546</x:v>
      </x:c>
      <x:c r="B551" s="22" t="str">
        <x:v>Discord Servers Portal</x:v>
      </x:c>
      <x:c r="C551" s="43" t="str">
        <x:v>C-P</x:v>
      </x:c>
      <x:c r="D551" s="22" t="str">
        <x:v>Provisional</x:v>
      </x:c>
      <x:c r="E551" s="22" t="str">
        <x:v>DISCORD</x:v>
      </x:c>
      <x:c r="F551" s="22" t="str">
        <x:v>Server / account / content discovery</x:v>
      </x:c>
      <x:c r="G551" s="22" t="str">
        <x:v>Provisional ceiling from saved search/discovery context only. Verify the original page, account attribution and date; no result accuracy test.</x:v>
      </x:c>
      <x:c r="H551" s="22" t="str">
        <x:v>Lead only; inspect original content before attribution</x:v>
      </x:c>
      <x:c r="I551" s="22" t="str">
        <x:v>Not checked</x:v>
      </x:c>
      <x:c r="J551" s="22" t="str">
        <x:v>Saved bookmark metadata only</x:v>
      </x:c>
      <x:c r="K551" s="22" t="str"/>
      <x:c r="L551" s="24" t="str"/>
      <x:c r="M551" s="24" t="str">
        <x:v>https://www.discordportal.com/</x:v>
      </x:c>
      <x:c r="N551" s="22" t="str">
        <x:v>286643691</x:v>
      </x:c>
      <x:c r="O551" s="22" t="n">
        <x:v>1030</x:v>
      </x:c>
      <x:c r="P551" s="22" t="n">
        <x:v>8</x:v>
      </x:c>
      <x:c r="Q551" s="22" t="str"/>
      <x:c r="R551" s="22" t="n">
        <x:f>COUNTIF($M$6:$M$1177,M551)</x:f>
        <x:v>1</x:v>
      </x:c>
      <x:c r="S551" s="22" t="str">
        <x:v>Supporting discovery</x:v>
      </x:c>
      <x:c r="T551" s="22" t="str">
        <x:v>Low</x:v>
      </x:c>
    </x:row>
    <x:row r="552" ht="54" customHeight="1">
      <x:c r="A552" s="22" t="n">
        <x:v>547</x:v>
      </x:c>
      <x:c r="B552" s="22" t="str">
        <x:v>Discord ID Lookup</x:v>
      </x:c>
      <x:c r="C552" s="43" t="str">
        <x:v>C-P</x:v>
      </x:c>
      <x:c r="D552" s="22" t="str">
        <x:v>Provisional</x:v>
      </x:c>
      <x:c r="E552" s="22" t="str">
        <x:v>DISCORD</x:v>
      </x:c>
      <x:c r="F552" s="22" t="str">
        <x:v>Server / account / content discovery</x:v>
      </x:c>
      <x:c r="G552" s="22" t="str">
        <x:v>Provisional ceiling from saved search/discovery context only. Verify the original page, account attribution and date; no result accuracy test.</x:v>
      </x:c>
      <x:c r="H552" s="22" t="str">
        <x:v>Lead only; inspect original content before attribution</x:v>
      </x:c>
      <x:c r="I552" s="22" t="str">
        <x:v>Not checked</x:v>
      </x:c>
      <x:c r="J552" s="22" t="str">
        <x:v>Saved bookmark metadata only</x:v>
      </x:c>
      <x:c r="K552" s="22" t="str"/>
      <x:c r="L552" s="24" t="str"/>
      <x:c r="M552" s="24" t="str">
        <x:v>https://discord.id/</x:v>
      </x:c>
      <x:c r="N552" s="22" t="str">
        <x:v>268393922</x:v>
      </x:c>
      <x:c r="O552" s="22" t="n">
        <x:v>1030</x:v>
      </x:c>
      <x:c r="P552" s="22" t="n">
        <x:v>9</x:v>
      </x:c>
      <x:c r="Q552" s="22" t="str"/>
      <x:c r="R552" s="22" t="n">
        <x:f>COUNTIF($M$6:$M$1177,M552)</x:f>
        <x:v>1</x:v>
      </x:c>
      <x:c r="S552" s="22" t="str">
        <x:v>Supporting discovery</x:v>
      </x:c>
      <x:c r="T552" s="22" t="str">
        <x:v>Low</x:v>
      </x:c>
    </x:row>
    <x:row r="553" ht="54" customHeight="1">
      <x:c r="A553" s="22" t="n">
        <x:v>548</x:v>
      </x:c>
      <x:c r="B553" s="22" t="str">
        <x:v>Discord Center</x:v>
      </x:c>
      <x:c r="C553" s="43" t="str">
        <x:v>C-P</x:v>
      </x:c>
      <x:c r="D553" s="22" t="str">
        <x:v>Provisional</x:v>
      </x:c>
      <x:c r="E553" s="22" t="str">
        <x:v>DISCORD</x:v>
      </x:c>
      <x:c r="F553" s="22" t="str">
        <x:v>Server / account / content discovery</x:v>
      </x:c>
      <x:c r="G553" s="22" t="str">
        <x:v>Provisional ceiling from saved search/discovery context only. Verify the original page, account attribution and date; no result accuracy test.</x:v>
      </x:c>
      <x:c r="H553" s="22" t="str">
        <x:v>Lead only; inspect original content before attribution</x:v>
      </x:c>
      <x:c r="I553" s="22" t="str">
        <x:v>Not checked</x:v>
      </x:c>
      <x:c r="J553" s="22" t="str">
        <x:v>Saved bookmark metadata only</x:v>
      </x:c>
      <x:c r="K553" s="22" t="str"/>
      <x:c r="L553" s="24" t="str"/>
      <x:c r="M553" s="24" t="str">
        <x:v>https://discord.center/</x:v>
      </x:c>
      <x:c r="N553" s="22" t="str">
        <x:v>286643693</x:v>
      </x:c>
      <x:c r="O553" s="22" t="n">
        <x:v>1030</x:v>
      </x:c>
      <x:c r="P553" s="22" t="n">
        <x:v>10</x:v>
      </x:c>
      <x:c r="Q553" s="22" t="str"/>
      <x:c r="R553" s="22" t="n">
        <x:f>COUNTIF($M$6:$M$1177,M553)</x:f>
        <x:v>1</x:v>
      </x:c>
      <x:c r="S553" s="22" t="str">
        <x:v>Supporting discovery</x:v>
      </x:c>
      <x:c r="T553" s="22" t="str">
        <x:v>Low</x:v>
      </x:c>
    </x:row>
    <x:row r="554" ht="54" customHeight="1">
      <x:c r="A554" s="22" t="n">
        <x:v>549</x:v>
      </x:c>
      <x:c r="B554" s="22" t="str">
        <x:v>Discord Bots</x:v>
      </x:c>
      <x:c r="C554" s="43" t="str">
        <x:v>C-P</x:v>
      </x:c>
      <x:c r="D554" s="22" t="str">
        <x:v>Provisional</x:v>
      </x:c>
      <x:c r="E554" s="22" t="str">
        <x:v>DISCORD</x:v>
      </x:c>
      <x:c r="F554" s="22" t="str">
        <x:v>Server / account / content discovery</x:v>
      </x:c>
      <x:c r="G554" s="22" t="str">
        <x:v>Provisional ceiling from saved search/discovery context only. Verify the original page, account attribution and date; no result accuracy test.</x:v>
      </x:c>
      <x:c r="H554" s="22" t="str">
        <x:v>Lead only; inspect original content before attribution</x:v>
      </x:c>
      <x:c r="I554" s="22" t="str">
        <x:v>Not checked</x:v>
      </x:c>
      <x:c r="J554" s="22" t="str">
        <x:v>Saved bookmark metadata only</x:v>
      </x:c>
      <x:c r="K554" s="22" t="str"/>
      <x:c r="L554" s="24" t="str"/>
      <x:c r="M554" s="24" t="str">
        <x:v>https://discordbotlist.com/</x:v>
      </x:c>
      <x:c r="N554" s="22" t="str">
        <x:v>286643732</x:v>
      </x:c>
      <x:c r="O554" s="22" t="n">
        <x:v>1030</x:v>
      </x:c>
      <x:c r="P554" s="22" t="n">
        <x:v>11</x:v>
      </x:c>
      <x:c r="Q554" s="22" t="str"/>
      <x:c r="R554" s="22" t="n">
        <x:f>COUNTIF($M$6:$M$1177,M554)</x:f>
        <x:v>1</x:v>
      </x:c>
      <x:c r="S554" s="22" t="str">
        <x:v>Supporting discovery</x:v>
      </x:c>
      <x:c r="T554" s="22" t="str">
        <x:v>Low</x:v>
      </x:c>
    </x:row>
    <x:row r="555" ht="54" customHeight="1">
      <x:c r="A555" s="22" t="n">
        <x:v>550</x:v>
      </x:c>
      <x:c r="B555" s="22" t="str">
        <x:v>Discord Bots</x:v>
      </x:c>
      <x:c r="C555" s="43" t="str">
        <x:v>C-P</x:v>
      </x:c>
      <x:c r="D555" s="22" t="str">
        <x:v>Provisional</x:v>
      </x:c>
      <x:c r="E555" s="22" t="str">
        <x:v>DISCORD</x:v>
      </x:c>
      <x:c r="F555" s="22" t="str">
        <x:v>Server / account / content discovery</x:v>
      </x:c>
      <x:c r="G555" s="22" t="str">
        <x:v>Provisional ceiling from saved search/discovery context only. Verify the original page, account attribution and date; no result accuracy test.</x:v>
      </x:c>
      <x:c r="H555" s="22" t="str">
        <x:v>Lead only; inspect original content before attribution</x:v>
      </x:c>
      <x:c r="I555" s="22" t="str">
        <x:v>Not checked</x:v>
      </x:c>
      <x:c r="J555" s="22" t="str">
        <x:v>Saved bookmark metadata only</x:v>
      </x:c>
      <x:c r="K555" s="22" t="str"/>
      <x:c r="L555" s="24" t="str"/>
      <x:c r="M555" s="24" t="str">
        <x:v>https://top.gg/</x:v>
      </x:c>
      <x:c r="N555" s="22" t="str">
        <x:v>286643694</x:v>
      </x:c>
      <x:c r="O555" s="22" t="n">
        <x:v>1030</x:v>
      </x:c>
      <x:c r="P555" s="22" t="n">
        <x:v>12</x:v>
      </x:c>
      <x:c r="Q555" s="22" t="str"/>
      <x:c r="R555" s="22" t="n">
        <x:f>COUNTIF($M$6:$M$1177,M555)</x:f>
        <x:v>1</x:v>
      </x:c>
      <x:c r="S555" s="22" t="str">
        <x:v>Supporting discovery</x:v>
      </x:c>
      <x:c r="T555" s="22" t="str">
        <x:v>Low</x:v>
      </x:c>
    </x:row>
    <x:row r="556" ht="54" customHeight="1">
      <x:c r="A556" s="22" t="n">
        <x:v>551</x:v>
      </x:c>
      <x:c r="B556" s="22" t="str">
        <x:v>Discord Bots</x:v>
      </x:c>
      <x:c r="C556" s="43" t="str">
        <x:v>C-P</x:v>
      </x:c>
      <x:c r="D556" s="22" t="str">
        <x:v>Provisional</x:v>
      </x:c>
      <x:c r="E556" s="22" t="str">
        <x:v>DISCORD</x:v>
      </x:c>
      <x:c r="F556" s="22" t="str">
        <x:v>Server / account / content discovery</x:v>
      </x:c>
      <x:c r="G556" s="22" t="str">
        <x:v>Provisional ceiling from saved search/discovery context only. Verify the original page, account attribution and date; no result accuracy test.</x:v>
      </x:c>
      <x:c r="H556" s="22" t="str">
        <x:v>Lead only; inspect original content before attribution</x:v>
      </x:c>
      <x:c r="I556" s="22" t="str">
        <x:v>Not checked</x:v>
      </x:c>
      <x:c r="J556" s="22" t="str">
        <x:v>Saved bookmark metadata only</x:v>
      </x:c>
      <x:c r="K556" s="22" t="str"/>
      <x:c r="L556" s="24" t="str"/>
      <x:c r="M556" s="24" t="str">
        <x:v>https://discord.bots.gg/</x:v>
      </x:c>
      <x:c r="N556" s="22" t="str">
        <x:v>286643730</x:v>
      </x:c>
      <x:c r="O556" s="22" t="n">
        <x:v>1030</x:v>
      </x:c>
      <x:c r="P556" s="22" t="n">
        <x:v>13</x:v>
      </x:c>
      <x:c r="Q556" s="22" t="str"/>
      <x:c r="R556" s="22" t="n">
        <x:f>COUNTIF($M$6:$M$1177,M556)</x:f>
        <x:v>1</x:v>
      </x:c>
      <x:c r="S556" s="22" t="str">
        <x:v>Supporting discovery</x:v>
      </x:c>
      <x:c r="T556" s="22" t="str">
        <x:v>Low</x:v>
      </x:c>
    </x:row>
    <x:row r="557" ht="54" customHeight="1">
      <x:c r="A557" s="22" t="n">
        <x:v>552</x:v>
      </x:c>
      <x:c r="B557" s="22" t="str">
        <x:v>TwitchTracker</x:v>
      </x:c>
      <x:c r="C557" s="43" t="str">
        <x:v>C-P</x:v>
      </x:c>
      <x:c r="D557" s="22" t="str">
        <x:v>Provisional</x:v>
      </x:c>
      <x:c r="E557" s="22" t="str">
        <x:v>TWITCH</x:v>
      </x:c>
      <x:c r="F557" s="22" t="str">
        <x:v>Streaming-account / content discovery</x:v>
      </x:c>
      <x:c r="G557" s="22" t="str">
        <x:v>Provisional ceiling from saved search/discovery context only. Verify the original page, account attribution and date; no result accuracy test.</x:v>
      </x:c>
      <x:c r="H557" s="22" t="str">
        <x:v>Lead only; inspect original content before attribution</x:v>
      </x:c>
      <x:c r="I557" s="22" t="str">
        <x:v>Not checked</x:v>
      </x:c>
      <x:c r="J557" s="22" t="str">
        <x:v>Saved bookmark metadata only</x:v>
      </x:c>
      <x:c r="K557" s="22" t="str"/>
      <x:c r="L557" s="24" t="str"/>
      <x:c r="M557" s="24" t="str">
        <x:v>https://twitchtracker.com/</x:v>
      </x:c>
      <x:c r="N557" s="22" t="str">
        <x:v>286643997</x:v>
      </x:c>
      <x:c r="O557" s="22" t="n">
        <x:v>1030</x:v>
      </x:c>
      <x:c r="P557" s="22" t="n">
        <x:v>1</x:v>
      </x:c>
      <x:c r="Q557" s="22" t="str"/>
      <x:c r="R557" s="22" t="n">
        <x:f>COUNTIF($M$6:$M$1177,M557)</x:f>
        <x:v>1</x:v>
      </x:c>
      <x:c r="S557" s="22" t="str">
        <x:v>Supporting discovery</x:v>
      </x:c>
      <x:c r="T557" s="22" t="str">
        <x:v>Low</x:v>
      </x:c>
    </x:row>
    <x:row r="558" ht="54" customHeight="1">
      <x:c r="A558" s="22" t="n">
        <x:v>553</x:v>
      </x:c>
      <x:c r="B558" s="22" t="str">
        <x:v>Twitch.fckdmca.com</x:v>
      </x:c>
      <x:c r="C558" s="43" t="str">
        <x:v>C-P</x:v>
      </x:c>
      <x:c r="D558" s="22" t="str">
        <x:v>Provisional</x:v>
      </x:c>
      <x:c r="E558" s="22" t="str">
        <x:v>TWITCH</x:v>
      </x:c>
      <x:c r="F558" s="22" t="str">
        <x:v>Streaming-account / content discovery</x:v>
      </x:c>
      <x:c r="G558" s="22" t="str">
        <x:v>Provisional ceiling from saved search/discovery context only. Verify the original page, account attribution and date; no result accuracy test.</x:v>
      </x:c>
      <x:c r="H558" s="22" t="str">
        <x:v>Lead only; inspect original content before attribution</x:v>
      </x:c>
      <x:c r="I558" s="22" t="str">
        <x:v>Not checked</x:v>
      </x:c>
      <x:c r="J558" s="22" t="str">
        <x:v>Saved bookmark metadata only</x:v>
      </x:c>
      <x:c r="K558" s="22" t="str"/>
      <x:c r="L558" s="24" t="str"/>
      <x:c r="M558" s="24" t="str">
        <x:v>https://twitch.fckdmca.com/</x:v>
      </x:c>
      <x:c r="N558" s="22" t="str">
        <x:v>305288984</x:v>
      </x:c>
      <x:c r="O558" s="22" t="n">
        <x:v>1030</x:v>
      </x:c>
      <x:c r="P558" s="22" t="n">
        <x:v>2</x:v>
      </x:c>
      <x:c r="Q558" s="22" t="str"/>
      <x:c r="R558" s="22" t="n">
        <x:f>COUNTIF($M$6:$M$1177,M558)</x:f>
        <x:v>1</x:v>
      </x:c>
      <x:c r="S558" s="22" t="str">
        <x:v>Supporting discovery</x:v>
      </x:c>
      <x:c r="T558" s="22" t="str">
        <x:v>Low</x:v>
      </x:c>
    </x:row>
    <x:row r="559" ht="54" customHeight="1">
      <x:c r="A559" s="22" t="n">
        <x:v>554</x:v>
      </x:c>
      <x:c r="B559" s="22" t="str">
        <x:v>Twitch Payout Search</x:v>
      </x:c>
      <x:c r="C559" s="43" t="str">
        <x:v>C-P</x:v>
      </x:c>
      <x:c r="D559" s="22" t="str">
        <x:v>Provisional</x:v>
      </x:c>
      <x:c r="E559" s="22" t="str">
        <x:v>TWITCH</x:v>
      </x:c>
      <x:c r="F559" s="22" t="str">
        <x:v>Streaming-account / content discovery</x:v>
      </x:c>
      <x:c r="G559" s="22" t="str">
        <x:v>Provisional ceiling from saved search/discovery context only. Verify the original page, account attribution and date; no result accuracy test.</x:v>
      </x:c>
      <x:c r="H559" s="22" t="str">
        <x:v>Lead only; inspect original content before attribution</x:v>
      </x:c>
      <x:c r="I559" s="22" t="str">
        <x:v>Not checked</x:v>
      </x:c>
      <x:c r="J559" s="22" t="str">
        <x:v>Saved bookmark metadata only</x:v>
      </x:c>
      <x:c r="K559" s="22" t="str"/>
      <x:c r="L559" s="24" t="str"/>
      <x:c r="M559" s="24" t="str">
        <x:v>https://sizeof.cat/project/twitch-payout-search/</x:v>
      </x:c>
      <x:c r="N559" s="22" t="str">
        <x:v>305288987</x:v>
      </x:c>
      <x:c r="O559" s="22" t="n">
        <x:v>1030</x:v>
      </x:c>
      <x:c r="P559" s="22" t="n">
        <x:v>3</x:v>
      </x:c>
      <x:c r="Q559" s="22" t="str"/>
      <x:c r="R559" s="22" t="n">
        <x:f>COUNTIF($M$6:$M$1177,M559)</x:f>
        <x:v>1</x:v>
      </x:c>
      <x:c r="S559" s="22" t="str">
        <x:v>Supporting discovery</x:v>
      </x:c>
      <x:c r="T559" s="22" t="str">
        <x:v>Low</x:v>
      </x:c>
    </x:row>
    <x:row r="560" ht="54" customHeight="1">
      <x:c r="A560" s="22" t="n">
        <x:v>555</x:v>
      </x:c>
      <x:c r="B560" s="22" t="str">
        <x:v>Search for a Twitch channel</x:v>
      </x:c>
      <x:c r="C560" s="43" t="str">
        <x:v>C-P</x:v>
      </x:c>
      <x:c r="D560" s="22" t="str">
        <x:v>Provisional</x:v>
      </x:c>
      <x:c r="E560" s="22" t="str">
        <x:v>TWITCH</x:v>
      </x:c>
      <x:c r="F560" s="22" t="str">
        <x:v>Streaming-account / content discovery</x:v>
      </x:c>
      <x:c r="G560" s="22" t="str">
        <x:v>Provisional ceiling from saved search/discovery context only. Verify the original page, account attribution and date; no result accuracy test.</x:v>
      </x:c>
      <x:c r="H560" s="22" t="str">
        <x:v>Lead only; inspect original content before attribution</x:v>
      </x:c>
      <x:c r="I560" s="22" t="str">
        <x:v>Not checked</x:v>
      </x:c>
      <x:c r="J560" s="22" t="str">
        <x:v>Saved bookmark metadata only</x:v>
      </x:c>
      <x:c r="K560" s="22" t="str"/>
      <x:c r="L560" s="24" t="str"/>
      <x:c r="M560" s="24" t="str">
        <x:v>https://sullygnome.com/channelsearch</x:v>
      </x:c>
      <x:c r="N560" s="22" t="str">
        <x:v>305289038</x:v>
      </x:c>
      <x:c r="O560" s="22" t="n">
        <x:v>1030</x:v>
      </x:c>
      <x:c r="P560" s="22" t="n">
        <x:v>4</x:v>
      </x:c>
      <x:c r="Q560" s="22" t="str"/>
      <x:c r="R560" s="22" t="n">
        <x:f>COUNTIF($M$6:$M$1177,M560)</x:f>
        <x:v>1</x:v>
      </x:c>
      <x:c r="S560" s="22" t="str">
        <x:v>Supporting discovery</x:v>
      </x:c>
      <x:c r="T560" s="22" t="str">
        <x:v>Low</x:v>
      </x:c>
    </x:row>
    <x:row r="561" ht="54" customHeight="1">
      <x:c r="A561" s="22" t="n">
        <x:v>556</x:v>
      </x:c>
      <x:c r="B561" s="22" t="str">
        <x:v>Searchstream.live</x:v>
      </x:c>
      <x:c r="C561" s="43" t="str">
        <x:v>C-P</x:v>
      </x:c>
      <x:c r="D561" s="22" t="str">
        <x:v>Provisional</x:v>
      </x:c>
      <x:c r="E561" s="22" t="str">
        <x:v>TWITCH</x:v>
      </x:c>
      <x:c r="F561" s="22" t="str">
        <x:v>Streaming-account / content discovery</x:v>
      </x:c>
      <x:c r="G561" s="22" t="str">
        <x:v>Provisional ceiling from saved search/discovery context only. Verify the original page, account attribution and date; no result accuracy test.</x:v>
      </x:c>
      <x:c r="H561" s="22" t="str">
        <x:v>Lead only; inspect original content before attribution</x:v>
      </x:c>
      <x:c r="I561" s="22" t="str">
        <x:v>Not checked</x:v>
      </x:c>
      <x:c r="J561" s="22" t="str">
        <x:v>Saved bookmark metadata only</x:v>
      </x:c>
      <x:c r="K561" s="22" t="str"/>
      <x:c r="L561" s="24" t="str"/>
      <x:c r="M561" s="24" t="str">
        <x:v>https://searchstream.live/</x:v>
      </x:c>
      <x:c r="N561" s="22" t="str">
        <x:v>305289042</x:v>
      </x:c>
      <x:c r="O561" s="22" t="n">
        <x:v>1030</x:v>
      </x:c>
      <x:c r="P561" s="22" t="n">
        <x:v>5</x:v>
      </x:c>
      <x:c r="Q561" s="22" t="str"/>
      <x:c r="R561" s="22" t="n">
        <x:f>COUNTIF($M$6:$M$1177,M561)</x:f>
        <x:v>1</x:v>
      </x:c>
      <x:c r="S561" s="22" t="str">
        <x:v>Supporting discovery</x:v>
      </x:c>
      <x:c r="T561" s="22" t="str">
        <x:v>Low</x:v>
      </x:c>
    </x:row>
    <x:row r="562" ht="54" customHeight="1">
      <x:c r="A562" s="22" t="n">
        <x:v>557</x:v>
      </x:c>
      <x:c r="B562" s="22" t="str">
        <x:v>Twitch Tools</x:v>
      </x:c>
      <x:c r="C562" s="43" t="str">
        <x:v>C-P</x:v>
      </x:c>
      <x:c r="D562" s="22" t="str">
        <x:v>Provisional</x:v>
      </x:c>
      <x:c r="E562" s="22" t="str">
        <x:v>TWITCH</x:v>
      </x:c>
      <x:c r="F562" s="22" t="str">
        <x:v>Streaming-account / content discovery</x:v>
      </x:c>
      <x:c r="G562" s="22" t="str">
        <x:v>Provisional ceiling from saved search/discovery context only. Verify the original page, account attribution and date; no result accuracy test.</x:v>
      </x:c>
      <x:c r="H562" s="22" t="str">
        <x:v>Lead only; inspect original content before attribution</x:v>
      </x:c>
      <x:c r="I562" s="22" t="str">
        <x:v>Not checked</x:v>
      </x:c>
      <x:c r="J562" s="22" t="str">
        <x:v>Saved bookmark metadata only</x:v>
      </x:c>
      <x:c r="K562" s="22" t="str"/>
      <x:c r="L562" s="24" t="str"/>
      <x:c r="M562" s="24" t="str">
        <x:v>https://twitch-tools.rootonline.de/</x:v>
      </x:c>
      <x:c r="N562" s="22" t="str">
        <x:v>286643995</x:v>
      </x:c>
      <x:c r="O562" s="22" t="n">
        <x:v>1030</x:v>
      </x:c>
      <x:c r="P562" s="22" t="n">
        <x:v>6</x:v>
      </x:c>
      <x:c r="Q562" s="22" t="str"/>
      <x:c r="R562" s="22" t="n">
        <x:f>COUNTIF($M$6:$M$1177,M562)</x:f>
        <x:v>1</x:v>
      </x:c>
      <x:c r="S562" s="22" t="str">
        <x:v>Supporting discovery</x:v>
      </x:c>
      <x:c r="T562" s="22" t="str">
        <x:v>Low</x:v>
      </x:c>
    </x:row>
    <x:row r="563" ht="54" customHeight="1">
      <x:c r="A563" s="22" t="n">
        <x:v>558</x:v>
      </x:c>
      <x:c r="B563" s="22" t="str">
        <x:v>Username Availability</x:v>
      </x:c>
      <x:c r="C563" s="43" t="str">
        <x:v>C-P</x:v>
      </x:c>
      <x:c r="D563" s="22" t="str">
        <x:v>Provisional</x:v>
      </x:c>
      <x:c r="E563" s="22" t="str">
        <x:v>TWITCH</x:v>
      </x:c>
      <x:c r="F563" s="22" t="str">
        <x:v>Streaming-account / content discovery</x:v>
      </x:c>
      <x:c r="G563" s="22" t="str">
        <x:v>Provisional ceiling from saved search/discovery context only. Verify the original page, account attribution and date; no result accuracy test.</x:v>
      </x:c>
      <x:c r="H563" s="22" t="str">
        <x:v>Lead only; inspect original content before attribution</x:v>
      </x:c>
      <x:c r="I563" s="22" t="str">
        <x:v>Not checked</x:v>
      </x:c>
      <x:c r="J563" s="22" t="str">
        <x:v>Saved bookmark metadata only</x:v>
      </x:c>
      <x:c r="K563" s="22" t="str"/>
      <x:c r="L563" s="24" t="str"/>
      <x:c r="M563" s="24" t="str">
        <x:v>https://cactus.tools/twitch/username</x:v>
      </x:c>
      <x:c r="N563" s="22" t="str">
        <x:v>305289043</x:v>
      </x:c>
      <x:c r="O563" s="22" t="n">
        <x:v>1031</x:v>
      </x:c>
      <x:c r="P563" s="22" t="n">
        <x:v>7</x:v>
      </x:c>
      <x:c r="Q563" s="22" t="str"/>
      <x:c r="R563" s="22" t="n">
        <x:f>COUNTIF($M$6:$M$1177,M563)</x:f>
        <x:v>1</x:v>
      </x:c>
      <x:c r="S563" s="22" t="str">
        <x:v>Supporting discovery</x:v>
      </x:c>
      <x:c r="T563" s="22" t="str">
        <x:v>Low</x:v>
      </x:c>
    </x:row>
    <x:row r="564" ht="54" customHeight="1">
      <x:c r="A564" s="22" t="n">
        <x:v>559</x:v>
      </x:c>
      <x:c r="B564" s="22" t="str">
        <x:v>Check channel badges</x:v>
      </x:c>
      <x:c r="C564" s="43" t="str">
        <x:v>C-P</x:v>
      </x:c>
      <x:c r="D564" s="22" t="str">
        <x:v>Provisional</x:v>
      </x:c>
      <x:c r="E564" s="22" t="str">
        <x:v>TWITCH</x:v>
      </x:c>
      <x:c r="F564" s="22" t="str">
        <x:v>Streaming-account / content discovery</x:v>
      </x:c>
      <x:c r="G564" s="22" t="str">
        <x:v>Provisional ceiling from saved search/discovery context only. Verify the original page, account attribution and date; no result accuracy test.</x:v>
      </x:c>
      <x:c r="H564" s="22" t="str">
        <x:v>Lead only; inspect original content before attribution</x:v>
      </x:c>
      <x:c r="I564" s="22" t="str">
        <x:v>Not checked</x:v>
      </x:c>
      <x:c r="J564" s="22" t="str">
        <x:v>Saved bookmark metadata only</x:v>
      </x:c>
      <x:c r="K564" s="22" t="str"/>
      <x:c r="L564" s="24" t="str"/>
      <x:c r="M564" s="24" t="str">
        <x:v>https://cactus.tools/twitch/badges</x:v>
      </x:c>
      <x:c r="N564" s="22" t="str">
        <x:v>305289045</x:v>
      </x:c>
      <x:c r="O564" s="22" t="n">
        <x:v>1031</x:v>
      </x:c>
      <x:c r="P564" s="22" t="n">
        <x:v>8</x:v>
      </x:c>
      <x:c r="Q564" s="22" t="str"/>
      <x:c r="R564" s="22" t="n">
        <x:f>COUNTIF($M$6:$M$1177,M564)</x:f>
        <x:v>1</x:v>
      </x:c>
      <x:c r="S564" s="22" t="str">
        <x:v>Supporting discovery</x:v>
      </x:c>
      <x:c r="T564" s="22" t="str">
        <x:v>Low</x:v>
      </x:c>
    </x:row>
    <x:row r="565" ht="54" customHeight="1">
      <x:c r="A565" s="22" t="n">
        <x:v>560</x:v>
      </x:c>
      <x:c r="B565" s="22" t="str">
        <x:v>Check Twitch follow length</x:v>
      </x:c>
      <x:c r="C565" s="43" t="str">
        <x:v>C-P</x:v>
      </x:c>
      <x:c r="D565" s="22" t="str">
        <x:v>Provisional</x:v>
      </x:c>
      <x:c r="E565" s="22" t="str">
        <x:v>TWITCH</x:v>
      </x:c>
      <x:c r="F565" s="22" t="str">
        <x:v>Streaming-account / content discovery</x:v>
      </x:c>
      <x:c r="G565" s="22" t="str">
        <x:v>Provisional ceiling from saved search/discovery context only. Verify the original page, account attribution and date; no result accuracy test.</x:v>
      </x:c>
      <x:c r="H565" s="22" t="str">
        <x:v>Lead only; inspect original content before attribution</x:v>
      </x:c>
      <x:c r="I565" s="22" t="str">
        <x:v>Not checked</x:v>
      </x:c>
      <x:c r="J565" s="22" t="str">
        <x:v>Saved bookmark metadata only</x:v>
      </x:c>
      <x:c r="K565" s="22" t="str"/>
      <x:c r="L565" s="24" t="str"/>
      <x:c r="M565" s="24" t="str">
        <x:v>https://cactus.tools/twitch/followage</x:v>
      </x:c>
      <x:c r="N565" s="22" t="str">
        <x:v>305289051</x:v>
      </x:c>
      <x:c r="O565" s="22" t="n">
        <x:v>1031</x:v>
      </x:c>
      <x:c r="P565" s="22" t="n">
        <x:v>9</x:v>
      </x:c>
      <x:c r="Q565" s="22" t="str"/>
      <x:c r="R565" s="22" t="n">
        <x:f>COUNTIF($M$6:$M$1177,M565)</x:f>
        <x:v>1</x:v>
      </x:c>
      <x:c r="S565" s="22" t="str">
        <x:v>Supporting discovery</x:v>
      </x:c>
      <x:c r="T565" s="22" t="str">
        <x:v>Low</x:v>
      </x:c>
    </x:row>
    <x:row r="566" ht="54" customHeight="1">
      <x:c r="A566" s="22" t="n">
        <x:v>561</x:v>
      </x:c>
      <x:c r="B566" s="22" t="str">
        <x:v>Twitch Following</x:v>
      </x:c>
      <x:c r="C566" s="43" t="str">
        <x:v>C-P</x:v>
      </x:c>
      <x:c r="D566" s="22" t="str">
        <x:v>Provisional</x:v>
      </x:c>
      <x:c r="E566" s="22" t="str">
        <x:v>TWITCH</x:v>
      </x:c>
      <x:c r="F566" s="22" t="str">
        <x:v>Streaming-account / content discovery</x:v>
      </x:c>
      <x:c r="G566" s="22" t="str">
        <x:v>Provisional ceiling from saved search/discovery context only. Verify the original page, account attribution and date; no result accuracy test.</x:v>
      </x:c>
      <x:c r="H566" s="22" t="str">
        <x:v>Lead only; inspect original content before attribution</x:v>
      </x:c>
      <x:c r="I566" s="22" t="str">
        <x:v>Not checked</x:v>
      </x:c>
      <x:c r="J566" s="22" t="str">
        <x:v>Saved bookmark metadata only</x:v>
      </x:c>
      <x:c r="K566" s="22" t="str"/>
      <x:c r="L566" s="24" t="str"/>
      <x:c r="M566" s="24" t="str">
        <x:v>https://cactus.tools/twitch/following</x:v>
      </x:c>
      <x:c r="N566" s="22" t="str">
        <x:v>305289053</x:v>
      </x:c>
      <x:c r="O566" s="22" t="n">
        <x:v>1031</x:v>
      </x:c>
      <x:c r="P566" s="22" t="n">
        <x:v>10</x:v>
      </x:c>
      <x:c r="Q566" s="22" t="str"/>
      <x:c r="R566" s="22" t="n">
        <x:f>COUNTIF($M$6:$M$1177,M566)</x:f>
        <x:v>1</x:v>
      </x:c>
      <x:c r="S566" s="22" t="str">
        <x:v>Supporting discovery</x:v>
      </x:c>
      <x:c r="T566" s="22" t="str">
        <x:v>Low</x:v>
      </x:c>
    </x:row>
    <x:row r="567" ht="54" customHeight="1">
      <x:c r="A567" s="22" t="n">
        <x:v>562</x:v>
      </x:c>
      <x:c r="B567" s="22" t="str">
        <x:v>All Twitch Streamers Search</x:v>
      </x:c>
      <x:c r="C567" s="43" t="str">
        <x:v>C-P</x:v>
      </x:c>
      <x:c r="D567" s="22" t="str">
        <x:v>Provisional</x:v>
      </x:c>
      <x:c r="E567" s="22" t="str">
        <x:v>TWITCH</x:v>
      </x:c>
      <x:c r="F567" s="22" t="str">
        <x:v>Streaming-account / content discovery</x:v>
      </x:c>
      <x:c r="G567" s="22" t="str">
        <x:v>Provisional ceiling from saved search/discovery context only. Verify the original page, account attribution and date; no result accuracy test.</x:v>
      </x:c>
      <x:c r="H567" s="22" t="str">
        <x:v>Lead only; inspect original content before attribution</x:v>
      </x:c>
      <x:c r="I567" s="22" t="str">
        <x:v>Not checked</x:v>
      </x:c>
      <x:c r="J567" s="22" t="str">
        <x:v>Saved bookmark metadata only</x:v>
      </x:c>
      <x:c r="K567" s="22" t="str"/>
      <x:c r="L567" s="24" t="str"/>
      <x:c r="M567" s="24" t="str">
        <x:v>https://twitchstats.net/allstreamers</x:v>
      </x:c>
      <x:c r="N567" s="22" t="str">
        <x:v>305289058</x:v>
      </x:c>
      <x:c r="O567" s="22" t="n">
        <x:v>1031</x:v>
      </x:c>
      <x:c r="P567" s="22" t="n">
        <x:v>11</x:v>
      </x:c>
      <x:c r="Q567" s="22" t="str"/>
      <x:c r="R567" s="22" t="n">
        <x:f>COUNTIF($M$6:$M$1177,M567)</x:f>
        <x:v>1</x:v>
      </x:c>
      <x:c r="S567" s="22" t="str">
        <x:v>Supporting discovery</x:v>
      </x:c>
      <x:c r="T567" s="22" t="str">
        <x:v>Low</x:v>
      </x:c>
    </x:row>
    <x:row r="568" ht="54" customHeight="1">
      <x:c r="A568" s="22" t="n">
        <x:v>563</x:v>
      </x:c>
      <x:c r="B568" s="22" t="str">
        <x:v>Twitchmetrics.net</x:v>
      </x:c>
      <x:c r="C568" s="43" t="str">
        <x:v>C-P</x:v>
      </x:c>
      <x:c r="D568" s="22" t="str">
        <x:v>Provisional</x:v>
      </x:c>
      <x:c r="E568" s="22" t="str">
        <x:v>TWITCH</x:v>
      </x:c>
      <x:c r="F568" s="22" t="str">
        <x:v>Streaming-account / content discovery</x:v>
      </x:c>
      <x:c r="G568" s="22" t="str">
        <x:v>Provisional ceiling from saved search/discovery context only. Verify the original page, account attribution and date; no result accuracy test.</x:v>
      </x:c>
      <x:c r="H568" s="22" t="str">
        <x:v>Lead only; inspect original content before attribution</x:v>
      </x:c>
      <x:c r="I568" s="22" t="str">
        <x:v>Not checked</x:v>
      </x:c>
      <x:c r="J568" s="22" t="str">
        <x:v>Saved bookmark metadata only</x:v>
      </x:c>
      <x:c r="K568" s="22" t="str"/>
      <x:c r="L568" s="24" t="str"/>
      <x:c r="M568" s="24" t="str">
        <x:v>https://www.twitchmetrics.net/</x:v>
      </x:c>
      <x:c r="N568" s="22" t="str">
        <x:v>305289060</x:v>
      </x:c>
      <x:c r="O568" s="22" t="n">
        <x:v>1031</x:v>
      </x:c>
      <x:c r="P568" s="22" t="n">
        <x:v>12</x:v>
      </x:c>
      <x:c r="Q568" s="22" t="str"/>
      <x:c r="R568" s="22" t="n">
        <x:f>COUNTIF($M$6:$M$1177,M568)</x:f>
        <x:v>1</x:v>
      </x:c>
      <x:c r="S568" s="22" t="str">
        <x:v>Supporting discovery</x:v>
      </x:c>
      <x:c r="T568" s="22" t="str">
        <x:v>Low</x:v>
      </x:c>
    </x:row>
    <x:row r="569" ht="54" customHeight="1">
      <x:c r="A569" s="22" t="n">
        <x:v>564</x:v>
      </x:c>
      <x:c r="B569" s="22" t="str">
        <x:v>Twitch Username Search</x:v>
      </x:c>
      <x:c r="C569" s="43" t="str">
        <x:v>C-P</x:v>
      </x:c>
      <x:c r="D569" s="22" t="str">
        <x:v>Provisional</x:v>
      </x:c>
      <x:c r="E569" s="22" t="str">
        <x:v>TWITCH</x:v>
      </x:c>
      <x:c r="F569" s="22" t="str">
        <x:v>Streaming-account / content discovery</x:v>
      </x:c>
      <x:c r="G569" s="22" t="str">
        <x:v>Provisional ceiling from saved search/discovery context only. Verify the original page, account attribution and date; no result accuracy test.</x:v>
      </x:c>
      <x:c r="H569" s="22" t="str">
        <x:v>Lead only; inspect original content before attribution</x:v>
      </x:c>
      <x:c r="I569" s="22" t="str">
        <x:v>Not checked</x:v>
      </x:c>
      <x:c r="J569" s="22" t="str">
        <x:v>Saved bookmark metadata only</x:v>
      </x:c>
      <x:c r="K569" s="22" t="str"/>
      <x:c r="L569" s="24" t="str"/>
      <x:c r="M569" s="24" t="str">
        <x:v>https://twitchusernames.com/</x:v>
      </x:c>
      <x:c r="N569" s="22" t="str">
        <x:v>305289066</x:v>
      </x:c>
      <x:c r="O569" s="22" t="n">
        <x:v>1031</x:v>
      </x:c>
      <x:c r="P569" s="22" t="n">
        <x:v>13</x:v>
      </x:c>
      <x:c r="Q569" s="22" t="str"/>
      <x:c r="R569" s="22" t="n">
        <x:f>COUNTIF($M$6:$M$1177,M569)</x:f>
        <x:v>1</x:v>
      </x:c>
      <x:c r="S569" s="22" t="str">
        <x:v>Supporting discovery</x:v>
      </x:c>
      <x:c r="T569" s="22" t="str">
        <x:v>Low</x:v>
      </x:c>
    </x:row>
    <x:row r="570" ht="54" customHeight="1">
      <x:c r="A570" s="22" t="n">
        <x:v>565</x:v>
      </x:c>
      <x:c r="B570" s="22" t="str">
        <x:v>IntelTechniques Search Engine</x:v>
      </x:c>
      <x:c r="C570" s="43" t="str">
        <x:v>C-P</x:v>
      </x:c>
      <x:c r="D570" s="22" t="str">
        <x:v>Provisional</x:v>
      </x:c>
      <x:c r="E570" s="22" t="str">
        <x:v>SEARCH ENGINES</x:v>
      </x:c>
      <x:c r="F570" s="22" t="str">
        <x:v>Search or discovery interface</x:v>
      </x:c>
      <x:c r="G570" s="22" t="str">
        <x:v>Provisional ceiling from saved search/discovery context only. Verify the original page, account attribution and date; no result accuracy test.</x:v>
      </x:c>
      <x:c r="H570" s="22" t="str">
        <x:v>Lead only; inspect original content before attribution</x:v>
      </x:c>
      <x:c r="I570" s="22" t="str">
        <x:v>Not checked</x:v>
      </x:c>
      <x:c r="J570" s="22" t="str">
        <x:v>Saved bookmark metadata only</x:v>
      </x:c>
      <x:c r="K570" s="22" t="str"/>
      <x:c r="L570" s="24" t="str"/>
      <x:c r="M570" s="24" t="str">
        <x:v>https://inteltechniques.com/tools/Search.html</x:v>
      </x:c>
      <x:c r="N570" s="22" t="str">
        <x:v>314726033</x:v>
      </x:c>
      <x:c r="O570" s="22" t="n">
        <x:v>1031</x:v>
      </x:c>
      <x:c r="P570" s="22" t="n">
        <x:v>1</x:v>
      </x:c>
      <x:c r="Q570" s="22" t="str"/>
      <x:c r="R570" s="22" t="n">
        <x:f>COUNTIF($M$6:$M$1177,M570)</x:f>
        <x:v>1</x:v>
      </x:c>
      <x:c r="S570" s="22" t="str">
        <x:v>Supporting discovery</x:v>
      </x:c>
      <x:c r="T570" s="22" t="str">
        <x:v>Low</x:v>
      </x:c>
    </x:row>
    <x:row r="571" ht="54" customHeight="1">
      <x:c r="A571" s="22" t="n">
        <x:v>566</x:v>
      </x:c>
      <x:c r="B571" s="22" t="str">
        <x:v>Google Advanced Search</x:v>
      </x:c>
      <x:c r="C571" s="43" t="str">
        <x:v>C-P</x:v>
      </x:c>
      <x:c r="D571" s="22" t="str">
        <x:v>Provisional</x:v>
      </x:c>
      <x:c r="E571" s="22" t="str">
        <x:v>SEARCH ENGINES</x:v>
      </x:c>
      <x:c r="F571" s="22" t="str">
        <x:v>Search or discovery interface</x:v>
      </x:c>
      <x:c r="G571" s="22" t="str">
        <x:v>Provisional ceiling from saved search/discovery context only. Verify the original page, account attribution and date; no result accuracy test.</x:v>
      </x:c>
      <x:c r="H571" s="22" t="str">
        <x:v>Lead only; inspect original content before attribution</x:v>
      </x:c>
      <x:c r="I571" s="22" t="str">
        <x:v>Not checked</x:v>
      </x:c>
      <x:c r="J571" s="22" t="str">
        <x:v>Saved bookmark metadata only</x:v>
      </x:c>
      <x:c r="K571" s="22" t="str"/>
      <x:c r="L571" s="24" t="str"/>
      <x:c r="M571" s="24" t="str">
        <x:v>https://www.google.com/advanced_search</x:v>
      </x:c>
      <x:c r="N571" s="22" t="str">
        <x:v>268459532</x:v>
      </x:c>
      <x:c r="O571" s="22" t="n">
        <x:v>1031</x:v>
      </x:c>
      <x:c r="P571" s="22" t="n">
        <x:v>2</x:v>
      </x:c>
      <x:c r="Q571" s="22" t="str"/>
      <x:c r="R571" s="22" t="n">
        <x:f>COUNTIF($M$6:$M$1177,M571)</x:f>
        <x:v>1</x:v>
      </x:c>
      <x:c r="S571" s="22" t="str">
        <x:v>Supporting discovery</x:v>
      </x:c>
      <x:c r="T571" s="22" t="str">
        <x:v>Low</x:v>
      </x:c>
    </x:row>
    <x:row r="572" ht="54" customHeight="1">
      <x:c r="A572" s="22" t="n">
        <x:v>567</x:v>
      </x:c>
      <x:c r="B572" s="22" t="str">
        <x:v>Searx</x:v>
      </x:c>
      <x:c r="C572" s="43" t="str">
        <x:v>C-P</x:v>
      </x:c>
      <x:c r="D572" s="22" t="str">
        <x:v>Provisional</x:v>
      </x:c>
      <x:c r="E572" s="22" t="str">
        <x:v>SEARCH ENGINES</x:v>
      </x:c>
      <x:c r="F572" s="22" t="str">
        <x:v>Search or discovery interface</x:v>
      </x:c>
      <x:c r="G572" s="22" t="str">
        <x:v>Provisional ceiling from saved search/discovery context only. Verify the original page, account attribution and date; no result accuracy test.</x:v>
      </x:c>
      <x:c r="H572" s="22" t="str">
        <x:v>Lead only; inspect original content before attribution</x:v>
      </x:c>
      <x:c r="I572" s="22" t="str">
        <x:v>Not checked</x:v>
      </x:c>
      <x:c r="J572" s="22" t="str">
        <x:v>Saved bookmark metadata only</x:v>
      </x:c>
      <x:c r="K572" s="22" t="str"/>
      <x:c r="L572" s="24" t="str"/>
      <x:c r="M572" s="24" t="str">
        <x:v>https://searx.info/</x:v>
      </x:c>
      <x:c r="N572" s="22" t="str">
        <x:v>268459821</x:v>
      </x:c>
      <x:c r="O572" s="22" t="n">
        <x:v>1031</x:v>
      </x:c>
      <x:c r="P572" s="22" t="n">
        <x:v>3</x:v>
      </x:c>
      <x:c r="Q572" s="22" t="str"/>
      <x:c r="R572" s="22" t="n">
        <x:f>COUNTIF($M$6:$M$1177,M572)</x:f>
        <x:v>1</x:v>
      </x:c>
      <x:c r="S572" s="22" t="str">
        <x:v>Supporting discovery</x:v>
      </x:c>
      <x:c r="T572" s="22" t="str">
        <x:v>Low</x:v>
      </x:c>
    </x:row>
    <x:row r="573" ht="54" customHeight="1">
      <x:c r="A573" s="22" t="n">
        <x:v>568</x:v>
      </x:c>
      <x:c r="B573" s="22" t="str">
        <x:v>Bing</x:v>
      </x:c>
      <x:c r="C573" s="43" t="str">
        <x:v>C-P</x:v>
      </x:c>
      <x:c r="D573" s="22" t="str">
        <x:v>Provisional</x:v>
      </x:c>
      <x:c r="E573" s="22" t="str">
        <x:v>SEARCH ENGINES</x:v>
      </x:c>
      <x:c r="F573" s="22" t="str">
        <x:v>Search or discovery interface</x:v>
      </x:c>
      <x:c r="G573" s="22" t="str">
        <x:v>Provisional ceiling from saved search/discovery context only. Verify the original page, account attribution and date; no result accuracy test.</x:v>
      </x:c>
      <x:c r="H573" s="22" t="str">
        <x:v>Lead only; inspect original content before attribution</x:v>
      </x:c>
      <x:c r="I573" s="22" t="str">
        <x:v>Not checked</x:v>
      </x:c>
      <x:c r="J573" s="22" t="str">
        <x:v>Saved bookmark metadata only</x:v>
      </x:c>
      <x:c r="K573" s="22" t="str"/>
      <x:c r="L573" s="24" t="str"/>
      <x:c r="M573" s="24" t="str">
        <x:v>https://www.bing.com/</x:v>
      </x:c>
      <x:c r="N573" s="22" t="str">
        <x:v>268459692</x:v>
      </x:c>
      <x:c r="O573" s="22" t="n">
        <x:v>1031</x:v>
      </x:c>
      <x:c r="P573" s="22" t="n">
        <x:v>4</x:v>
      </x:c>
      <x:c r="Q573" s="22" t="str"/>
      <x:c r="R573" s="22" t="n">
        <x:f>COUNTIF($M$6:$M$1177,M573)</x:f>
        <x:v>1</x:v>
      </x:c>
      <x:c r="S573" s="22" t="str">
        <x:v>Supporting discovery</x:v>
      </x:c>
      <x:c r="T573" s="22" t="str">
        <x:v>Low</x:v>
      </x:c>
    </x:row>
    <x:row r="574" ht="54" customHeight="1">
      <x:c r="A574" s="22" t="n">
        <x:v>569</x:v>
      </x:c>
      <x:c r="B574" s="22" t="str">
        <x:v>Yandex</x:v>
      </x:c>
      <x:c r="C574" s="43" t="str">
        <x:v>C-P</x:v>
      </x:c>
      <x:c r="D574" s="22" t="str">
        <x:v>Provisional</x:v>
      </x:c>
      <x:c r="E574" s="22" t="str">
        <x:v>SEARCH ENGINES</x:v>
      </x:c>
      <x:c r="F574" s="22" t="str">
        <x:v>Search or discovery interface</x:v>
      </x:c>
      <x:c r="G574" s="22" t="str">
        <x:v>Provisional ceiling from saved search/discovery context only. Verify the original page, account attribution and date; no result accuracy test.</x:v>
      </x:c>
      <x:c r="H574" s="22" t="str">
        <x:v>Lead only; inspect original content before attribution</x:v>
      </x:c>
      <x:c r="I574" s="22" t="str">
        <x:v>Not checked</x:v>
      </x:c>
      <x:c r="J574" s="22" t="str">
        <x:v>Saved bookmark metadata only</x:v>
      </x:c>
      <x:c r="K574" s="22" t="str"/>
      <x:c r="L574" s="24" t="str"/>
      <x:c r="M574" s="24" t="str">
        <x:v>https://yandex.com/</x:v>
      </x:c>
      <x:c r="N574" s="22" t="str">
        <x:v>268459874</x:v>
      </x:c>
      <x:c r="O574" s="22" t="n">
        <x:v>1031</x:v>
      </x:c>
      <x:c r="P574" s="22" t="n">
        <x:v>5</x:v>
      </x:c>
      <x:c r="Q574" s="22" t="str"/>
      <x:c r="R574" s="22" t="n">
        <x:f>COUNTIF($M$6:$M$1177,M574)</x:f>
        <x:v>1</x:v>
      </x:c>
      <x:c r="S574" s="22" t="str">
        <x:v>Supporting discovery</x:v>
      </x:c>
      <x:c r="T574" s="22" t="str">
        <x:v>Low</x:v>
      </x:c>
    </x:row>
    <x:row r="575" ht="54" customHeight="1">
      <x:c r="A575" s="22" t="n">
        <x:v>570</x:v>
      </x:c>
      <x:c r="B575" s="22" t="str">
        <x:v>MetaGer: Privacy Protected Search</x:v>
      </x:c>
      <x:c r="C575" s="43" t="str">
        <x:v>C-P</x:v>
      </x:c>
      <x:c r="D575" s="22" t="str">
        <x:v>Provisional</x:v>
      </x:c>
      <x:c r="E575" s="22" t="str">
        <x:v>SEARCH ENGINES</x:v>
      </x:c>
      <x:c r="F575" s="22" t="str">
        <x:v>Search or discovery interface</x:v>
      </x:c>
      <x:c r="G575" s="22" t="str">
        <x:v>Provisional ceiling from saved search/discovery context only. Verify the original page, account attribution and date; no result accuracy test.</x:v>
      </x:c>
      <x:c r="H575" s="22" t="str">
        <x:v>Lead only; inspect original content before attribution</x:v>
      </x:c>
      <x:c r="I575" s="22" t="str">
        <x:v>Not checked</x:v>
      </x:c>
      <x:c r="J575" s="22" t="str">
        <x:v>Saved bookmark metadata only</x:v>
      </x:c>
      <x:c r="K575" s="22" t="str"/>
      <x:c r="L575" s="24" t="str"/>
      <x:c r="M575" s="24" t="str">
        <x:v>https://metager3.de/en/</x:v>
      </x:c>
      <x:c r="N575" s="22" t="str">
        <x:v>268459771</x:v>
      </x:c>
      <x:c r="O575" s="22" t="n">
        <x:v>1031</x:v>
      </x:c>
      <x:c r="P575" s="22" t="n">
        <x:v>6</x:v>
      </x:c>
      <x:c r="Q575" s="22" t="str"/>
      <x:c r="R575" s="22" t="n">
        <x:f>COUNTIF($M$6:$M$1177,M575)</x:f>
        <x:v>1</x:v>
      </x:c>
      <x:c r="S575" s="22" t="str">
        <x:v>Supporting discovery</x:v>
      </x:c>
      <x:c r="T575" s="22" t="str">
        <x:v>Low</x:v>
      </x:c>
    </x:row>
    <x:row r="576" ht="54" customHeight="1">
      <x:c r="A576" s="22" t="n">
        <x:v>571</x:v>
      </x:c>
      <x:c r="B576" s="22" t="str">
        <x:v>Duck Duck Go</x:v>
      </x:c>
      <x:c r="C576" s="43" t="str">
        <x:v>C-P</x:v>
      </x:c>
      <x:c r="D576" s="22" t="str">
        <x:v>Provisional</x:v>
      </x:c>
      <x:c r="E576" s="22" t="str">
        <x:v>SEARCH ENGINES</x:v>
      </x:c>
      <x:c r="F576" s="22" t="str">
        <x:v>Search or discovery interface</x:v>
      </x:c>
      <x:c r="G576" s="22" t="str">
        <x:v>Provisional ceiling from saved search/discovery context only. Verify the original page, account attribution and date; no result accuracy test.</x:v>
      </x:c>
      <x:c r="H576" s="22" t="str">
        <x:v>Lead only; inspect original content before attribution</x:v>
      </x:c>
      <x:c r="I576" s="22" t="str">
        <x:v>Not checked</x:v>
      </x:c>
      <x:c r="J576" s="22" t="str">
        <x:v>Saved bookmark metadata only</x:v>
      </x:c>
      <x:c r="K576" s="22" t="str"/>
      <x:c r="L576" s="24" t="str"/>
      <x:c r="M576" s="24" t="str">
        <x:v>https://duckduckgo.com/</x:v>
      </x:c>
      <x:c r="N576" s="22" t="str">
        <x:v>268459805</x:v>
      </x:c>
      <x:c r="O576" s="22" t="n">
        <x:v>1031</x:v>
      </x:c>
      <x:c r="P576" s="22" t="n">
        <x:v>7</x:v>
      </x:c>
      <x:c r="Q576" s="22" t="str"/>
      <x:c r="R576" s="22" t="n">
        <x:f>COUNTIF($M$6:$M$1177,M576)</x:f>
        <x:v>1</x:v>
      </x:c>
      <x:c r="S576" s="22" t="str">
        <x:v>Supporting discovery</x:v>
      </x:c>
      <x:c r="T576" s="22" t="str">
        <x:v>Low</x:v>
      </x:c>
    </x:row>
    <x:row r="577" ht="54" customHeight="1">
      <x:c r="A577" s="22" t="n">
        <x:v>572</x:v>
      </x:c>
      <x:c r="B577" s="22" t="str">
        <x:v>Search Engines Index</x:v>
      </x:c>
      <x:c r="C577" s="43" t="str">
        <x:v>C-P</x:v>
      </x:c>
      <x:c r="D577" s="22" t="str">
        <x:v>Provisional</x:v>
      </x:c>
      <x:c r="E577" s="22" t="str">
        <x:v>SEARCH ENGINES</x:v>
      </x:c>
      <x:c r="F577" s="22" t="str">
        <x:v>Search or discovery interface</x:v>
      </x:c>
      <x:c r="G577" s="22" t="str">
        <x:v>Provisional ceiling from saved search/discovery context only. Verify the original page, account attribution and date; no result accuracy test.</x:v>
      </x:c>
      <x:c r="H577" s="22" t="str">
        <x:v>Lead only; inspect original content before attribution</x:v>
      </x:c>
      <x:c r="I577" s="22" t="str">
        <x:v>Not checked</x:v>
      </x:c>
      <x:c r="J577" s="22" t="str">
        <x:v>Saved bookmark metadata only</x:v>
      </x:c>
      <x:c r="K577" s="22" t="str"/>
      <x:c r="L577" s="24" t="str"/>
      <x:c r="M577" s="24" t="str">
        <x:v>https://www.searchenginesindex.com/</x:v>
      </x:c>
      <x:c r="N577" s="22" t="str">
        <x:v>286643253</x:v>
      </x:c>
      <x:c r="O577" s="22" t="n">
        <x:v>1031</x:v>
      </x:c>
      <x:c r="P577" s="22" t="n">
        <x:v>8</x:v>
      </x:c>
      <x:c r="Q577" s="22" t="str"/>
      <x:c r="R577" s="22" t="n">
        <x:f>COUNTIF($M$6:$M$1177,M577)</x:f>
        <x:v>1</x:v>
      </x:c>
      <x:c r="S577" s="22" t="str">
        <x:v>Supporting discovery</x:v>
      </x:c>
      <x:c r="T577" s="22" t="str">
        <x:v>Low</x:v>
      </x:c>
    </x:row>
    <x:row r="578" ht="54" customHeight="1">
      <x:c r="A578" s="22" t="n">
        <x:v>573</x:v>
      </x:c>
      <x:c r="B578" s="22" t="str">
        <x:v>carrot2</x:v>
      </x:c>
      <x:c r="C578" s="43" t="str">
        <x:v>C-P</x:v>
      </x:c>
      <x:c r="D578" s="22" t="str">
        <x:v>Provisional</x:v>
      </x:c>
      <x:c r="E578" s="22" t="str">
        <x:v>SEARCH ENGINES</x:v>
      </x:c>
      <x:c r="F578" s="22" t="str">
        <x:v>Search or discovery interface</x:v>
      </x:c>
      <x:c r="G578" s="22" t="str">
        <x:v>Provisional ceiling from saved search/discovery context only. Verify the original page, account attribution and date; no result accuracy test.</x:v>
      </x:c>
      <x:c r="H578" s="22" t="str">
        <x:v>Lead only; inspect original content before attribution</x:v>
      </x:c>
      <x:c r="I578" s="22" t="str">
        <x:v>Not checked</x:v>
      </x:c>
      <x:c r="J578" s="22" t="str">
        <x:v>Saved bookmark metadata only</x:v>
      </x:c>
      <x:c r="K578" s="22" t="str"/>
      <x:c r="L578" s="24" t="str"/>
      <x:c r="M578" s="24" t="str">
        <x:v>https://search.carrot2.org/#/search/web</x:v>
      </x:c>
      <x:c r="N578" s="22" t="str">
        <x:v>286013304</x:v>
      </x:c>
      <x:c r="O578" s="22" t="n">
        <x:v>1032</x:v>
      </x:c>
      <x:c r="P578" s="22" t="n">
        <x:v>9</x:v>
      </x:c>
      <x:c r="Q578" s="22" t="str"/>
      <x:c r="R578" s="22" t="n">
        <x:f>COUNTIF($M$6:$M$1177,M578)</x:f>
        <x:v>1</x:v>
      </x:c>
      <x:c r="S578" s="22" t="str">
        <x:v>Supporting discovery</x:v>
      </x:c>
      <x:c r="T578" s="22" t="str">
        <x:v>Low</x:v>
      </x:c>
    </x:row>
    <x:row r="579" ht="54" customHeight="1">
      <x:c r="A579" s="22" t="n">
        <x:v>574</x:v>
      </x:c>
      <x:c r="B579" s="22" t="str">
        <x:v>Qwant</x:v>
      </x:c>
      <x:c r="C579" s="43" t="str">
        <x:v>C-P</x:v>
      </x:c>
      <x:c r="D579" s="22" t="str">
        <x:v>Provisional</x:v>
      </x:c>
      <x:c r="E579" s="22" t="str">
        <x:v>SEARCH ENGINES</x:v>
      </x:c>
      <x:c r="F579" s="22" t="str">
        <x:v>Search or discovery interface</x:v>
      </x:c>
      <x:c r="G579" s="22" t="str">
        <x:v>Provisional ceiling from saved search/discovery context only. Verify the original page, account attribution and date; no result accuracy test.</x:v>
      </x:c>
      <x:c r="H579" s="22" t="str">
        <x:v>Lead only; inspect original content before attribution</x:v>
      </x:c>
      <x:c r="I579" s="22" t="str">
        <x:v>Not checked</x:v>
      </x:c>
      <x:c r="J579" s="22" t="str">
        <x:v>Saved bookmark metadata only</x:v>
      </x:c>
      <x:c r="K579" s="22" t="str"/>
      <x:c r="L579" s="24" t="str"/>
      <x:c r="M579" s="24" t="str">
        <x:v>https://www.qwant.com/</x:v>
      </x:c>
      <x:c r="N579" s="22" t="str">
        <x:v>268460146</x:v>
      </x:c>
      <x:c r="O579" s="22" t="n">
        <x:v>1032</x:v>
      </x:c>
      <x:c r="P579" s="22" t="n">
        <x:v>10</x:v>
      </x:c>
      <x:c r="Q579" s="22" t="str"/>
      <x:c r="R579" s="22" t="n">
        <x:f>COUNTIF($M$6:$M$1177,M579)</x:f>
        <x:v>1</x:v>
      </x:c>
      <x:c r="S579" s="22" t="str">
        <x:v>Supporting discovery</x:v>
      </x:c>
      <x:c r="T579" s="22" t="str">
        <x:v>Low</x:v>
      </x:c>
    </x:row>
    <x:row r="580" ht="54" customHeight="1">
      <x:c r="A580" s="22" t="n">
        <x:v>575</x:v>
      </x:c>
      <x:c r="B580" s="22" t="str">
        <x:v>Startpage</x:v>
      </x:c>
      <x:c r="C580" s="43" t="str">
        <x:v>C-P</x:v>
      </x:c>
      <x:c r="D580" s="22" t="str">
        <x:v>Provisional</x:v>
      </x:c>
      <x:c r="E580" s="22" t="str">
        <x:v>SEARCH ENGINES</x:v>
      </x:c>
      <x:c r="F580" s="22" t="str">
        <x:v>Search or discovery interface</x:v>
      </x:c>
      <x:c r="G580" s="22" t="str">
        <x:v>Provisional ceiling from saved search/discovery context only. Verify the original page, account attribution and date; no result accuracy test.</x:v>
      </x:c>
      <x:c r="H580" s="22" t="str">
        <x:v>Lead only; inspect original content before attribution</x:v>
      </x:c>
      <x:c r="I580" s="22" t="str">
        <x:v>Not checked</x:v>
      </x:c>
      <x:c r="J580" s="22" t="str">
        <x:v>Saved bookmark metadata only</x:v>
      </x:c>
      <x:c r="K580" s="22" t="str"/>
      <x:c r="L580" s="24" t="str"/>
      <x:c r="M580" s="24" t="str">
        <x:v>https://startpage.com/</x:v>
      </x:c>
      <x:c r="N580" s="22" t="str">
        <x:v>268460042</x:v>
      </x:c>
      <x:c r="O580" s="22" t="n">
        <x:v>1032</x:v>
      </x:c>
      <x:c r="P580" s="22" t="n">
        <x:v>11</x:v>
      </x:c>
      <x:c r="Q580" s="22" t="str"/>
      <x:c r="R580" s="22" t="n">
        <x:f>COUNTIF($M$6:$M$1177,M580)</x:f>
        <x:v>1</x:v>
      </x:c>
      <x:c r="S580" s="22" t="str">
        <x:v>Supporting discovery</x:v>
      </x:c>
      <x:c r="T580" s="22" t="str">
        <x:v>Low</x:v>
      </x:c>
    </x:row>
    <x:row r="581" ht="48" customHeight="1">
      <x:c r="A581" s="22" t="n">
        <x:v>576</x:v>
      </x:c>
      <x:c r="B581" s="22" t="str">
        <x:v>Mailing List Search</x:v>
      </x:c>
      <x:c r="C581" s="43" t="str">
        <x:v>C-P</x:v>
      </x:c>
      <x:c r="D581" s="22" t="str">
        <x:v>Provisional</x:v>
      </x:c>
      <x:c r="E581" s="22" t="str">
        <x:v>SEARCH ENGINES</x:v>
      </x:c>
      <x:c r="F581" s="22" t="str">
        <x:v>Custom-search discovery only</x:v>
      </x:c>
      <x:c r="G581" s="22" t="str">
        <x:v>The saved URL identifies a custom search. This engine's configuration, coverage and query results were not tested.</x:v>
      </x:c>
      <x:c r="H581" s="22" t="str">
        <x:v>Open and verify the original result; do not count the search as corroboration</x:v>
      </x:c>
      <x:c r="I581" s="22" t="str">
        <x:v>Not checked</x:v>
      </x:c>
      <x:c r="J581" s="22" t="str">
        <x:v>Saved bookmark metadata only</x:v>
      </x:c>
      <x:c r="K581" s="22" t="str"/>
      <x:c r="L581" s="24" t="str"/>
      <x:c r="M581" s="24" t="str">
        <x:v>https://cse.google.com/cse/publicurl?cx=013991603413798772546:sipriovnbxq</x:v>
      </x:c>
      <x:c r="N581" s="22" t="str">
        <x:v>290065989</x:v>
      </x:c>
      <x:c r="O581" s="22" t="n">
        <x:v>1032</x:v>
      </x:c>
      <x:c r="P581" s="22" t="n">
        <x:v>12</x:v>
      </x:c>
      <x:c r="Q581" s="22" t="str"/>
      <x:c r="R581" s="22" t="n">
        <x:f>COUNTIF($M$6:$M$1177,M581)</x:f>
        <x:v>1</x:v>
      </x:c>
      <x:c r="S581" s="22" t="str">
        <x:v>Supporting discovery</x:v>
      </x:c>
      <x:c r="T581" s="22" t="str">
        <x:v>Low</x:v>
      </x:c>
    </x:row>
    <x:row r="582" ht="54" customHeight="1">
      <x:c r="A582" s="22" t="n">
        <x:v>577</x:v>
      </x:c>
      <x:c r="B582" s="22" t="str">
        <x:v>swisscows</x:v>
      </x:c>
      <x:c r="C582" s="43" t="str">
        <x:v>C-P</x:v>
      </x:c>
      <x:c r="D582" s="22" t="str">
        <x:v>Provisional</x:v>
      </x:c>
      <x:c r="E582" s="22" t="str">
        <x:v>SEARCH ENGINES</x:v>
      </x:c>
      <x:c r="F582" s="22" t="str">
        <x:v>Search or discovery interface</x:v>
      </x:c>
      <x:c r="G582" s="22" t="str">
        <x:v>Provisional ceiling from saved search/discovery context only. Verify the original page, account attribution and date; no result accuracy test.</x:v>
      </x:c>
      <x:c r="H582" s="22" t="str">
        <x:v>Lead only; inspect original content before attribution</x:v>
      </x:c>
      <x:c r="I582" s="22" t="str">
        <x:v>Not checked</x:v>
      </x:c>
      <x:c r="J582" s="22" t="str">
        <x:v>Saved bookmark metadata only</x:v>
      </x:c>
      <x:c r="K582" s="22" t="str"/>
      <x:c r="L582" s="24" t="str"/>
      <x:c r="M582" s="24" t="str">
        <x:v>https://swisscows.com/</x:v>
      </x:c>
      <x:c r="N582" s="22" t="str">
        <x:v>268460282</x:v>
      </x:c>
      <x:c r="O582" s="22" t="n">
        <x:v>1032</x:v>
      </x:c>
      <x:c r="P582" s="22" t="n">
        <x:v>13</x:v>
      </x:c>
      <x:c r="Q582" s="22" t="str"/>
      <x:c r="R582" s="22" t="n">
        <x:f>COUNTIF($M$6:$M$1177,M582)</x:f>
        <x:v>1</x:v>
      </x:c>
      <x:c r="S582" s="22" t="str">
        <x:v>Supporting discovery</x:v>
      </x:c>
      <x:c r="T582" s="22" t="str">
        <x:v>Low</x:v>
      </x:c>
    </x:row>
    <x:row r="583" ht="54" customHeight="1">
      <x:c r="A583" s="22" t="n">
        <x:v>578</x:v>
      </x:c>
      <x:c r="B583" s="22" t="str">
        <x:v>Crossref</x:v>
      </x:c>
      <x:c r="C583" s="43" t="str">
        <x:v>C-P</x:v>
      </x:c>
      <x:c r="D583" s="22" t="str">
        <x:v>Provisional</x:v>
      </x:c>
      <x:c r="E583" s="22" t="str">
        <x:v>SEARCH ENGINES</x:v>
      </x:c>
      <x:c r="F583" s="22" t="str">
        <x:v>Search or discovery interface</x:v>
      </x:c>
      <x:c r="G583" s="22" t="str">
        <x:v>Provisional ceiling from saved search/discovery context only. Verify the original page, account attribution and date; no result accuracy test.</x:v>
      </x:c>
      <x:c r="H583" s="22" t="str">
        <x:v>Lead only; inspect original content before attribution</x:v>
      </x:c>
      <x:c r="I583" s="22" t="str">
        <x:v>Not checked</x:v>
      </x:c>
      <x:c r="J583" s="22" t="str">
        <x:v>Saved bookmark metadata only</x:v>
      </x:c>
      <x:c r="K583" s="22" t="str"/>
      <x:c r="L583" s="24" t="str"/>
      <x:c r="M583" s="24" t="str">
        <x:v>https://search.crossref.org/</x:v>
      </x:c>
      <x:c r="N583" s="22" t="str">
        <x:v>268508001</x:v>
      </x:c>
      <x:c r="O583" s="22" t="n">
        <x:v>1032</x:v>
      </x:c>
      <x:c r="P583" s="22" t="n">
        <x:v>14</x:v>
      </x:c>
      <x:c r="Q583" s="22" t="str"/>
      <x:c r="R583" s="22" t="n">
        <x:f>COUNTIF($M$6:$M$1177,M583)</x:f>
        <x:v>1</x:v>
      </x:c>
      <x:c r="S583" s="22" t="str">
        <x:v>Supporting discovery</x:v>
      </x:c>
      <x:c r="T583" s="22" t="str">
        <x:v>Low</x:v>
      </x:c>
    </x:row>
    <x:row r="584" ht="54" customHeight="1">
      <x:c r="A584" s="22" t="n">
        <x:v>579</x:v>
      </x:c>
      <x:c r="B584" s="22" t="str">
        <x:v>Brave Search</x:v>
      </x:c>
      <x:c r="C584" s="43" t="str">
        <x:v>C-P</x:v>
      </x:c>
      <x:c r="D584" s="22" t="str">
        <x:v>Provisional</x:v>
      </x:c>
      <x:c r="E584" s="22" t="str">
        <x:v>SEARCH ENGINES</x:v>
      </x:c>
      <x:c r="F584" s="22" t="str">
        <x:v>Search or discovery interface</x:v>
      </x:c>
      <x:c r="G584" s="22" t="str">
        <x:v>Provisional ceiling from saved search/discovery context only. Verify the original page, account attribution and date; no result accuracy test.</x:v>
      </x:c>
      <x:c r="H584" s="22" t="str">
        <x:v>Lead only; inspect original content before attribution</x:v>
      </x:c>
      <x:c r="I584" s="22" t="str">
        <x:v>Not checked</x:v>
      </x:c>
      <x:c r="J584" s="22" t="str">
        <x:v>Saved bookmark metadata only</x:v>
      </x:c>
      <x:c r="K584" s="22" t="str"/>
      <x:c r="L584" s="24" t="str"/>
      <x:c r="M584" s="24" t="str">
        <x:v>https://search.brave.com/</x:v>
      </x:c>
      <x:c r="N584" s="22" t="str">
        <x:v>286643979</x:v>
      </x:c>
      <x:c r="O584" s="22" t="n">
        <x:v>1032</x:v>
      </x:c>
      <x:c r="P584" s="22" t="n">
        <x:v>15</x:v>
      </x:c>
      <x:c r="Q584" s="22" t="str"/>
      <x:c r="R584" s="22" t="n">
        <x:f>COUNTIF($M$6:$M$1177,M584)</x:f>
        <x:v>1</x:v>
      </x:c>
      <x:c r="S584" s="22" t="str">
        <x:v>Supporting discovery</x:v>
      </x:c>
      <x:c r="T584" s="22" t="str">
        <x:v>Low</x:v>
      </x:c>
    </x:row>
    <x:row r="585" ht="54" customHeight="1">
      <x:c r="A585" s="22" t="n">
        <x:v>580</x:v>
      </x:c>
      <x:c r="B585" s="22" t="str">
        <x:v>Mojeek</x:v>
      </x:c>
      <x:c r="C585" s="43" t="str">
        <x:v>C-P</x:v>
      </x:c>
      <x:c r="D585" s="22" t="str">
        <x:v>Provisional</x:v>
      </x:c>
      <x:c r="E585" s="22" t="str">
        <x:v>SEARCH ENGINES</x:v>
      </x:c>
      <x:c r="F585" s="22" t="str">
        <x:v>Search or discovery interface</x:v>
      </x:c>
      <x:c r="G585" s="22" t="str">
        <x:v>Provisional ceiling from saved search/discovery context only. Verify the original page, account attribution and date; no result accuracy test.</x:v>
      </x:c>
      <x:c r="H585" s="22" t="str">
        <x:v>Lead only; inspect original content before attribution</x:v>
      </x:c>
      <x:c r="I585" s="22" t="str">
        <x:v>Not checked</x:v>
      </x:c>
      <x:c r="J585" s="22" t="str">
        <x:v>Saved bookmark metadata only</x:v>
      </x:c>
      <x:c r="K585" s="22" t="str"/>
      <x:c r="L585" s="24" t="str"/>
      <x:c r="M585" s="24" t="str">
        <x:v>https://www.mojeek.com/</x:v>
      </x:c>
      <x:c r="N585" s="22" t="str">
        <x:v>268460297</x:v>
      </x:c>
      <x:c r="O585" s="22" t="n">
        <x:v>1032</x:v>
      </x:c>
      <x:c r="P585" s="22" t="n">
        <x:v>16</x:v>
      </x:c>
      <x:c r="Q585" s="22" t="str"/>
      <x:c r="R585" s="22" t="n">
        <x:f>COUNTIF($M$6:$M$1177,M585)</x:f>
        <x:v>1</x:v>
      </x:c>
      <x:c r="S585" s="22" t="str">
        <x:v>Supporting discovery</x:v>
      </x:c>
      <x:c r="T585" s="22" t="str">
        <x:v>Low</x:v>
      </x:c>
    </x:row>
    <x:row r="586" ht="54" customHeight="1">
      <x:c r="A586" s="22" t="n">
        <x:v>581</x:v>
      </x:c>
      <x:c r="B586" s="22" t="str">
        <x:v>Yahoo Search</x:v>
      </x:c>
      <x:c r="C586" s="43" t="str">
        <x:v>C-P</x:v>
      </x:c>
      <x:c r="D586" s="22" t="str">
        <x:v>Provisional</x:v>
      </x:c>
      <x:c r="E586" s="22" t="str">
        <x:v>SEARCH ENGINES</x:v>
      </x:c>
      <x:c r="F586" s="22" t="str">
        <x:v>Search or discovery interface</x:v>
      </x:c>
      <x:c r="G586" s="22" t="str">
        <x:v>Provisional ceiling from saved search/discovery context only. Verify the original page, account attribution and date; no result accuracy test.</x:v>
      </x:c>
      <x:c r="H586" s="22" t="str">
        <x:v>Lead only; inspect original content before attribution</x:v>
      </x:c>
      <x:c r="I586" s="22" t="str">
        <x:v>Not checked</x:v>
      </x:c>
      <x:c r="J586" s="22" t="str">
        <x:v>Saved bookmark metadata only</x:v>
      </x:c>
      <x:c r="K586" s="22" t="str"/>
      <x:c r="L586" s="24" t="str"/>
      <x:c r="M586" s="24" t="str">
        <x:v>https://search.yahoo.com/</x:v>
      </x:c>
      <x:c r="N586" s="22" t="str">
        <x:v>268459937</x:v>
      </x:c>
      <x:c r="O586" s="22" t="n">
        <x:v>1032</x:v>
      </x:c>
      <x:c r="P586" s="22" t="n">
        <x:v>17</x:v>
      </x:c>
      <x:c r="Q586" s="22" t="str"/>
      <x:c r="R586" s="22" t="n">
        <x:f>COUNTIF($M$6:$M$1177,M586)</x:f>
        <x:v>1</x:v>
      </x:c>
      <x:c r="S586" s="22" t="str">
        <x:v>Supporting discovery</x:v>
      </x:c>
      <x:c r="T586" s="22" t="str">
        <x:v>Low</x:v>
      </x:c>
    </x:row>
    <x:row r="587" ht="54" customHeight="1">
      <x:c r="A587" s="22" t="n">
        <x:v>582</x:v>
      </x:c>
      <x:c r="B587" s="22" t="str">
        <x:v>Baidu</x:v>
      </x:c>
      <x:c r="C587" s="43" t="str">
        <x:v>C-P</x:v>
      </x:c>
      <x:c r="D587" s="22" t="str">
        <x:v>Provisional</x:v>
      </x:c>
      <x:c r="E587" s="22" t="str">
        <x:v>SEARCH ENGINES</x:v>
      </x:c>
      <x:c r="F587" s="22" t="str">
        <x:v>Search or discovery interface</x:v>
      </x:c>
      <x:c r="G587" s="22" t="str">
        <x:v>Provisional ceiling from saved search/discovery context only. Verify the original page, account attribution and date; no result accuracy test.</x:v>
      </x:c>
      <x:c r="H587" s="22" t="str">
        <x:v>Lead only; inspect original content before attribution</x:v>
      </x:c>
      <x:c r="I587" s="22" t="str">
        <x:v>Not checked</x:v>
      </x:c>
      <x:c r="J587" s="22" t="str">
        <x:v>Saved bookmark metadata only</x:v>
      </x:c>
      <x:c r="K587" s="22" t="str"/>
      <x:c r="L587" s="24" t="str"/>
      <x:c r="M587" s="24" t="str">
        <x:v>https://www.baidu.com/</x:v>
      </x:c>
      <x:c r="N587" s="22" t="str">
        <x:v>268460038</x:v>
      </x:c>
      <x:c r="O587" s="22" t="n">
        <x:v>1032</x:v>
      </x:c>
      <x:c r="P587" s="22" t="n">
        <x:v>18</x:v>
      </x:c>
      <x:c r="Q587" s="22" t="str"/>
      <x:c r="R587" s="22" t="n">
        <x:f>COUNTIF($M$6:$M$1177,M587)</x:f>
        <x:v>1</x:v>
      </x:c>
      <x:c r="S587" s="22" t="str">
        <x:v>Supporting discovery</x:v>
      </x:c>
      <x:c r="T587" s="22" t="str">
        <x:v>Low</x:v>
      </x:c>
    </x:row>
    <x:row r="588" ht="54" customHeight="1">
      <x:c r="A588" s="22" t="n">
        <x:v>583</x:v>
      </x:c>
      <x:c r="B588" s="22" t="str">
        <x:v>Ecosia</x:v>
      </x:c>
      <x:c r="C588" s="43" t="str">
        <x:v>C-P</x:v>
      </x:c>
      <x:c r="D588" s="22" t="str">
        <x:v>Provisional</x:v>
      </x:c>
      <x:c r="E588" s="22" t="str">
        <x:v>SEARCH ENGINES</x:v>
      </x:c>
      <x:c r="F588" s="22" t="str">
        <x:v>Search or discovery interface</x:v>
      </x:c>
      <x:c r="G588" s="22" t="str">
        <x:v>Provisional ceiling from saved search/discovery context only. Verify the original page, account attribution and date; no result accuracy test.</x:v>
      </x:c>
      <x:c r="H588" s="22" t="str">
        <x:v>Lead only; inspect original content before attribution</x:v>
      </x:c>
      <x:c r="I588" s="22" t="str">
        <x:v>Not checked</x:v>
      </x:c>
      <x:c r="J588" s="22" t="str">
        <x:v>Saved bookmark metadata only</x:v>
      </x:c>
      <x:c r="K588" s="22" t="str"/>
      <x:c r="L588" s="24" t="str"/>
      <x:c r="M588" s="24" t="str">
        <x:v>https://www.ecosia.org/</x:v>
      </x:c>
      <x:c r="N588" s="22" t="str">
        <x:v>268460399</x:v>
      </x:c>
      <x:c r="O588" s="22" t="n">
        <x:v>1032</x:v>
      </x:c>
      <x:c r="P588" s="22" t="n">
        <x:v>19</x:v>
      </x:c>
      <x:c r="Q588" s="22" t="str"/>
      <x:c r="R588" s="22" t="n">
        <x:f>COUNTIF($M$6:$M$1177,M588)</x:f>
        <x:v>1</x:v>
      </x:c>
      <x:c r="S588" s="22" t="str">
        <x:v>Supporting discovery</x:v>
      </x:c>
      <x:c r="T588" s="22" t="str">
        <x:v>Low</x:v>
      </x:c>
    </x:row>
    <x:row r="589" ht="54" customHeight="1">
      <x:c r="A589" s="22" t="n">
        <x:v>584</x:v>
      </x:c>
      <x:c r="B589" s="22" t="str">
        <x:v>Dogpile</x:v>
      </x:c>
      <x:c r="C589" s="43" t="str">
        <x:v>C-P</x:v>
      </x:c>
      <x:c r="D589" s="22" t="str">
        <x:v>Provisional</x:v>
      </x:c>
      <x:c r="E589" s="22" t="str">
        <x:v>SEARCH ENGINES</x:v>
      </x:c>
      <x:c r="F589" s="22" t="str">
        <x:v>Search or discovery interface</x:v>
      </x:c>
      <x:c r="G589" s="22" t="str">
        <x:v>Provisional ceiling from saved search/discovery context only. Verify the original page, account attribution and date; no result accuracy test.</x:v>
      </x:c>
      <x:c r="H589" s="22" t="str">
        <x:v>Lead only; inspect original content before attribution</x:v>
      </x:c>
      <x:c r="I589" s="22" t="str">
        <x:v>Not checked</x:v>
      </x:c>
      <x:c r="J589" s="22" t="str">
        <x:v>Saved bookmark metadata only</x:v>
      </x:c>
      <x:c r="K589" s="22" t="str"/>
      <x:c r="L589" s="24" t="str"/>
      <x:c r="M589" s="24" t="str">
        <x:v>https://www.dogpile.com/</x:v>
      </x:c>
      <x:c r="N589" s="22" t="str">
        <x:v>268460013</x:v>
      </x:c>
      <x:c r="O589" s="22" t="n">
        <x:v>1032</x:v>
      </x:c>
      <x:c r="P589" s="22" t="n">
        <x:v>20</x:v>
      </x:c>
      <x:c r="Q589" s="22" t="str"/>
      <x:c r="R589" s="22" t="n">
        <x:f>COUNTIF($M$6:$M$1177,M589)</x:f>
        <x:v>1</x:v>
      </x:c>
      <x:c r="S589" s="22" t="str">
        <x:v>Supporting discovery</x:v>
      </x:c>
      <x:c r="T589" s="22" t="str">
        <x:v>Low</x:v>
      </x:c>
    </x:row>
    <x:row r="590" ht="54" customHeight="1">
      <x:c r="A590" s="22" t="n">
        <x:v>585</x:v>
      </x:c>
      <x:c r="B590" s="22" t="str">
        <x:v>Zoo Search</x:v>
      </x:c>
      <x:c r="C590" s="43" t="str">
        <x:v>C-P</x:v>
      </x:c>
      <x:c r="D590" s="22" t="str">
        <x:v>Provisional</x:v>
      </x:c>
      <x:c r="E590" s="22" t="str">
        <x:v>SEARCH ENGINES</x:v>
      </x:c>
      <x:c r="F590" s="22" t="str">
        <x:v>Search or discovery interface</x:v>
      </x:c>
      <x:c r="G590" s="22" t="str">
        <x:v>Provisional ceiling from saved search/discovery context only. Verify the original page, account attribution and date; no result accuracy test.</x:v>
      </x:c>
      <x:c r="H590" s="22" t="str">
        <x:v>Lead only; inspect original content before attribution</x:v>
      </x:c>
      <x:c r="I590" s="22" t="str">
        <x:v>Not checked</x:v>
      </x:c>
      <x:c r="J590" s="22" t="str">
        <x:v>Saved bookmark metadata only</x:v>
      </x:c>
      <x:c r="K590" s="22" t="str"/>
      <x:c r="L590" s="24" t="str"/>
      <x:c r="M590" s="24" t="str">
        <x:v>https://www.metacrawler.com/</x:v>
      </x:c>
      <x:c r="N590" s="22" t="str">
        <x:v>268460017</x:v>
      </x:c>
      <x:c r="O590" s="22" t="n">
        <x:v>1032</x:v>
      </x:c>
      <x:c r="P590" s="22" t="n">
        <x:v>21</x:v>
      </x:c>
      <x:c r="Q590" s="22" t="str"/>
      <x:c r="R590" s="22" t="n">
        <x:f>COUNTIF($M$6:$M$1177,M590)</x:f>
        <x:v>1</x:v>
      </x:c>
      <x:c r="S590" s="22" t="str">
        <x:v>Supporting discovery</x:v>
      </x:c>
      <x:c r="T590" s="22" t="str">
        <x:v>Low</x:v>
      </x:c>
    </x:row>
    <x:row r="591" ht="54" customHeight="1">
      <x:c r="A591" s="22" t="n">
        <x:v>586</x:v>
      </x:c>
      <x:c r="B591" s="22" t="str">
        <x:v>App Store and iTunes search engine</x:v>
      </x:c>
      <x:c r="C591" s="43" t="str">
        <x:v>C-P</x:v>
      </x:c>
      <x:c r="D591" s="22" t="str">
        <x:v>Provisional</x:v>
      </x:c>
      <x:c r="E591" s="22" t="str">
        <x:v>SEARCH ENGINES</x:v>
      </x:c>
      <x:c r="F591" s="22" t="str">
        <x:v>Search or discovery interface</x:v>
      </x:c>
      <x:c r="G591" s="22" t="str">
        <x:v>Provisional ceiling from saved search/discovery context only. Verify the original page, account attribution and date; no result accuracy test.</x:v>
      </x:c>
      <x:c r="H591" s="22" t="str">
        <x:v>Lead only; inspect original content before attribution</x:v>
      </x:c>
      <x:c r="I591" s="22" t="str">
        <x:v>Not checked</x:v>
      </x:c>
      <x:c r="J591" s="22" t="str">
        <x:v>Saved bookmark metadata only</x:v>
      </x:c>
      <x:c r="K591" s="22" t="str"/>
      <x:c r="L591" s="24" t="str"/>
      <x:c r="M591" s="24" t="str">
        <x:v>https://fnd.io/</x:v>
      </x:c>
      <x:c r="N591" s="22" t="str">
        <x:v>286644055</x:v>
      </x:c>
      <x:c r="O591" s="22" t="n">
        <x:v>1032</x:v>
      </x:c>
      <x:c r="P591" s="22" t="n">
        <x:v>22</x:v>
      </x:c>
      <x:c r="Q591" s="22" t="str"/>
      <x:c r="R591" s="22" t="n">
        <x:f>COUNTIF($M$6:$M$1177,M591)</x:f>
        <x:v>1</x:v>
      </x:c>
      <x:c r="S591" s="22" t="str">
        <x:v>Supporting discovery</x:v>
      </x:c>
      <x:c r="T591" s="22" t="str">
        <x:v>Low</x:v>
      </x:c>
    </x:row>
    <x:row r="592" ht="54" customHeight="1">
      <x:c r="A592" s="22" t="n">
        <x:v>587</x:v>
      </x:c>
      <x:c r="B592" s="22" t="str">
        <x:v>Ask</x:v>
      </x:c>
      <x:c r="C592" s="43" t="str">
        <x:v>C-P</x:v>
      </x:c>
      <x:c r="D592" s="22" t="str">
        <x:v>Provisional</x:v>
      </x:c>
      <x:c r="E592" s="22" t="str">
        <x:v>SEARCH ENGINES</x:v>
      </x:c>
      <x:c r="F592" s="22" t="str">
        <x:v>Search or discovery interface</x:v>
      </x:c>
      <x:c r="G592" s="22" t="str">
        <x:v>Provisional ceiling from saved search/discovery context only. Verify the original page, account attribution and date; no result accuracy test.</x:v>
      </x:c>
      <x:c r="H592" s="22" t="str">
        <x:v>Lead only; inspect original content before attribution</x:v>
      </x:c>
      <x:c r="I592" s="22" t="str">
        <x:v>Not checked</x:v>
      </x:c>
      <x:c r="J592" s="22" t="str">
        <x:v>Saved bookmark metadata only</x:v>
      </x:c>
      <x:c r="K592" s="22" t="str"/>
      <x:c r="L592" s="24" t="str"/>
      <x:c r="M592" s="24" t="str">
        <x:v>https://www.search.ask.com/</x:v>
      </x:c>
      <x:c r="N592" s="22" t="str">
        <x:v>268460036</x:v>
      </x:c>
      <x:c r="O592" s="22" t="n">
        <x:v>1032</x:v>
      </x:c>
      <x:c r="P592" s="22" t="n">
        <x:v>23</x:v>
      </x:c>
      <x:c r="Q592" s="22" t="str"/>
      <x:c r="R592" s="22" t="n">
        <x:f>COUNTIF($M$6:$M$1177,M592)</x:f>
        <x:v>1</x:v>
      </x:c>
      <x:c r="S592" s="22" t="str">
        <x:v>Supporting discovery</x:v>
      </x:c>
      <x:c r="T592" s="22" t="str">
        <x:v>Low</x:v>
      </x:c>
    </x:row>
    <x:row r="593" ht="54" customHeight="1">
      <x:c r="A593" s="22" t="n">
        <x:v>588</x:v>
      </x:c>
      <x:c r="B593" s="22" t="str">
        <x:v>ZorexEye</x:v>
      </x:c>
      <x:c r="C593" s="43" t="str">
        <x:v>C-P</x:v>
      </x:c>
      <x:c r="D593" s="22" t="str">
        <x:v>Provisional</x:v>
      </x:c>
      <x:c r="E593" s="22" t="str">
        <x:v>SEARCH ENGINES</x:v>
      </x:c>
      <x:c r="F593" s="22" t="str">
        <x:v>Search or discovery interface</x:v>
      </x:c>
      <x:c r="G593" s="22" t="str">
        <x:v>Provisional ceiling from saved search/discovery context only. Verify the original page, account attribution and date; no result accuracy test.</x:v>
      </x:c>
      <x:c r="H593" s="22" t="str">
        <x:v>Lead only; inspect original content before attribution</x:v>
      </x:c>
      <x:c r="I593" s="22" t="str">
        <x:v>Not checked</x:v>
      </x:c>
      <x:c r="J593" s="22" t="str">
        <x:v>Saved bookmark metadata only</x:v>
      </x:c>
      <x:c r="K593" s="22" t="str"/>
      <x:c r="L593" s="24" t="str"/>
      <x:c r="M593" s="24" t="str">
        <x:v>http://zorexeye.com/</x:v>
      </x:c>
      <x:c r="N593" s="22" t="str">
        <x:v>268508023</x:v>
      </x:c>
      <x:c r="O593" s="22" t="n">
        <x:v>1032</x:v>
      </x:c>
      <x:c r="P593" s="22" t="n">
        <x:v>24</x:v>
      </x:c>
      <x:c r="Q593" s="22" t="str"/>
      <x:c r="R593" s="22" t="n">
        <x:f>COUNTIF($M$6:$M$1177,M593)</x:f>
        <x:v>1</x:v>
      </x:c>
      <x:c r="S593" s="22" t="str">
        <x:v>Supporting discovery</x:v>
      </x:c>
      <x:c r="T593" s="22" t="str">
        <x:v>Low</x:v>
      </x:c>
    </x:row>
    <x:row r="594" ht="54" customHeight="1">
      <x:c r="A594" s="22" t="n">
        <x:v>589</x:v>
      </x:c>
      <x:c r="B594" s="22" t="str">
        <x:v>Yassen.com</x:v>
      </x:c>
      <x:c r="C594" s="43" t="str">
        <x:v>C-P</x:v>
      </x:c>
      <x:c r="D594" s="22" t="str">
        <x:v>Provisional</x:v>
      </x:c>
      <x:c r="E594" s="22" t="str">
        <x:v>SEARCH ENGINES</x:v>
      </x:c>
      <x:c r="F594" s="22" t="str">
        <x:v>Search or discovery interface</x:v>
      </x:c>
      <x:c r="G594" s="22" t="str">
        <x:v>Provisional ceiling from saved search/discovery context only. Verify the original page, account attribution and date; no result accuracy test.</x:v>
      </x:c>
      <x:c r="H594" s="22" t="str">
        <x:v>Lead only; inspect original content before attribution</x:v>
      </x:c>
      <x:c r="I594" s="22" t="str">
        <x:v>Not checked</x:v>
      </x:c>
      <x:c r="J594" s="22" t="str">
        <x:v>Saved bookmark metadata only</x:v>
      </x:c>
      <x:c r="K594" s="22" t="str"/>
      <x:c r="L594" s="24" t="str"/>
      <x:c r="M594" s="24" t="str">
        <x:v>http://yassen.com/</x:v>
      </x:c>
      <x:c r="N594" s="22" t="str">
        <x:v>268508064</x:v>
      </x:c>
      <x:c r="O594" s="22" t="n">
        <x:v>1032</x:v>
      </x:c>
      <x:c r="P594" s="22" t="n">
        <x:v>25</x:v>
      </x:c>
      <x:c r="Q594" s="22" t="str"/>
      <x:c r="R594" s="22" t="n">
        <x:f>COUNTIF($M$6:$M$1177,M594)</x:f>
        <x:v>1</x:v>
      </x:c>
      <x:c r="S594" s="22" t="str">
        <x:v>Supporting discovery</x:v>
      </x:c>
      <x:c r="T594" s="22" t="str">
        <x:v>Low</x:v>
      </x:c>
    </x:row>
    <x:row r="595" ht="54" customHeight="1">
      <x:c r="A595" s="22" t="n">
        <x:v>590</x:v>
      </x:c>
      <x:c r="B595" s="22" t="str">
        <x:v>Flippity</x:v>
      </x:c>
      <x:c r="C595" s="43" t="str">
        <x:v>C-P</x:v>
      </x:c>
      <x:c r="D595" s="22" t="str">
        <x:v>Provisional</x:v>
      </x:c>
      <x:c r="E595" s="22" t="str">
        <x:v>SEARCH ENGINES</x:v>
      </x:c>
      <x:c r="F595" s="22" t="str">
        <x:v>Search or discovery interface</x:v>
      </x:c>
      <x:c r="G595" s="22" t="str">
        <x:v>Provisional ceiling from saved search/discovery context only. Verify the original page, account attribution and date; no result accuracy test.</x:v>
      </x:c>
      <x:c r="H595" s="22" t="str">
        <x:v>Lead only; inspect original content before attribution</x:v>
      </x:c>
      <x:c r="I595" s="22" t="str">
        <x:v>Not checked</x:v>
      </x:c>
      <x:c r="J595" s="22" t="str">
        <x:v>Saved bookmark metadata only</x:v>
      </x:c>
      <x:c r="K595" s="22" t="str"/>
      <x:c r="L595" s="24" t="str"/>
      <x:c r="M595" s="24" t="str">
        <x:v>https://www.flippity.com/</x:v>
      </x:c>
      <x:c r="N595" s="22" t="str">
        <x:v>286825978</x:v>
      </x:c>
      <x:c r="O595" s="22" t="n">
        <x:v>1032</x:v>
      </x:c>
      <x:c r="P595" s="22" t="n">
        <x:v>26</x:v>
      </x:c>
      <x:c r="Q595" s="22" t="str"/>
      <x:c r="R595" s="22" t="n">
        <x:f>COUNTIF($M$6:$M$1177,M595)</x:f>
        <x:v>1</x:v>
      </x:c>
      <x:c r="S595" s="22" t="str">
        <x:v>Supporting discovery</x:v>
      </x:c>
      <x:c r="T595" s="22" t="str">
        <x:v>Low</x:v>
      </x:c>
    </x:row>
    <x:row r="596" ht="54" customHeight="1">
      <x:c r="A596" s="22" t="n">
        <x:v>591</x:v>
      </x:c>
      <x:c r="B596" s="22" t="str">
        <x:v>keys.openpgp.org</x:v>
      </x:c>
      <x:c r="C596" s="35" t="str">
        <x:v>B</x:v>
      </x:c>
      <x:c r="D596" s="22" t="str">
        <x:v>Documented</x:v>
      </x:c>
      <x:c r="E596" s="22" t="str">
        <x:v>SEARCH ENGINES</x:v>
      </x:c>
      <x:c r="F596" s="22" t="str">
        <x:v>OpenPGP key and verified-email association</x:v>
      </x:c>
      <x:c r="G596" s="22" t="str">
        <x:v>Publishes technical key data and consent-verified email identifiers. Email verification does not certify a legal name or present human identity.</x:v>
      </x:c>
      <x:c r="H596" s="22" t="str">
        <x:v>Corroborate before attribution</x:v>
      </x:c>
      <x:c r="I596" s="22" t="str">
        <x:v>Content readable; lookup not tested</x:v>
      </x:c>
      <x:c r="J596" s="22" t="str">
        <x:v>Provider technical documentation</x:v>
      </x:c>
      <x:c r="K596" s="22" t="str">
        <x:v>S090</x:v>
      </x:c>
      <x:c r="L596" s="24" t="str">
        <x:v>https://keys.openpgp.org/about/</x:v>
      </x:c>
      <x:c r="M596" s="24" t="str">
        <x:v>https://keys.openpgp.org/</x:v>
      </x:c>
      <x:c r="N596" s="22" t="str">
        <x:v>268401476</x:v>
      </x:c>
      <x:c r="O596" s="22" t="n">
        <x:v>1032</x:v>
      </x:c>
      <x:c r="P596" s="22" t="n">
        <x:v>27</x:v>
      </x:c>
      <x:c r="Q596" s="22" t="str">
        <x:v>2026-09-15</x:v>
      </x:c>
      <x:c r="R596" s="22" t="n">
        <x:f>COUNTIF($M$6:$M$1177,M596)</x:f>
        <x:v>1</x:v>
      </x:c>
      <x:c r="S596" s="22" t="str">
        <x:v>Supporting discovery</x:v>
      </x:c>
      <x:c r="T596" s="22" t="str">
        <x:v>Scoped desk assessment</x:v>
      </x:c>
    </x:row>
    <x:row r="597" ht="54" customHeight="1">
      <x:c r="A597" s="22" t="n">
        <x:v>592</x:v>
      </x:c>
      <x:c r="B597" s="22" t="str">
        <x:v>MIT PGP Key Server</x:v>
      </x:c>
      <x:c r="C597" s="43" t="str">
        <x:v>C-P</x:v>
      </x:c>
      <x:c r="D597" s="22" t="str">
        <x:v>Provisional</x:v>
      </x:c>
      <x:c r="E597" s="22" t="str">
        <x:v>SEARCH ENGINES</x:v>
      </x:c>
      <x:c r="F597" s="22" t="str">
        <x:v>Search or discovery interface</x:v>
      </x:c>
      <x:c r="G597" s="22" t="str">
        <x:v>Provisional ceiling from saved search/discovery context only. Verify the original page, account attribution and date; no result accuracy test.</x:v>
      </x:c>
      <x:c r="H597" s="22" t="str">
        <x:v>Lead only; inspect original content before attribution</x:v>
      </x:c>
      <x:c r="I597" s="22" t="str">
        <x:v>Not checked</x:v>
      </x:c>
      <x:c r="J597" s="22" t="str">
        <x:v>Saved bookmark metadata only</x:v>
      </x:c>
      <x:c r="K597" s="22" t="str"/>
      <x:c r="L597" s="24" t="str"/>
      <x:c r="M597" s="24" t="str">
        <x:v>https://pgp.mit.edu/</x:v>
      </x:c>
      <x:c r="N597" s="22" t="str">
        <x:v>268462649</x:v>
      </x:c>
      <x:c r="O597" s="22" t="n">
        <x:v>1032</x:v>
      </x:c>
      <x:c r="P597" s="22" t="n">
        <x:v>28</x:v>
      </x:c>
      <x:c r="Q597" s="22" t="str"/>
      <x:c r="R597" s="22" t="n">
        <x:f>COUNTIF($M$6:$M$1177,M597)</x:f>
        <x:v>1</x:v>
      </x:c>
      <x:c r="S597" s="22" t="str">
        <x:v>Supporting discovery</x:v>
      </x:c>
      <x:c r="T597" s="22" t="str">
        <x:v>Low</x:v>
      </x:c>
    </x:row>
    <x:row r="598" ht="54" customHeight="1">
      <x:c r="A598" s="22" t="n">
        <x:v>593</x:v>
      </x:c>
      <x:c r="B598" s="22" t="str">
        <x:v>Ipse.io</x:v>
      </x:c>
      <x:c r="C598" s="43" t="str">
        <x:v>C-P</x:v>
      </x:c>
      <x:c r="D598" s="22" t="str">
        <x:v>Provisional</x:v>
      </x:c>
      <x:c r="E598" s="22" t="str">
        <x:v>SEARCH ENGINES</x:v>
      </x:c>
      <x:c r="F598" s="22" t="str">
        <x:v>Search or discovery interface</x:v>
      </x:c>
      <x:c r="G598" s="22" t="str">
        <x:v>Provisional ceiling from saved search/discovery context only. Verify the original page, account attribution and date; no result accuracy test.</x:v>
      </x:c>
      <x:c r="H598" s="22" t="str">
        <x:v>Lead only; inspect original content before attribution</x:v>
      </x:c>
      <x:c r="I598" s="22" t="str">
        <x:v>Not checked</x:v>
      </x:c>
      <x:c r="J598" s="22" t="str">
        <x:v>Saved bookmark metadata only</x:v>
      </x:c>
      <x:c r="K598" s="22" t="str"/>
      <x:c r="L598" s="24" t="str"/>
      <x:c r="M598" s="24" t="str">
        <x:v>https://www.ipse.io/</x:v>
      </x:c>
      <x:c r="N598" s="22" t="str">
        <x:v>268508080</x:v>
      </x:c>
      <x:c r="O598" s="22" t="n">
        <x:v>1032</x:v>
      </x:c>
      <x:c r="P598" s="22" t="n">
        <x:v>29</x:v>
      </x:c>
      <x:c r="Q598" s="22" t="str"/>
      <x:c r="R598" s="22" t="n">
        <x:f>COUNTIF($M$6:$M$1177,M598)</x:f>
        <x:v>1</x:v>
      </x:c>
      <x:c r="S598" s="22" t="str">
        <x:v>Supporting discovery</x:v>
      </x:c>
      <x:c r="T598" s="22" t="str">
        <x:v>Low</x:v>
      </x:c>
    </x:row>
    <x:row r="599" ht="54" customHeight="1">
      <x:c r="A599" s="22" t="n">
        <x:v>594</x:v>
      </x:c>
      <x:c r="B599" s="22" t="str">
        <x:v>Ipfs-search.com</x:v>
      </x:c>
      <x:c r="C599" s="43" t="str">
        <x:v>C-P</x:v>
      </x:c>
      <x:c r="D599" s="22" t="str">
        <x:v>Provisional</x:v>
      </x:c>
      <x:c r="E599" s="22" t="str">
        <x:v>SEARCH ENGINES</x:v>
      </x:c>
      <x:c r="F599" s="22" t="str">
        <x:v>Search or discovery interface</x:v>
      </x:c>
      <x:c r="G599" s="22" t="str">
        <x:v>Provisional ceiling from saved search/discovery context only. Verify the original page, account attribution and date; no result accuracy test.</x:v>
      </x:c>
      <x:c r="H599" s="22" t="str">
        <x:v>Lead only; inspect original content before attribution</x:v>
      </x:c>
      <x:c r="I599" s="22" t="str">
        <x:v>Not checked</x:v>
      </x:c>
      <x:c r="J599" s="22" t="str">
        <x:v>Saved bookmark metadata only</x:v>
      </x:c>
      <x:c r="K599" s="22" t="str"/>
      <x:c r="L599" s="24" t="str"/>
      <x:c r="M599" s="24" t="str">
        <x:v>https://ipfs-search.com/#/search</x:v>
      </x:c>
      <x:c r="N599" s="22" t="str">
        <x:v>268384100</x:v>
      </x:c>
      <x:c r="O599" s="22" t="n">
        <x:v>1032</x:v>
      </x:c>
      <x:c r="P599" s="22" t="n">
        <x:v>30</x:v>
      </x:c>
      <x:c r="Q599" s="22" t="str"/>
      <x:c r="R599" s="22" t="n">
        <x:f>COUNTIF($M$6:$M$1177,M599)</x:f>
        <x:v>1</x:v>
      </x:c>
      <x:c r="S599" s="22" t="str">
        <x:v>Supporting discovery</x:v>
      </x:c>
      <x:c r="T599" s="22" t="str">
        <x:v>Low</x:v>
      </x:c>
    </x:row>
    <x:row r="600" ht="54" customHeight="1">
      <x:c r="A600" s="22" t="n">
        <x:v>595</x:v>
      </x:c>
      <x:c r="B600" s="22" t="str">
        <x:v>Debate.cards</x:v>
      </x:c>
      <x:c r="C600" s="43" t="str">
        <x:v>C-P</x:v>
      </x:c>
      <x:c r="D600" s="22" t="str">
        <x:v>Provisional</x:v>
      </x:c>
      <x:c r="E600" s="22" t="str">
        <x:v>SEARCH ENGINES</x:v>
      </x:c>
      <x:c r="F600" s="22" t="str">
        <x:v>Search or discovery interface</x:v>
      </x:c>
      <x:c r="G600" s="22" t="str">
        <x:v>Provisional ceiling from saved search/discovery context only. Verify the original page, account attribution and date; no result accuracy test.</x:v>
      </x:c>
      <x:c r="H600" s="22" t="str">
        <x:v>Lead only; inspect original content before attribution</x:v>
      </x:c>
      <x:c r="I600" s="22" t="str">
        <x:v>Not checked</x:v>
      </x:c>
      <x:c r="J600" s="22" t="str">
        <x:v>Saved bookmark metadata only</x:v>
      </x:c>
      <x:c r="K600" s="22" t="str"/>
      <x:c r="L600" s="24" t="str"/>
      <x:c r="M600" s="24" t="str">
        <x:v>http://debate.cards/</x:v>
      </x:c>
      <x:c r="N600" s="22" t="str">
        <x:v>268511545</x:v>
      </x:c>
      <x:c r="O600" s="22" t="n">
        <x:v>1032</x:v>
      </x:c>
      <x:c r="P600" s="22" t="n">
        <x:v>31</x:v>
      </x:c>
      <x:c r="Q600" s="22" t="str"/>
      <x:c r="R600" s="22" t="n">
        <x:f>COUNTIF($M$6:$M$1177,M600)</x:f>
        <x:v>1</x:v>
      </x:c>
      <x:c r="S600" s="22" t="str">
        <x:v>Supporting discovery</x:v>
      </x:c>
      <x:c r="T600" s="22" t="str">
        <x:v>Low</x:v>
      </x:c>
    </x:row>
    <x:row r="601" ht="54" customHeight="1">
      <x:c r="A601" s="22" t="n">
        <x:v>596</x:v>
      </x:c>
      <x:c r="B601" s="22" t="str">
        <x:v>Argumentsearch.com</x:v>
      </x:c>
      <x:c r="C601" s="43" t="str">
        <x:v>C-P</x:v>
      </x:c>
      <x:c r="D601" s="22" t="str">
        <x:v>Provisional</x:v>
      </x:c>
      <x:c r="E601" s="22" t="str">
        <x:v>SEARCH ENGINES</x:v>
      </x:c>
      <x:c r="F601" s="22" t="str">
        <x:v>Search or discovery interface</x:v>
      </x:c>
      <x:c r="G601" s="22" t="str">
        <x:v>Provisional ceiling from saved search/discovery context only. Verify the original page, account attribution and date; no result accuracy test.</x:v>
      </x:c>
      <x:c r="H601" s="22" t="str">
        <x:v>Lead only; inspect original content before attribution</x:v>
      </x:c>
      <x:c r="I601" s="22" t="str">
        <x:v>Not checked</x:v>
      </x:c>
      <x:c r="J601" s="22" t="str">
        <x:v>Saved bookmark metadata only</x:v>
      </x:c>
      <x:c r="K601" s="22" t="str"/>
      <x:c r="L601" s="24" t="str"/>
      <x:c r="M601" s="24" t="str">
        <x:v>http://argumentsearch.com/</x:v>
      </x:c>
      <x:c r="N601" s="22" t="str">
        <x:v>268511547</x:v>
      </x:c>
      <x:c r="O601" s="22" t="n">
        <x:v>1032</x:v>
      </x:c>
      <x:c r="P601" s="22" t="n">
        <x:v>32</x:v>
      </x:c>
      <x:c r="Q601" s="22" t="str"/>
      <x:c r="R601" s="22" t="n">
        <x:f>COUNTIF($M$6:$M$1177,M601)</x:f>
        <x:v>1</x:v>
      </x:c>
      <x:c r="S601" s="22" t="str">
        <x:v>Supporting discovery</x:v>
      </x:c>
      <x:c r="T601" s="22" t="str">
        <x:v>Low</x:v>
      </x:c>
    </x:row>
    <x:row r="602" ht="54" customHeight="1">
      <x:c r="A602" s="22" t="n">
        <x:v>597</x:v>
      </x:c>
      <x:c r="B602" s="22" t="str">
        <x:v>Meganzsearch.com</x:v>
      </x:c>
      <x:c r="C602" s="43" t="str">
        <x:v>C-P</x:v>
      </x:c>
      <x:c r="D602" s="22" t="str">
        <x:v>Provisional</x:v>
      </x:c>
      <x:c r="E602" s="22" t="str">
        <x:v>SEARCH ENGINES</x:v>
      </x:c>
      <x:c r="F602" s="22" t="str">
        <x:v>Search or discovery interface</x:v>
      </x:c>
      <x:c r="G602" s="22" t="str">
        <x:v>Provisional ceiling from saved search/discovery context only. Verify the original page, account attribution and date; no result accuracy test.</x:v>
      </x:c>
      <x:c r="H602" s="22" t="str">
        <x:v>Lead only; inspect original content before attribution</x:v>
      </x:c>
      <x:c r="I602" s="22" t="str">
        <x:v>Not checked</x:v>
      </x:c>
      <x:c r="J602" s="22" t="str">
        <x:v>Saved bookmark metadata only</x:v>
      </x:c>
      <x:c r="K602" s="22" t="str"/>
      <x:c r="L602" s="24" t="str"/>
      <x:c r="M602" s="24" t="str">
        <x:v>https://www.meganzsearch.com/</x:v>
      </x:c>
      <x:c r="N602" s="22" t="str">
        <x:v>268392036</x:v>
      </x:c>
      <x:c r="O602" s="22" t="n">
        <x:v>1032</x:v>
      </x:c>
      <x:c r="P602" s="22" t="n">
        <x:v>33</x:v>
      </x:c>
      <x:c r="Q602" s="22" t="str"/>
      <x:c r="R602" s="22" t="n">
        <x:f>COUNTIF($M$6:$M$1177,M602)</x:f>
        <x:v>1</x:v>
      </x:c>
      <x:c r="S602" s="22" t="str">
        <x:v>Supporting discovery</x:v>
      </x:c>
      <x:c r="T602" s="22" t="str">
        <x:v>Low</x:v>
      </x:c>
    </x:row>
    <x:row r="603" ht="54" customHeight="1">
      <x:c r="A603" s="22" t="n">
        <x:v>598</x:v>
      </x:c>
      <x:c r="B603" s="22" t="str">
        <x:v>Engine.presearch.org</x:v>
      </x:c>
      <x:c r="C603" s="43" t="str">
        <x:v>C-P</x:v>
      </x:c>
      <x:c r="D603" s="22" t="str">
        <x:v>Provisional</x:v>
      </x:c>
      <x:c r="E603" s="22" t="str">
        <x:v>SEARCH ENGINES</x:v>
      </x:c>
      <x:c r="F603" s="22" t="str">
        <x:v>Search or discovery interface</x:v>
      </x:c>
      <x:c r="G603" s="22" t="str">
        <x:v>Provisional ceiling from saved search/discovery context only. Verify the original page, account attribution and date; no result accuracy test.</x:v>
      </x:c>
      <x:c r="H603" s="22" t="str">
        <x:v>Lead only; inspect original content before attribution</x:v>
      </x:c>
      <x:c r="I603" s="22" t="str">
        <x:v>Not checked</x:v>
      </x:c>
      <x:c r="J603" s="22" t="str">
        <x:v>Saved bookmark metadata only</x:v>
      </x:c>
      <x:c r="K603" s="22" t="str"/>
      <x:c r="L603" s="24" t="str"/>
      <x:c r="M603" s="24" t="str">
        <x:v>https://engine.presearch.org/</x:v>
      </x:c>
      <x:c r="N603" s="22" t="str">
        <x:v>268508083</x:v>
      </x:c>
      <x:c r="O603" s="22" t="n">
        <x:v>1032</x:v>
      </x:c>
      <x:c r="P603" s="22" t="n">
        <x:v>34</x:v>
      </x:c>
      <x:c r="Q603" s="22" t="str"/>
      <x:c r="R603" s="22" t="n">
        <x:f>COUNTIF($M$6:$M$1177,M603)</x:f>
        <x:v>1</x:v>
      </x:c>
      <x:c r="S603" s="22" t="str">
        <x:v>Supporting discovery</x:v>
      </x:c>
      <x:c r="T603" s="22" t="str">
        <x:v>Low</x:v>
      </x:c>
    </x:row>
    <x:row r="604" ht="54" customHeight="1">
      <x:c r="A604" s="22" t="n">
        <x:v>599</x:v>
      </x:c>
      <x:c r="B604" s="22" t="str">
        <x:v>Blockscan.com</x:v>
      </x:c>
      <x:c r="C604" s="43" t="str">
        <x:v>C-P</x:v>
      </x:c>
      <x:c r="D604" s="22" t="str">
        <x:v>Provisional</x:v>
      </x:c>
      <x:c r="E604" s="22" t="str">
        <x:v>SEARCH ENGINES</x:v>
      </x:c>
      <x:c r="F604" s="22" t="str">
        <x:v>Search or discovery interface</x:v>
      </x:c>
      <x:c r="G604" s="22" t="str">
        <x:v>Provisional ceiling from saved search/discovery context only. Verify the original page, account attribution and date; no result accuracy test.</x:v>
      </x:c>
      <x:c r="H604" s="22" t="str">
        <x:v>Lead only; inspect original content before attribution</x:v>
      </x:c>
      <x:c r="I604" s="22" t="str">
        <x:v>Not checked</x:v>
      </x:c>
      <x:c r="J604" s="22" t="str">
        <x:v>Saved bookmark metadata only</x:v>
      </x:c>
      <x:c r="K604" s="22" t="str"/>
      <x:c r="L604" s="24" t="str"/>
      <x:c r="M604" s="24" t="str">
        <x:v>https://blockscan.com/</x:v>
      </x:c>
      <x:c r="N604" s="22" t="str">
        <x:v>268508093</x:v>
      </x:c>
      <x:c r="O604" s="22" t="n">
        <x:v>1032</x:v>
      </x:c>
      <x:c r="P604" s="22" t="n">
        <x:v>35</x:v>
      </x:c>
      <x:c r="Q604" s="22" t="str"/>
      <x:c r="R604" s="22" t="n">
        <x:f>COUNTIF($M$6:$M$1177,M604)</x:f>
        <x:v>1</x:v>
      </x:c>
      <x:c r="S604" s="22" t="str">
        <x:v>Supporting discovery</x:v>
      </x:c>
      <x:c r="T604" s="22" t="str">
        <x:v>Low</x:v>
      </x:c>
    </x:row>
    <x:row r="605" ht="54" customHeight="1">
      <x:c r="A605" s="22" t="n">
        <x:v>600</x:v>
      </x:c>
      <x:c r="B605" s="22" t="str">
        <x:v>Publc.com</x:v>
      </x:c>
      <x:c r="C605" s="43" t="str">
        <x:v>C-P</x:v>
      </x:c>
      <x:c r="D605" s="22" t="str">
        <x:v>Provisional</x:v>
      </x:c>
      <x:c r="E605" s="22" t="str">
        <x:v>SEARCH ENGINES</x:v>
      </x:c>
      <x:c r="F605" s="22" t="str">
        <x:v>Search or discovery interface</x:v>
      </x:c>
      <x:c r="G605" s="22" t="str">
        <x:v>Provisional ceiling from saved search/discovery context only. Verify the original page, account attribution and date; no result accuracy test.</x:v>
      </x:c>
      <x:c r="H605" s="22" t="str">
        <x:v>Lead only; inspect original content before attribution</x:v>
      </x:c>
      <x:c r="I605" s="22" t="str">
        <x:v>Not checked</x:v>
      </x:c>
      <x:c r="J605" s="22" t="str">
        <x:v>Saved bookmark metadata only</x:v>
      </x:c>
      <x:c r="K605" s="22" t="str"/>
      <x:c r="L605" s="24" t="str"/>
      <x:c r="M605" s="24" t="str">
        <x:v>https://publc.com/</x:v>
      </x:c>
      <x:c r="N605" s="22" t="str">
        <x:v>268510135</x:v>
      </x:c>
      <x:c r="O605" s="22" t="n">
        <x:v>1032</x:v>
      </x:c>
      <x:c r="P605" s="22" t="n">
        <x:v>36</x:v>
      </x:c>
      <x:c r="Q605" s="22" t="str"/>
      <x:c r="R605" s="22" t="n">
        <x:f>COUNTIF($M$6:$M$1177,M605)</x:f>
        <x:v>1</x:v>
      </x:c>
      <x:c r="S605" s="22" t="str">
        <x:v>Supporting discovery</x:v>
      </x:c>
      <x:c r="T605" s="22" t="str">
        <x:v>Low</x:v>
      </x:c>
    </x:row>
    <x:row r="606" ht="54" customHeight="1">
      <x:c r="A606" s="22" t="n">
        <x:v>601</x:v>
      </x:c>
      <x:c r="B606" s="22" t="str">
        <x:v>GoPit Search Engine - Home</x:v>
      </x:c>
      <x:c r="C606" s="43" t="str">
        <x:v>C-P</x:v>
      </x:c>
      <x:c r="D606" s="22" t="str">
        <x:v>Provisional</x:v>
      </x:c>
      <x:c r="E606" s="22" t="str">
        <x:v>SEARCH ENGINES</x:v>
      </x:c>
      <x:c r="F606" s="22" t="str">
        <x:v>Search or discovery interface</x:v>
      </x:c>
      <x:c r="G606" s="22" t="str">
        <x:v>Provisional ceiling from saved search/discovery context only. Verify the original page, account attribution and date; no result accuracy test.</x:v>
      </x:c>
      <x:c r="H606" s="22" t="str">
        <x:v>Lead only; inspect original content before attribution</x:v>
      </x:c>
      <x:c r="I606" s="22" t="str">
        <x:v>Not checked</x:v>
      </x:c>
      <x:c r="J606" s="22" t="str">
        <x:v>Saved bookmark metadata only</x:v>
      </x:c>
      <x:c r="K606" s="22" t="str"/>
      <x:c r="L606" s="24" t="str"/>
      <x:c r="M606" s="24" t="str">
        <x:v>https://www.gopit.com/socialsearch/index.php?type=Social</x:v>
      </x:c>
      <x:c r="N606" s="22" t="str">
        <x:v>268510263</x:v>
      </x:c>
      <x:c r="O606" s="22" t="n">
        <x:v>1032</x:v>
      </x:c>
      <x:c r="P606" s="22" t="n">
        <x:v>37</x:v>
      </x:c>
      <x:c r="Q606" s="22" t="str"/>
      <x:c r="R606" s="22" t="n">
        <x:f>COUNTIF($M$6:$M$1177,M606)</x:f>
        <x:v>1</x:v>
      </x:c>
      <x:c r="S606" s="22" t="str">
        <x:v>Supporting discovery</x:v>
      </x:c>
      <x:c r="T606" s="22" t="str">
        <x:v>Low</x:v>
      </x:c>
    </x:row>
    <x:row r="607" ht="54" customHeight="1">
      <x:c r="A607" s="22" t="n">
        <x:v>602</x:v>
      </x:c>
      <x:c r="B607" s="22" t="str">
        <x:v>The best document search engine</x:v>
      </x:c>
      <x:c r="C607" s="43" t="str">
        <x:v>C-P</x:v>
      </x:c>
      <x:c r="D607" s="22" t="str">
        <x:v>Provisional</x:v>
      </x:c>
      <x:c r="E607" s="22" t="str">
        <x:v>SEARCH ENGINES</x:v>
      </x:c>
      <x:c r="F607" s="22" t="str">
        <x:v>Search or discovery interface</x:v>
      </x:c>
      <x:c r="G607" s="22" t="str">
        <x:v>Provisional ceiling from saved search/discovery context only. Verify the original page, account attribution and date; no result accuracy test.</x:v>
      </x:c>
      <x:c r="H607" s="22" t="str">
        <x:v>Lead only; inspect original content before attribution</x:v>
      </x:c>
      <x:c r="I607" s="22" t="str">
        <x:v>Not checked</x:v>
      </x:c>
      <x:c r="J607" s="22" t="str">
        <x:v>Saved bookmark metadata only</x:v>
      </x:c>
      <x:c r="K607" s="22" t="str"/>
      <x:c r="L607" s="24" t="str"/>
      <x:c r="M607" s="24" t="str">
        <x:v>http://www.doc-txt.com/</x:v>
      </x:c>
      <x:c r="N607" s="22" t="str">
        <x:v>268643689</x:v>
      </x:c>
      <x:c r="O607" s="22" t="n">
        <x:v>1032</x:v>
      </x:c>
      <x:c r="P607" s="22" t="n">
        <x:v>38</x:v>
      </x:c>
      <x:c r="Q607" s="22" t="str"/>
      <x:c r="R607" s="22" t="n">
        <x:f>COUNTIF($M$6:$M$1177,M607)</x:f>
        <x:v>1</x:v>
      </x:c>
      <x:c r="S607" s="22" t="str">
        <x:v>Supporting discovery</x:v>
      </x:c>
      <x:c r="T607" s="22" t="str">
        <x:v>Low</x:v>
      </x:c>
    </x:row>
    <x:row r="608" ht="54" customHeight="1">
      <x:c r="A608" s="22" t="n">
        <x:v>603</x:v>
      </x:c>
      <x:c r="B608" s="22" t="str">
        <x:v>CachedViews.com</x:v>
      </x:c>
      <x:c r="C608" s="43" t="str">
        <x:v>C-P</x:v>
      </x:c>
      <x:c r="D608" s="22" t="str">
        <x:v>Provisional</x:v>
      </x:c>
      <x:c r="E608" s="22" t="str">
        <x:v>SEARCH ENGINES</x:v>
      </x:c>
      <x:c r="F608" s="22" t="str">
        <x:v>Search or discovery interface</x:v>
      </x:c>
      <x:c r="G608" s="22" t="str">
        <x:v>Provisional ceiling from saved search/discovery context only. Verify the original page, account attribution and date; no result accuracy test.</x:v>
      </x:c>
      <x:c r="H608" s="22" t="str">
        <x:v>Lead only; inspect original content before attribution</x:v>
      </x:c>
      <x:c r="I608" s="22" t="str">
        <x:v>Not checked</x:v>
      </x:c>
      <x:c r="J608" s="22" t="str">
        <x:v>Saved bookmark metadata only</x:v>
      </x:c>
      <x:c r="K608" s="22" t="str"/>
      <x:c r="L608" s="24" t="str"/>
      <x:c r="M608" s="24" t="str">
        <x:v>https://cachedviews.com/</x:v>
      </x:c>
      <x:c r="N608" s="22" t="str">
        <x:v>268644166</x:v>
      </x:c>
      <x:c r="O608" s="22" t="n">
        <x:v>1032</x:v>
      </x:c>
      <x:c r="P608" s="22" t="n">
        <x:v>39</x:v>
      </x:c>
      <x:c r="Q608" s="22" t="str"/>
      <x:c r="R608" s="22" t="n">
        <x:f>COUNTIF($M$6:$M$1177,M608)</x:f>
        <x:v>1</x:v>
      </x:c>
      <x:c r="S608" s="22" t="str">
        <x:v>Supporting discovery</x:v>
      </x:c>
      <x:c r="T608" s="22" t="str">
        <x:v>Low</x:v>
      </x:c>
    </x:row>
    <x:row r="609" ht="54" customHeight="1">
      <x:c r="A609" s="22" t="n">
        <x:v>604</x:v>
      </x:c>
      <x:c r="B609" s="22" t="str">
        <x:v>MAC Address Lookup</x:v>
      </x:c>
      <x:c r="C609" s="43" t="str">
        <x:v>C-P</x:v>
      </x:c>
      <x:c r="D609" s="22" t="str">
        <x:v>Provisional</x:v>
      </x:c>
      <x:c r="E609" s="22" t="str">
        <x:v>SEARCH ENGINES</x:v>
      </x:c>
      <x:c r="F609" s="22" t="str">
        <x:v>Search or discovery interface</x:v>
      </x:c>
      <x:c r="G609" s="22" t="str">
        <x:v>Provisional ceiling from saved search/discovery context only. Verify the original page, account attribution and date; no result accuracy test.</x:v>
      </x:c>
      <x:c r="H609" s="22" t="str">
        <x:v>Lead only; inspect original content before attribution</x:v>
      </x:c>
      <x:c r="I609" s="22" t="str">
        <x:v>Not checked</x:v>
      </x:c>
      <x:c r="J609" s="22" t="str">
        <x:v>Saved bookmark metadata only</x:v>
      </x:c>
      <x:c r="K609" s="22" t="str"/>
      <x:c r="L609" s="24" t="str"/>
      <x:c r="M609" s="24" t="str">
        <x:v>https://maclookup.app/</x:v>
      </x:c>
      <x:c r="N609" s="22" t="str">
        <x:v>268392113</x:v>
      </x:c>
      <x:c r="O609" s="22" t="n">
        <x:v>1032</x:v>
      </x:c>
      <x:c r="P609" s="22" t="n">
        <x:v>40</x:v>
      </x:c>
      <x:c r="Q609" s="22" t="str"/>
      <x:c r="R609" s="22" t="n">
        <x:f>COUNTIF($M$6:$M$1177,M609)</x:f>
        <x:v>1</x:v>
      </x:c>
      <x:c r="S609" s="22" t="str">
        <x:v>Supporting discovery</x:v>
      </x:c>
      <x:c r="T609" s="22" t="str">
        <x:v>Low</x:v>
      </x:c>
    </x:row>
    <x:row r="610" ht="54" customHeight="1">
      <x:c r="A610" s="22" t="n">
        <x:v>605</x:v>
      </x:c>
      <x:c r="B610" s="22" t="str">
        <x:v>sploitus</x:v>
      </x:c>
      <x:c r="C610" s="43" t="str">
        <x:v>C-P</x:v>
      </x:c>
      <x:c r="D610" s="22" t="str">
        <x:v>Provisional</x:v>
      </x:c>
      <x:c r="E610" s="22" t="str">
        <x:v>SEARCH ENGINES</x:v>
      </x:c>
      <x:c r="F610" s="22" t="str">
        <x:v>Search or discovery interface</x:v>
      </x:c>
      <x:c r="G610" s="22" t="str">
        <x:v>Provisional ceiling from saved search/discovery context only. Verify the original page, account attribution and date; no result accuracy test.</x:v>
      </x:c>
      <x:c r="H610" s="22" t="str">
        <x:v>Lead only; inspect original content before attribution</x:v>
      </x:c>
      <x:c r="I610" s="22" t="str">
        <x:v>Not checked</x:v>
      </x:c>
      <x:c r="J610" s="22" t="str">
        <x:v>Saved bookmark metadata only</x:v>
      </x:c>
      <x:c r="K610" s="22" t="str"/>
      <x:c r="L610" s="24" t="str"/>
      <x:c r="M610" s="24" t="str">
        <x:v>https://sploitus.com/</x:v>
      </x:c>
      <x:c r="N610" s="22" t="str">
        <x:v>286644119</x:v>
      </x:c>
      <x:c r="O610" s="22" t="n">
        <x:v>1032</x:v>
      </x:c>
      <x:c r="P610" s="22" t="n">
        <x:v>41</x:v>
      </x:c>
      <x:c r="Q610" s="22" t="str"/>
      <x:c r="R610" s="22" t="n">
        <x:f>COUNTIF($M$6:$M$1177,M610)</x:f>
        <x:v>1</x:v>
      </x:c>
      <x:c r="S610" s="22" t="str">
        <x:v>Supporting discovery</x:v>
      </x:c>
      <x:c r="T610" s="22" t="str">
        <x:v>Low</x:v>
      </x:c>
    </x:row>
    <x:row r="611" ht="54" customHeight="1">
      <x:c r="A611" s="22" t="n">
        <x:v>606</x:v>
      </x:c>
      <x:c r="B611" s="22" t="str">
        <x:v>https://vulmon.com/</x:v>
      </x:c>
      <x:c r="C611" s="43" t="str">
        <x:v>C-P</x:v>
      </x:c>
      <x:c r="D611" s="22" t="str">
        <x:v>Provisional</x:v>
      </x:c>
      <x:c r="E611" s="22" t="str">
        <x:v>SEARCH ENGINES</x:v>
      </x:c>
      <x:c r="F611" s="22" t="str">
        <x:v>Search or discovery interface</x:v>
      </x:c>
      <x:c r="G611" s="22" t="str">
        <x:v>Provisional ceiling from saved search/discovery context only. Verify the original page, account attribution and date; no result accuracy test.</x:v>
      </x:c>
      <x:c r="H611" s="22" t="str">
        <x:v>Lead only; inspect original content before attribution</x:v>
      </x:c>
      <x:c r="I611" s="22" t="str">
        <x:v>Not checked</x:v>
      </x:c>
      <x:c r="J611" s="22" t="str">
        <x:v>Saved bookmark metadata only</x:v>
      </x:c>
      <x:c r="K611" s="22" t="str"/>
      <x:c r="L611" s="24" t="str"/>
      <x:c r="M611" s="24" t="str">
        <x:v>https://vulmon.com/</x:v>
      </x:c>
      <x:c r="N611" s="22" t="str">
        <x:v>268644175</x:v>
      </x:c>
      <x:c r="O611" s="22" t="n">
        <x:v>1032</x:v>
      </x:c>
      <x:c r="P611" s="22" t="n">
        <x:v>42</x:v>
      </x:c>
      <x:c r="Q611" s="22" t="str"/>
      <x:c r="R611" s="22" t="n">
        <x:f>COUNTIF($M$6:$M$1177,M611)</x:f>
        <x:v>1</x:v>
      </x:c>
      <x:c r="S611" s="22" t="str">
        <x:v>Supporting discovery</x:v>
      </x:c>
      <x:c r="T611" s="22" t="str">
        <x:v>Low</x:v>
      </x:c>
    </x:row>
    <x:row r="612" ht="54" customHeight="1">
      <x:c r="A612" s="22" t="n">
        <x:v>607</x:v>
      </x:c>
      <x:c r="B612" s="22" t="str">
        <x:v>Vulnerability &amp; Exploit Database</x:v>
      </x:c>
      <x:c r="C612" s="43" t="str">
        <x:v>C-P</x:v>
      </x:c>
      <x:c r="D612" s="22" t="str">
        <x:v>Provisional</x:v>
      </x:c>
      <x:c r="E612" s="22" t="str">
        <x:v>SEARCH ENGINES</x:v>
      </x:c>
      <x:c r="F612" s="22" t="str">
        <x:v>Search or discovery interface</x:v>
      </x:c>
      <x:c r="G612" s="22" t="str">
        <x:v>Provisional ceiling from saved search/discovery context only. Verify the original page, account attribution and date; no result accuracy test.</x:v>
      </x:c>
      <x:c r="H612" s="22" t="str">
        <x:v>Lead only; inspect original content before attribution</x:v>
      </x:c>
      <x:c r="I612" s="22" t="str">
        <x:v>Not checked</x:v>
      </x:c>
      <x:c r="J612" s="22" t="str">
        <x:v>Saved bookmark metadata only</x:v>
      </x:c>
      <x:c r="K612" s="22" t="str"/>
      <x:c r="L612" s="24" t="str"/>
      <x:c r="M612" s="24" t="str">
        <x:v>https://www.rapid7.com/db/</x:v>
      </x:c>
      <x:c r="N612" s="22" t="str">
        <x:v>268644222</x:v>
      </x:c>
      <x:c r="O612" s="22" t="n">
        <x:v>1032</x:v>
      </x:c>
      <x:c r="P612" s="22" t="n">
        <x:v>43</x:v>
      </x:c>
      <x:c r="Q612" s="22" t="str"/>
      <x:c r="R612" s="22" t="n">
        <x:f>COUNTIF($M$6:$M$1177,M612)</x:f>
        <x:v>1</x:v>
      </x:c>
      <x:c r="S612" s="22" t="str">
        <x:v>Supporting discovery</x:v>
      </x:c>
      <x:c r="T612" s="22" t="str">
        <x:v>Low</x:v>
      </x:c>
    </x:row>
    <x:row r="613" ht="54" customHeight="1">
      <x:c r="A613" s="22" t="n">
        <x:v>608</x:v>
      </x:c>
      <x:c r="B613" s="22" t="str">
        <x:v>Recon</x:v>
      </x:c>
      <x:c r="C613" s="43" t="str">
        <x:v>C-P</x:v>
      </x:c>
      <x:c r="D613" s="22" t="str">
        <x:v>Provisional</x:v>
      </x:c>
      <x:c r="E613" s="22" t="str">
        <x:v>SEARCH ENGINES</x:v>
      </x:c>
      <x:c r="F613" s="22" t="str">
        <x:v>Search or discovery interface</x:v>
      </x:c>
      <x:c r="G613" s="22" t="str">
        <x:v>Provisional ceiling from saved search/discovery context only. Verify the original page, account attribution and date; no result accuracy test.</x:v>
      </x:c>
      <x:c r="H613" s="22" t="str">
        <x:v>Lead only; inspect original content before attribution</x:v>
      </x:c>
      <x:c r="I613" s="22" t="str">
        <x:v>Not checked</x:v>
      </x:c>
      <x:c r="J613" s="22" t="str">
        <x:v>Saved bookmark metadata only</x:v>
      </x:c>
      <x:c r="K613" s="22" t="str"/>
      <x:c r="L613" s="24" t="str"/>
      <x:c r="M613" s="24" t="str">
        <x:v>http://recon222tttn4ob7ujdhbn3s4gjre7netvzybuvbq2bcqwltkiqinhad.onion.pet/</x:v>
      </x:c>
      <x:c r="N613" s="22" t="str">
        <x:v>286686994</x:v>
      </x:c>
      <x:c r="O613" s="22" t="n">
        <x:v>1032</x:v>
      </x:c>
      <x:c r="P613" s="22" t="n">
        <x:v>44</x:v>
      </x:c>
      <x:c r="Q613" s="22" t="str"/>
      <x:c r="R613" s="22" t="n">
        <x:f>COUNTIF($M$6:$M$1177,M613)</x:f>
        <x:v>1</x:v>
      </x:c>
      <x:c r="S613" s="22" t="str">
        <x:v>Supporting discovery</x:v>
      </x:c>
      <x:c r="T613" s="22" t="str">
        <x:v>Low</x:v>
      </x:c>
    </x:row>
    <x:row r="614" ht="54" customHeight="1">
      <x:c r="A614" s="22" t="n">
        <x:v>609</x:v>
      </x:c>
      <x:c r="B614" s="22" t="str">
        <x:v>Google &amp; Bing</x:v>
      </x:c>
      <x:c r="C614" s="43" t="str">
        <x:v>C-P</x:v>
      </x:c>
      <x:c r="D614" s="22" t="str">
        <x:v>Provisional</x:v>
      </x:c>
      <x:c r="E614" s="22" t="str">
        <x:v>SEARCH ENGINES</x:v>
      </x:c>
      <x:c r="F614" s="22" t="str">
        <x:v>Search or discovery interface</x:v>
      </x:c>
      <x:c r="G614" s="22" t="str">
        <x:v>Provisional ceiling from saved search/discovery context only. Verify the original page, account attribution and date; no result accuracy test.</x:v>
      </x:c>
      <x:c r="H614" s="22" t="str">
        <x:v>Lead only; inspect original content before attribution</x:v>
      </x:c>
      <x:c r="I614" s="22" t="str">
        <x:v>Not checked</x:v>
      </x:c>
      <x:c r="J614" s="22" t="str">
        <x:v>Saved bookmark metadata only</x:v>
      </x:c>
      <x:c r="K614" s="22" t="str"/>
      <x:c r="L614" s="24" t="str"/>
      <x:c r="M614" s="24" t="str">
        <x:v>https://one-plus.github.io/GoogleBing</x:v>
      </x:c>
      <x:c r="N614" s="22" t="str">
        <x:v>286013811</x:v>
      </x:c>
      <x:c r="O614" s="22" t="n">
        <x:v>1032</x:v>
      </x:c>
      <x:c r="P614" s="22" t="n">
        <x:v>45</x:v>
      </x:c>
      <x:c r="Q614" s="22" t="str"/>
      <x:c r="R614" s="22" t="n">
        <x:f>COUNTIF($M$6:$M$1177,M614)</x:f>
        <x:v>1</x:v>
      </x:c>
      <x:c r="S614" s="22" t="str">
        <x:v>Supporting discovery</x:v>
      </x:c>
      <x:c r="T614" s="22" t="str">
        <x:v>Low</x:v>
      </x:c>
    </x:row>
    <x:row r="615" ht="54" customHeight="1">
      <x:c r="A615" s="22" t="n">
        <x:v>610</x:v>
      </x:c>
      <x:c r="B615" s="22" t="str">
        <x:v>Bookmarks</x:v>
      </x:c>
      <x:c r="C615" s="43" t="str">
        <x:v>C-P</x:v>
      </x:c>
      <x:c r="D615" s="22" t="str">
        <x:v>Provisional</x:v>
      </x:c>
      <x:c r="E615" s="22" t="str">
        <x:v>SEARCH ENGINES</x:v>
      </x:c>
      <x:c r="F615" s="22" t="str">
        <x:v>Search or discovery interface</x:v>
      </x:c>
      <x:c r="G615" s="22" t="str">
        <x:v>Provisional ceiling from saved search/discovery context only. Verify the original page, account attribution and date; no result accuracy test.</x:v>
      </x:c>
      <x:c r="H615" s="22" t="str">
        <x:v>Lead only; inspect original content before attribution</x:v>
      </x:c>
      <x:c r="I615" s="22" t="str">
        <x:v>Not checked</x:v>
      </x:c>
      <x:c r="J615" s="22" t="str">
        <x:v>Saved bookmark metadata only</x:v>
      </x:c>
      <x:c r="K615" s="22" t="str"/>
      <x:c r="L615" s="24" t="str"/>
      <x:c r="M615" s="24" t="str">
        <x:v>https://one-plus.github.io/Bookmarks</x:v>
      </x:c>
      <x:c r="N615" s="22" t="str">
        <x:v>286013882</x:v>
      </x:c>
      <x:c r="O615" s="22" t="n">
        <x:v>1032</x:v>
      </x:c>
      <x:c r="P615" s="22" t="n">
        <x:v>46</x:v>
      </x:c>
      <x:c r="Q615" s="22" t="str"/>
      <x:c r="R615" s="22" t="n">
        <x:f>COUNTIF($M$6:$M$1177,M615)</x:f>
        <x:v>1</x:v>
      </x:c>
      <x:c r="S615" s="22" t="str">
        <x:v>Supporting discovery</x:v>
      </x:c>
      <x:c r="T615" s="22" t="str">
        <x:v>Low</x:v>
      </x:c>
    </x:row>
    <x:row r="616" ht="54" customHeight="1">
      <x:c r="A616" s="22" t="n">
        <x:v>611</x:v>
      </x:c>
      <x:c r="B616" s="22" t="str">
        <x:v>Boardreader - Forum Search</x:v>
      </x:c>
      <x:c r="C616" s="43" t="str">
        <x:v>C-P</x:v>
      </x:c>
      <x:c r="D616" s="22" t="str">
        <x:v>Provisional</x:v>
      </x:c>
      <x:c r="E616" s="22" t="str">
        <x:v>SEARCH ENGINES</x:v>
      </x:c>
      <x:c r="F616" s="22" t="str">
        <x:v>Search or discovery interface</x:v>
      </x:c>
      <x:c r="G616" s="22" t="str">
        <x:v>Provisional ceiling from saved search/discovery context only. Verify the original page, account attribution and date; no result accuracy test.</x:v>
      </x:c>
      <x:c r="H616" s="22" t="str">
        <x:v>Lead only; inspect original content before attribution</x:v>
      </x:c>
      <x:c r="I616" s="22" t="str">
        <x:v>Not checked</x:v>
      </x:c>
      <x:c r="J616" s="22" t="str">
        <x:v>Saved bookmark metadata only</x:v>
      </x:c>
      <x:c r="K616" s="22" t="str"/>
      <x:c r="L616" s="24" t="str"/>
      <x:c r="M616" s="24" t="str">
        <x:v>https://boardreader.com/</x:v>
      </x:c>
      <x:c r="N616" s="22" t="str">
        <x:v>286014480</x:v>
      </x:c>
      <x:c r="O616" s="22" t="n">
        <x:v>1032</x:v>
      </x:c>
      <x:c r="P616" s="22" t="n">
        <x:v>47</x:v>
      </x:c>
      <x:c r="Q616" s="22" t="str"/>
      <x:c r="R616" s="22" t="n">
        <x:f>COUNTIF($M$6:$M$1177,M616)</x:f>
        <x:v>1</x:v>
      </x:c>
      <x:c r="S616" s="22" t="str">
        <x:v>Supporting discovery</x:v>
      </x:c>
      <x:c r="T616" s="22" t="str">
        <x:v>Low</x:v>
      </x:c>
    </x:row>
    <x:row r="617" ht="54" customHeight="1">
      <x:c r="A617" s="22" t="n">
        <x:v>612</x:v>
      </x:c>
      <x:c r="B617" s="22" t="str">
        <x:v>Libgen.rs</x:v>
      </x:c>
      <x:c r="C617" s="43" t="str">
        <x:v>C-P</x:v>
      </x:c>
      <x:c r="D617" s="22" t="str">
        <x:v>Provisional</x:v>
      </x:c>
      <x:c r="E617" s="22" t="str">
        <x:v>SEARCH ENGINES</x:v>
      </x:c>
      <x:c r="F617" s="22" t="str">
        <x:v>Search or discovery interface</x:v>
      </x:c>
      <x:c r="G617" s="22" t="str">
        <x:v>Provisional ceiling from saved search/discovery context only. Verify the original page, account attribution and date; no result accuracy test.</x:v>
      </x:c>
      <x:c r="H617" s="22" t="str">
        <x:v>Lead only; inspect original content before attribution</x:v>
      </x:c>
      <x:c r="I617" s="22" t="str">
        <x:v>Not checked</x:v>
      </x:c>
      <x:c r="J617" s="22" t="str">
        <x:v>Saved bookmark metadata only</x:v>
      </x:c>
      <x:c r="K617" s="22" t="str"/>
      <x:c r="L617" s="24" t="str"/>
      <x:c r="M617" s="24" t="str">
        <x:v>http://libgen.rs/</x:v>
      </x:c>
      <x:c r="N617" s="22" t="str">
        <x:v>286014604</x:v>
      </x:c>
      <x:c r="O617" s="22" t="n">
        <x:v>1032</x:v>
      </x:c>
      <x:c r="P617" s="22" t="n">
        <x:v>48</x:v>
      </x:c>
      <x:c r="Q617" s="22" t="str"/>
      <x:c r="R617" s="22" t="n">
        <x:f>COUNTIF($M$6:$M$1177,M617)</x:f>
        <x:v>1</x:v>
      </x:c>
      <x:c r="S617" s="22" t="str">
        <x:v>Supporting discovery</x:v>
      </x:c>
      <x:c r="T617" s="22" t="str">
        <x:v>Low</x:v>
      </x:c>
    </x:row>
    <x:row r="618" ht="54" customHeight="1">
      <x:c r="A618" s="22" t="n">
        <x:v>613</x:v>
      </x:c>
      <x:c r="B618" s="22" t="str">
        <x:v>Stacksearch</x:v>
      </x:c>
      <x:c r="C618" s="43" t="str">
        <x:v>C-P</x:v>
      </x:c>
      <x:c r="D618" s="22" t="str">
        <x:v>Provisional</x:v>
      </x:c>
      <x:c r="E618" s="22" t="str">
        <x:v>SEARCH ENGINES</x:v>
      </x:c>
      <x:c r="F618" s="22" t="str">
        <x:v>Search or discovery interface</x:v>
      </x:c>
      <x:c r="G618" s="22" t="str">
        <x:v>Provisional ceiling from saved search/discovery context only. Verify the original page, account attribution and date; no result accuracy test.</x:v>
      </x:c>
      <x:c r="H618" s="22" t="str">
        <x:v>Lead only; inspect original content before attribution</x:v>
      </x:c>
      <x:c r="I618" s="22" t="str">
        <x:v>Not checked</x:v>
      </x:c>
      <x:c r="J618" s="22" t="str">
        <x:v>Saved bookmark metadata only</x:v>
      </x:c>
      <x:c r="K618" s="22" t="str"/>
      <x:c r="L618" s="24" t="str"/>
      <x:c r="M618" s="24" t="str">
        <x:v>https://stacksear.ch/</x:v>
      </x:c>
      <x:c r="N618" s="22" t="str">
        <x:v>286643945</x:v>
      </x:c>
      <x:c r="O618" s="22" t="n">
        <x:v>1032</x:v>
      </x:c>
      <x:c r="P618" s="22" t="n">
        <x:v>49</x:v>
      </x:c>
      <x:c r="Q618" s="22" t="str"/>
      <x:c r="R618" s="22" t="n">
        <x:f>COUNTIF($M$6:$M$1177,M618)</x:f>
        <x:v>1</x:v>
      </x:c>
      <x:c r="S618" s="22" t="str">
        <x:v>Supporting discovery</x:v>
      </x:c>
      <x:c r="T618" s="22" t="str">
        <x:v>Low</x:v>
      </x:c>
    </x:row>
    <x:row r="619" ht="54" customHeight="1">
      <x:c r="A619" s="22" t="n">
        <x:v>614</x:v>
      </x:c>
      <x:c r="B619" s="22" t="str">
        <x:v>SearchTempest</x:v>
      </x:c>
      <x:c r="C619" s="43" t="str">
        <x:v>C-P</x:v>
      </x:c>
      <x:c r="D619" s="22" t="str">
        <x:v>Provisional</x:v>
      </x:c>
      <x:c r="E619" s="22" t="str">
        <x:v>SEARCH ENGINES</x:v>
      </x:c>
      <x:c r="F619" s="22" t="str">
        <x:v>Search or discovery interface</x:v>
      </x:c>
      <x:c r="G619" s="22" t="str">
        <x:v>Provisional ceiling from saved search/discovery context only. Verify the original page, account attribution and date; no result accuracy test.</x:v>
      </x:c>
      <x:c r="H619" s="22" t="str">
        <x:v>Lead only; inspect original content before attribution</x:v>
      </x:c>
      <x:c r="I619" s="22" t="str">
        <x:v>Not checked</x:v>
      </x:c>
      <x:c r="J619" s="22" t="str">
        <x:v>Saved bookmark metadata only</x:v>
      </x:c>
      <x:c r="K619" s="22" t="str"/>
      <x:c r="L619" s="24" t="str"/>
      <x:c r="M619" s="24" t="str">
        <x:v>https://www.searchtempest.com/</x:v>
      </x:c>
      <x:c r="N619" s="22" t="str">
        <x:v>286643987</x:v>
      </x:c>
      <x:c r="O619" s="22" t="n">
        <x:v>1032</x:v>
      </x:c>
      <x:c r="P619" s="22" t="n">
        <x:v>50</x:v>
      </x:c>
      <x:c r="Q619" s="22" t="str"/>
      <x:c r="R619" s="22" t="n">
        <x:f>COUNTIF($M$6:$M$1177,M619)</x:f>
        <x:v>1</x:v>
      </x:c>
      <x:c r="S619" s="22" t="str">
        <x:v>Supporting discovery</x:v>
      </x:c>
      <x:c r="T619" s="22" t="str">
        <x:v>Low</x:v>
      </x:c>
    </x:row>
    <x:row r="620" ht="54" customHeight="1">
      <x:c r="A620" s="22" t="n">
        <x:v>615</x:v>
      </x:c>
      <x:c r="B620" s="22" t="str">
        <x:v>2lingual</x:v>
      </x:c>
      <x:c r="C620" s="43" t="str">
        <x:v>C-P</x:v>
      </x:c>
      <x:c r="D620" s="22" t="str">
        <x:v>Provisional</x:v>
      </x:c>
      <x:c r="E620" s="22" t="str">
        <x:v>SEARCH ENGINES</x:v>
      </x:c>
      <x:c r="F620" s="22" t="str">
        <x:v>Search or discovery interface</x:v>
      </x:c>
      <x:c r="G620" s="22" t="str">
        <x:v>Provisional ceiling from saved search/discovery context only. Verify the original page, account attribution and date; no result accuracy test.</x:v>
      </x:c>
      <x:c r="H620" s="22" t="str">
        <x:v>Lead only; inspect original content before attribution</x:v>
      </x:c>
      <x:c r="I620" s="22" t="str">
        <x:v>Not checked</x:v>
      </x:c>
      <x:c r="J620" s="22" t="str">
        <x:v>Saved bookmark metadata only</x:v>
      </x:c>
      <x:c r="K620" s="22" t="str"/>
      <x:c r="L620" s="24" t="str"/>
      <x:c r="M620" s="24" t="str">
        <x:v>https://2lingual.com/</x:v>
      </x:c>
      <x:c r="N620" s="22" t="str">
        <x:v>286644105</x:v>
      </x:c>
      <x:c r="O620" s="22" t="n">
        <x:v>1032</x:v>
      </x:c>
      <x:c r="P620" s="22" t="n">
        <x:v>51</x:v>
      </x:c>
      <x:c r="Q620" s="22" t="str"/>
      <x:c r="R620" s="22" t="n">
        <x:f>COUNTIF($M$6:$M$1177,M620)</x:f>
        <x:v>1</x:v>
      </x:c>
      <x:c r="S620" s="22" t="str">
        <x:v>Supporting discovery</x:v>
      </x:c>
      <x:c r="T620" s="22" t="str">
        <x:v>Low</x:v>
      </x:c>
    </x:row>
    <x:row r="621" ht="54" customHeight="1">
      <x:c r="A621" s="22" t="n">
        <x:v>616</x:v>
      </x:c>
      <x:c r="B621" s="22" t="str">
        <x:v>SEQE - Search Engines Query Engine</x:v>
      </x:c>
      <x:c r="C621" s="43" t="str">
        <x:v>C-P</x:v>
      </x:c>
      <x:c r="D621" s="22" t="str">
        <x:v>Provisional</x:v>
      </x:c>
      <x:c r="E621" s="22" t="str">
        <x:v>SEARCH ENGINES</x:v>
      </x:c>
      <x:c r="F621" s="22" t="str">
        <x:v>Search or discovery interface</x:v>
      </x:c>
      <x:c r="G621" s="22" t="str">
        <x:v>Provisional ceiling from saved search/discovery context only. Verify the original page, account attribution and date; no result accuracy test.</x:v>
      </x:c>
      <x:c r="H621" s="22" t="str">
        <x:v>Lead only; inspect original content before attribution</x:v>
      </x:c>
      <x:c r="I621" s="22" t="str">
        <x:v>Not checked</x:v>
      </x:c>
      <x:c r="J621" s="22" t="str">
        <x:v>Saved bookmark metadata only</x:v>
      </x:c>
      <x:c r="K621" s="22" t="str"/>
      <x:c r="L621" s="24" t="str"/>
      <x:c r="M621" s="24" t="str">
        <x:v>https://seqe.me/</x:v>
      </x:c>
      <x:c r="N621" s="22" t="str">
        <x:v>286644108</x:v>
      </x:c>
      <x:c r="O621" s="22" t="n">
        <x:v>1032</x:v>
      </x:c>
      <x:c r="P621" s="22" t="n">
        <x:v>52</x:v>
      </x:c>
      <x:c r="Q621" s="22" t="str"/>
      <x:c r="R621" s="22" t="n">
        <x:f>COUNTIF($M$6:$M$1177,M621)</x:f>
        <x:v>1</x:v>
      </x:c>
      <x:c r="S621" s="22" t="str">
        <x:v>Supporting discovery</x:v>
      </x:c>
      <x:c r="T621" s="22" t="str">
        <x:v>Low</x:v>
      </x:c>
    </x:row>
    <x:row r="622" ht="54" customHeight="1">
      <x:c r="A622" s="22" t="n">
        <x:v>617</x:v>
      </x:c>
      <x:c r="B622" s="22" t="str">
        <x:v>Milled</x:v>
      </x:c>
      <x:c r="C622" s="43" t="str">
        <x:v>C-P</x:v>
      </x:c>
      <x:c r="D622" s="22" t="str">
        <x:v>Provisional</x:v>
      </x:c>
      <x:c r="E622" s="22" t="str">
        <x:v>SEARCH ENGINES</x:v>
      </x:c>
      <x:c r="F622" s="22" t="str">
        <x:v>Search or discovery interface</x:v>
      </x:c>
      <x:c r="G622" s="22" t="str">
        <x:v>Provisional ceiling from saved search/discovery context only. Verify the original page, account attribution and date; no result accuracy test.</x:v>
      </x:c>
      <x:c r="H622" s="22" t="str">
        <x:v>Lead only; inspect original content before attribution</x:v>
      </x:c>
      <x:c r="I622" s="22" t="str">
        <x:v>Not checked</x:v>
      </x:c>
      <x:c r="J622" s="22" t="str">
        <x:v>Saved bookmark metadata only</x:v>
      </x:c>
      <x:c r="K622" s="22" t="str"/>
      <x:c r="L622" s="24" t="str"/>
      <x:c r="M622" s="24" t="str">
        <x:v>https://milled.com/search</x:v>
      </x:c>
      <x:c r="N622" s="22" t="str">
        <x:v>286644110</x:v>
      </x:c>
      <x:c r="O622" s="22" t="n">
        <x:v>1032</x:v>
      </x:c>
      <x:c r="P622" s="22" t="n">
        <x:v>53</x:v>
      </x:c>
      <x:c r="Q622" s="22" t="str"/>
      <x:c r="R622" s="22" t="n">
        <x:f>COUNTIF($M$6:$M$1177,M622)</x:f>
        <x:v>1</x:v>
      </x:c>
      <x:c r="S622" s="22" t="str">
        <x:v>Supporting discovery</x:v>
      </x:c>
      <x:c r="T622" s="22" t="str">
        <x:v>Low</x:v>
      </x:c>
    </x:row>
    <x:row r="623" ht="54" customHeight="1">
      <x:c r="A623" s="22" t="n">
        <x:v>618</x:v>
      </x:c>
      <x:c r="B623" s="22" t="str">
        <x:v>btdig</x:v>
      </x:c>
      <x:c r="C623" s="43" t="str">
        <x:v>C-P</x:v>
      </x:c>
      <x:c r="D623" s="22" t="str">
        <x:v>Provisional</x:v>
      </x:c>
      <x:c r="E623" s="22" t="str">
        <x:v>SEARCH ENGINES</x:v>
      </x:c>
      <x:c r="F623" s="22" t="str">
        <x:v>Search or discovery interface</x:v>
      </x:c>
      <x:c r="G623" s="22" t="str">
        <x:v>Provisional ceiling from saved search/discovery context only. Verify the original page, account attribution and date; no result accuracy test.</x:v>
      </x:c>
      <x:c r="H623" s="22" t="str">
        <x:v>Lead only; inspect original content before attribution</x:v>
      </x:c>
      <x:c r="I623" s="22" t="str">
        <x:v>Not checked</x:v>
      </x:c>
      <x:c r="J623" s="22" t="str">
        <x:v>Saved bookmark metadata only</x:v>
      </x:c>
      <x:c r="K623" s="22" t="str"/>
      <x:c r="L623" s="24" t="str"/>
      <x:c r="M623" s="24" t="str">
        <x:v>https://btdig.com/</x:v>
      </x:c>
      <x:c r="N623" s="22" t="str">
        <x:v>286809418</x:v>
      </x:c>
      <x:c r="O623" s="22" t="n">
        <x:v>1032</x:v>
      </x:c>
      <x:c r="P623" s="22" t="n">
        <x:v>54</x:v>
      </x:c>
      <x:c r="Q623" s="22" t="str"/>
      <x:c r="R623" s="22" t="n">
        <x:f>COUNTIF($M$6:$M$1177,M623)</x:f>
        <x:v>1</x:v>
      </x:c>
      <x:c r="S623" s="22" t="str">
        <x:v>Supporting discovery</x:v>
      </x:c>
      <x:c r="T623" s="22" t="str">
        <x:v>Low</x:v>
      </x:c>
    </x:row>
    <x:row r="624" ht="54" customHeight="1">
      <x:c r="A624" s="22" t="n">
        <x:v>619</x:v>
      </x:c>
      <x:c r="B624" s="22" t="str">
        <x:v>Osint Open Source Projects</x:v>
      </x:c>
      <x:c r="C624" s="43" t="str">
        <x:v>C-P</x:v>
      </x:c>
      <x:c r="D624" s="22" t="str">
        <x:v>Provisional</x:v>
      </x:c>
      <x:c r="E624" s="22" t="str">
        <x:v>SEARCH ENGINES</x:v>
      </x:c>
      <x:c r="F624" s="22" t="str">
        <x:v>Search or discovery interface</x:v>
      </x:c>
      <x:c r="G624" s="22" t="str">
        <x:v>Provisional ceiling from saved search/discovery context only. Verify the original page, account attribution and date; no result accuracy test.</x:v>
      </x:c>
      <x:c r="H624" s="22" t="str">
        <x:v>Lead only; inspect original content before attribution</x:v>
      </x:c>
      <x:c r="I624" s="22" t="str">
        <x:v>Not checked</x:v>
      </x:c>
      <x:c r="J624" s="22" t="str">
        <x:v>Saved bookmark metadata only</x:v>
      </x:c>
      <x:c r="K624" s="22" t="str"/>
      <x:c r="L624" s="24" t="str"/>
      <x:c r="M624" s="24" t="str">
        <x:v>https://awesomeopensource.com/projects/osint</x:v>
      </x:c>
      <x:c r="N624" s="22" t="str">
        <x:v>286811069</x:v>
      </x:c>
      <x:c r="O624" s="22" t="n">
        <x:v>1032</x:v>
      </x:c>
      <x:c r="P624" s="22" t="n">
        <x:v>55</x:v>
      </x:c>
      <x:c r="Q624" s="22" t="str"/>
      <x:c r="R624" s="22" t="n">
        <x:f>COUNTIF($M$6:$M$1177,M624)</x:f>
        <x:v>2</x:v>
      </x:c>
      <x:c r="S624" s="22" t="str">
        <x:v>Supporting discovery</x:v>
      </x:c>
      <x:c r="T624" s="22" t="str">
        <x:v>Low</x:v>
      </x:c>
    </x:row>
    <x:row r="625" ht="54" customHeight="1">
      <x:c r="A625" s="22" t="n">
        <x:v>620</x:v>
      </x:c>
      <x:c r="B625" s="22" t="str">
        <x:v>Monster Crawler Search</x:v>
      </x:c>
      <x:c r="C625" s="43" t="str">
        <x:v>C-P</x:v>
      </x:c>
      <x:c r="D625" s="22" t="str">
        <x:v>Provisional</x:v>
      </x:c>
      <x:c r="E625" s="22" t="str">
        <x:v>SEARCH ENGINES</x:v>
      </x:c>
      <x:c r="F625" s="22" t="str">
        <x:v>Search or discovery interface</x:v>
      </x:c>
      <x:c r="G625" s="22" t="str">
        <x:v>Provisional ceiling from saved search/discovery context only. Verify the original page, account attribution and date; no result accuracy test.</x:v>
      </x:c>
      <x:c r="H625" s="22" t="str">
        <x:v>Lead only; inspect original content before attribution</x:v>
      </x:c>
      <x:c r="I625" s="22" t="str">
        <x:v>Not checked</x:v>
      </x:c>
      <x:c r="J625" s="22" t="str">
        <x:v>Saved bookmark metadata only</x:v>
      </x:c>
      <x:c r="K625" s="22" t="str"/>
      <x:c r="L625" s="24" t="str"/>
      <x:c r="M625" s="24" t="str">
        <x:v>http://monstercrawler.com/</x:v>
      </x:c>
      <x:c r="N625" s="22" t="str">
        <x:v>286819096</x:v>
      </x:c>
      <x:c r="O625" s="22" t="n">
        <x:v>1032</x:v>
      </x:c>
      <x:c r="P625" s="22" t="n">
        <x:v>56</x:v>
      </x:c>
      <x:c r="Q625" s="22" t="str"/>
      <x:c r="R625" s="22" t="n">
        <x:f>COUNTIF($M$6:$M$1177,M625)</x:f>
        <x:v>1</x:v>
      </x:c>
      <x:c r="S625" s="22" t="str">
        <x:v>Supporting discovery</x:v>
      </x:c>
      <x:c r="T625" s="22" t="str">
        <x:v>Low</x:v>
      </x:c>
    </x:row>
    <x:row r="626" ht="54" customHeight="1">
      <x:c r="A626" s="22" t="n">
        <x:v>621</x:v>
      </x:c>
      <x:c r="B626" s="22" t="str">
        <x:v>Arabo.com</x:v>
      </x:c>
      <x:c r="C626" s="43" t="str">
        <x:v>C-P</x:v>
      </x:c>
      <x:c r="D626" s="22" t="str">
        <x:v>Provisional</x:v>
      </x:c>
      <x:c r="E626" s="22" t="str">
        <x:v>SEARCH ENGINES</x:v>
      </x:c>
      <x:c r="F626" s="22" t="str">
        <x:v>Search or discovery interface</x:v>
      </x:c>
      <x:c r="G626" s="22" t="str">
        <x:v>Provisional ceiling from saved search/discovery context only. Verify the original page, account attribution and date; no result accuracy test.</x:v>
      </x:c>
      <x:c r="H626" s="22" t="str">
        <x:v>Lead only; inspect original content before attribution</x:v>
      </x:c>
      <x:c r="I626" s="22" t="str">
        <x:v>Not checked</x:v>
      </x:c>
      <x:c r="J626" s="22" t="str">
        <x:v>Saved bookmark metadata only</x:v>
      </x:c>
      <x:c r="K626" s="22" t="str"/>
      <x:c r="L626" s="24" t="str"/>
      <x:c r="M626" s="24" t="str">
        <x:v>http://arabo.com/</x:v>
      </x:c>
      <x:c r="N626" s="22" t="str">
        <x:v>286819214</x:v>
      </x:c>
      <x:c r="O626" s="22" t="n">
        <x:v>1032</x:v>
      </x:c>
      <x:c r="P626" s="22" t="n">
        <x:v>57</x:v>
      </x:c>
      <x:c r="Q626" s="22" t="str"/>
      <x:c r="R626" s="22" t="n">
        <x:f>COUNTIF($M$6:$M$1177,M626)</x:f>
        <x:v>1</x:v>
      </x:c>
      <x:c r="S626" s="22" t="str">
        <x:v>Supporting discovery</x:v>
      </x:c>
      <x:c r="T626" s="22" t="str">
        <x:v>Low</x:v>
      </x:c>
    </x:row>
    <x:row r="627" ht="54" customHeight="1">
      <x:c r="A627" s="22" t="n">
        <x:v>622</x:v>
      </x:c>
      <x:c r="B627" s="22" t="str">
        <x:v>Google Scholar</x:v>
      </x:c>
      <x:c r="C627" s="43" t="str">
        <x:v>C-P</x:v>
      </x:c>
      <x:c r="D627" s="22" t="str">
        <x:v>Provisional</x:v>
      </x:c>
      <x:c r="E627" s="22" t="str">
        <x:v>SEARCH ENGINES</x:v>
      </x:c>
      <x:c r="F627" s="22" t="str">
        <x:v>Search or discovery interface</x:v>
      </x:c>
      <x:c r="G627" s="22" t="str">
        <x:v>Provisional ceiling from saved search/discovery context only. Verify the original page, account attribution and date; no result accuracy test.</x:v>
      </x:c>
      <x:c r="H627" s="22" t="str">
        <x:v>Lead only; inspect original content before attribution</x:v>
      </x:c>
      <x:c r="I627" s="22" t="str">
        <x:v>Not checked</x:v>
      </x:c>
      <x:c r="J627" s="22" t="str">
        <x:v>Saved bookmark metadata only</x:v>
      </x:c>
      <x:c r="K627" s="22" t="str"/>
      <x:c r="L627" s="24" t="str"/>
      <x:c r="M627" s="24" t="str">
        <x:v>https://scholar.google.com/</x:v>
      </x:c>
      <x:c r="N627" s="22" t="str">
        <x:v>286821680</x:v>
      </x:c>
      <x:c r="O627" s="22" t="n">
        <x:v>1032</x:v>
      </x:c>
      <x:c r="P627" s="22" t="n">
        <x:v>58</x:v>
      </x:c>
      <x:c r="Q627" s="22" t="str"/>
      <x:c r="R627" s="22" t="n">
        <x:f>COUNTIF($M$6:$M$1177,M627)</x:f>
        <x:v>1</x:v>
      </x:c>
      <x:c r="S627" s="22" t="str">
        <x:v>Supporting discovery</x:v>
      </x:c>
      <x:c r="T627" s="22" t="str">
        <x:v>Low</x:v>
      </x:c>
    </x:row>
    <x:row r="628" ht="54" customHeight="1">
      <x:c r="A628" s="22" t="n">
        <x:v>623</x:v>
      </x:c>
      <x:c r="B628" s="22" t="str">
        <x:v>Million Short</x:v>
      </x:c>
      <x:c r="C628" s="43" t="str">
        <x:v>C-P</x:v>
      </x:c>
      <x:c r="D628" s="22" t="str">
        <x:v>Provisional</x:v>
      </x:c>
      <x:c r="E628" s="22" t="str">
        <x:v>SEARCH ENGINES</x:v>
      </x:c>
      <x:c r="F628" s="22" t="str">
        <x:v>Search or discovery interface</x:v>
      </x:c>
      <x:c r="G628" s="22" t="str">
        <x:v>Provisional ceiling from saved search/discovery context only. Verify the original page, account attribution and date; no result accuracy test.</x:v>
      </x:c>
      <x:c r="H628" s="22" t="str">
        <x:v>Lead only; inspect original content before attribution</x:v>
      </x:c>
      <x:c r="I628" s="22" t="str">
        <x:v>Not checked</x:v>
      </x:c>
      <x:c r="J628" s="22" t="str">
        <x:v>Saved bookmark metadata only</x:v>
      </x:c>
      <x:c r="K628" s="22" t="str"/>
      <x:c r="L628" s="24" t="str"/>
      <x:c r="M628" s="24" t="str">
        <x:v>https://millionshort.com/</x:v>
      </x:c>
      <x:c r="N628" s="22" t="str">
        <x:v>286823366</x:v>
      </x:c>
      <x:c r="O628" s="22" t="n">
        <x:v>1032</x:v>
      </x:c>
      <x:c r="P628" s="22" t="n">
        <x:v>59</x:v>
      </x:c>
      <x:c r="Q628" s="22" t="str"/>
      <x:c r="R628" s="22" t="n">
        <x:f>COUNTIF($M$6:$M$1177,M628)</x:f>
        <x:v>1</x:v>
      </x:c>
      <x:c r="S628" s="22" t="str">
        <x:v>Supporting discovery</x:v>
      </x:c>
      <x:c r="T628" s="22" t="str">
        <x:v>Low</x:v>
      </x:c>
    </x:row>
    <x:row r="629" ht="54" customHeight="1">
      <x:c r="A629" s="22" t="n">
        <x:v>624</x:v>
      </x:c>
      <x:c r="B629" s="22" t="str">
        <x:v>BeVigil</x:v>
      </x:c>
      <x:c r="C629" s="43" t="str">
        <x:v>C-P</x:v>
      </x:c>
      <x:c r="D629" s="22" t="str">
        <x:v>Provisional</x:v>
      </x:c>
      <x:c r="E629" s="22" t="str">
        <x:v>SEARCH ENGINES</x:v>
      </x:c>
      <x:c r="F629" s="22" t="str">
        <x:v>Search or discovery interface</x:v>
      </x:c>
      <x:c r="G629" s="22" t="str">
        <x:v>Provisional ceiling from saved search/discovery context only. Verify the original page, account attribution and date; no result accuracy test.</x:v>
      </x:c>
      <x:c r="H629" s="22" t="str">
        <x:v>Lead only; inspect original content before attribution</x:v>
      </x:c>
      <x:c r="I629" s="22" t="str">
        <x:v>Not checked</x:v>
      </x:c>
      <x:c r="J629" s="22" t="str">
        <x:v>Saved bookmark metadata only</x:v>
      </x:c>
      <x:c r="K629" s="22" t="str"/>
      <x:c r="L629" s="24" t="str"/>
      <x:c r="M629" s="24" t="str">
        <x:v>https://bevigil.com/</x:v>
      </x:c>
      <x:c r="N629" s="22" t="str">
        <x:v>286823746</x:v>
      </x:c>
      <x:c r="O629" s="22" t="n">
        <x:v>1032</x:v>
      </x:c>
      <x:c r="P629" s="22" t="n">
        <x:v>60</x:v>
      </x:c>
      <x:c r="Q629" s="22" t="str"/>
      <x:c r="R629" s="22" t="n">
        <x:f>COUNTIF($M$6:$M$1177,M629)</x:f>
        <x:v>1</x:v>
      </x:c>
      <x:c r="S629" s="22" t="str">
        <x:v>Supporting discovery</x:v>
      </x:c>
      <x:c r="T629" s="22" t="str">
        <x:v>Low</x:v>
      </x:c>
    </x:row>
    <x:row r="630" ht="54" customHeight="1">
      <x:c r="A630" s="22" t="n">
        <x:v>625</x:v>
      </x:c>
      <x:c r="B630" s="22" t="str">
        <x:v>WordPress.com</x:v>
      </x:c>
      <x:c r="C630" s="43" t="str">
        <x:v>C-P</x:v>
      </x:c>
      <x:c r="D630" s="22" t="str">
        <x:v>Provisional</x:v>
      </x:c>
      <x:c r="E630" s="22" t="str">
        <x:v>SEARCH ENGINES</x:v>
      </x:c>
      <x:c r="F630" s="22" t="str">
        <x:v>Search or discovery interface</x:v>
      </x:c>
      <x:c r="G630" s="22" t="str">
        <x:v>Provisional ceiling from saved search/discovery context only. Verify the original page, account attribution and date; no result accuracy test.</x:v>
      </x:c>
      <x:c r="H630" s="22" t="str">
        <x:v>Lead only; inspect original content before attribution</x:v>
      </x:c>
      <x:c r="I630" s="22" t="str">
        <x:v>Not checked</x:v>
      </x:c>
      <x:c r="J630" s="22" t="str">
        <x:v>Saved bookmark metadata only</x:v>
      </x:c>
      <x:c r="K630" s="22" t="str"/>
      <x:c r="L630" s="24" t="str"/>
      <x:c r="M630" s="24" t="str">
        <x:v>https://en.search.wordpress.com/</x:v>
      </x:c>
      <x:c r="N630" s="22" t="str">
        <x:v>286826033</x:v>
      </x:c>
      <x:c r="O630" s="22" t="n">
        <x:v>1032</x:v>
      </x:c>
      <x:c r="P630" s="22" t="n">
        <x:v>61</x:v>
      </x:c>
      <x:c r="Q630" s="22" t="str"/>
      <x:c r="R630" s="22" t="n">
        <x:f>COUNTIF($M$6:$M$1177,M630)</x:f>
        <x:v>1</x:v>
      </x:c>
      <x:c r="S630" s="22" t="str">
        <x:v>Supporting discovery</x:v>
      </x:c>
      <x:c r="T630" s="22" t="str">
        <x:v>Low</x:v>
      </x:c>
    </x:row>
    <x:row r="631" ht="54" customHeight="1">
      <x:c r="A631" s="22" t="n">
        <x:v>626</x:v>
      </x:c>
      <x:c r="B631" s="22" t="str">
        <x:v>Octosearch.dootech.com</x:v>
      </x:c>
      <x:c r="C631" s="43" t="str">
        <x:v>C-P</x:v>
      </x:c>
      <x:c r="D631" s="22" t="str">
        <x:v>Provisional</x:v>
      </x:c>
      <x:c r="E631" s="22" t="str">
        <x:v>SEARCH ENGINES</x:v>
      </x:c>
      <x:c r="F631" s="22" t="str">
        <x:v>Search or discovery interface</x:v>
      </x:c>
      <x:c r="G631" s="22" t="str">
        <x:v>Provisional ceiling from saved search/discovery context only. Verify the original page, account attribution and date; no result accuracy test.</x:v>
      </x:c>
      <x:c r="H631" s="22" t="str">
        <x:v>Lead only; inspect original content before attribution</x:v>
      </x:c>
      <x:c r="I631" s="22" t="str">
        <x:v>Not checked</x:v>
      </x:c>
      <x:c r="J631" s="22" t="str">
        <x:v>Saved bookmark metadata only</x:v>
      </x:c>
      <x:c r="K631" s="22" t="str"/>
      <x:c r="L631" s="24" t="str"/>
      <x:c r="M631" s="24" t="str">
        <x:v>https://octosearch.dootech.com/</x:v>
      </x:c>
      <x:c r="N631" s="22" t="str">
        <x:v>286826189</x:v>
      </x:c>
      <x:c r="O631" s="22" t="n">
        <x:v>1032</x:v>
      </x:c>
      <x:c r="P631" s="22" t="n">
        <x:v>62</x:v>
      </x:c>
      <x:c r="Q631" s="22" t="str"/>
      <x:c r="R631" s="22" t="n">
        <x:f>COUNTIF($M$6:$M$1177,M631)</x:f>
        <x:v>1</x:v>
      </x:c>
      <x:c r="S631" s="22" t="str">
        <x:v>Supporting discovery</x:v>
      </x:c>
      <x:c r="T631" s="22" t="str">
        <x:v>Low</x:v>
      </x:c>
    </x:row>
    <x:row r="632" ht="54" customHeight="1">
      <x:c r="A632" s="22" t="n">
        <x:v>627</x:v>
      </x:c>
      <x:c r="B632" s="22" t="str">
        <x:v>Search craigslist</x:v>
      </x:c>
      <x:c r="C632" s="43" t="str">
        <x:v>C-P</x:v>
      </x:c>
      <x:c r="D632" s="22" t="str">
        <x:v>Provisional</x:v>
      </x:c>
      <x:c r="E632" s="22" t="str">
        <x:v>SEARCH ENGINES</x:v>
      </x:c>
      <x:c r="F632" s="22" t="str">
        <x:v>Search or discovery interface</x:v>
      </x:c>
      <x:c r="G632" s="22" t="str">
        <x:v>Provisional ceiling from saved search/discovery context only. Verify the original page, account attribution and date; no result accuracy test.</x:v>
      </x:c>
      <x:c r="H632" s="22" t="str">
        <x:v>Lead only; inspect original content before attribution</x:v>
      </x:c>
      <x:c r="I632" s="22" t="str">
        <x:v>Not checked</x:v>
      </x:c>
      <x:c r="J632" s="22" t="str">
        <x:v>Saved bookmark metadata only</x:v>
      </x:c>
      <x:c r="K632" s="22" t="str"/>
      <x:c r="L632" s="24" t="str"/>
      <x:c r="M632" s="24" t="str">
        <x:v>http://searchcraigslist.org/</x:v>
      </x:c>
      <x:c r="N632" s="22" t="str">
        <x:v>268508147</x:v>
      </x:c>
      <x:c r="O632" s="22" t="n">
        <x:v>1032</x:v>
      </x:c>
      <x:c r="P632" s="22" t="n">
        <x:v>63</x:v>
      </x:c>
      <x:c r="Q632" s="22" t="str"/>
      <x:c r="R632" s="22" t="n">
        <x:f>COUNTIF($M$6:$M$1177,M632)</x:f>
        <x:v>1</x:v>
      </x:c>
      <x:c r="S632" s="22" t="str">
        <x:v>Supporting discovery</x:v>
      </x:c>
      <x:c r="T632" s="22" t="str">
        <x:v>Low</x:v>
      </x:c>
    </x:row>
    <x:row r="633" ht="54" customHeight="1">
      <x:c r="A633" s="22" t="n">
        <x:v>628</x:v>
      </x:c>
      <x:c r="B633" s="22" t="str">
        <x:v>Public AWS S3 &amp; Azure Search</x:v>
      </x:c>
      <x:c r="C633" s="43" t="str">
        <x:v>C-P</x:v>
      </x:c>
      <x:c r="D633" s="22" t="str">
        <x:v>Provisional</x:v>
      </x:c>
      <x:c r="E633" s="22" t="str">
        <x:v>SEARCH ENGINES</x:v>
      </x:c>
      <x:c r="F633" s="22" t="str">
        <x:v>Search or discovery interface</x:v>
      </x:c>
      <x:c r="G633" s="22" t="str">
        <x:v>Provisional ceiling from saved search/discovery context only. Verify the original page, account attribution and date; no result accuracy test.</x:v>
      </x:c>
      <x:c r="H633" s="22" t="str">
        <x:v>Lead only; inspect original content before attribution</x:v>
      </x:c>
      <x:c r="I633" s="22" t="str">
        <x:v>Not checked</x:v>
      </x:c>
      <x:c r="J633" s="22" t="str">
        <x:v>Saved bookmark metadata only</x:v>
      </x:c>
      <x:c r="K633" s="22" t="str"/>
      <x:c r="L633" s="24" t="str"/>
      <x:c r="M633" s="24" t="str">
        <x:v>https://buckets.grayhatwarfare.com/</x:v>
      </x:c>
      <x:c r="N633" s="22" t="str">
        <x:v>268387512</x:v>
      </x:c>
      <x:c r="O633" s="22" t="n">
        <x:v>1032</x:v>
      </x:c>
      <x:c r="P633" s="22" t="n">
        <x:v>64</x:v>
      </x:c>
      <x:c r="Q633" s="22" t="str"/>
      <x:c r="R633" s="22" t="n">
        <x:f>COUNTIF($M$6:$M$1177,M633)</x:f>
        <x:v>1</x:v>
      </x:c>
      <x:c r="S633" s="22" t="str">
        <x:v>Supporting discovery</x:v>
      </x:c>
      <x:c r="T633" s="22" t="str">
        <x:v>Low</x:v>
      </x:c>
    </x:row>
    <x:row r="634" ht="54" customHeight="1">
      <x:c r="A634" s="22" t="n">
        <x:v>629</x:v>
      </x:c>
      <x:c r="B634" s="22" t="str">
        <x:v>Public Buckets</x:v>
      </x:c>
      <x:c r="C634" s="43" t="str">
        <x:v>C-P</x:v>
      </x:c>
      <x:c r="D634" s="22" t="str">
        <x:v>Provisional</x:v>
      </x:c>
      <x:c r="E634" s="22" t="str">
        <x:v>SEARCH ENGINES</x:v>
      </x:c>
      <x:c r="F634" s="22" t="str">
        <x:v>Search or discovery interface</x:v>
      </x:c>
      <x:c r="G634" s="22" t="str">
        <x:v>Provisional ceiling from saved search/discovery context only. Verify the original page, account attribution and date; no result accuracy test.</x:v>
      </x:c>
      <x:c r="H634" s="22" t="str">
        <x:v>Lead only; inspect original content before attribution</x:v>
      </x:c>
      <x:c r="I634" s="22" t="str">
        <x:v>Not checked</x:v>
      </x:c>
      <x:c r="J634" s="22" t="str">
        <x:v>Saved bookmark metadata only</x:v>
      </x:c>
      <x:c r="K634" s="22" t="str"/>
      <x:c r="L634" s="24" t="str"/>
      <x:c r="M634" s="24" t="str">
        <x:v>https://osint.sh/buckets/</x:v>
      </x:c>
      <x:c r="N634" s="22" t="str">
        <x:v>286694951</x:v>
      </x:c>
      <x:c r="O634" s="22" t="n">
        <x:v>1032</x:v>
      </x:c>
      <x:c r="P634" s="22" t="n">
        <x:v>65</x:v>
      </x:c>
      <x:c r="Q634" s="22" t="str"/>
      <x:c r="R634" s="22" t="n">
        <x:f>COUNTIF($M$6:$M$1177,M634)</x:f>
        <x:v>1</x:v>
      </x:c>
      <x:c r="S634" s="22" t="str">
        <x:v>Supporting discovery</x:v>
      </x:c>
      <x:c r="T634" s="22" t="str">
        <x:v>Low</x:v>
      </x:c>
    </x:row>
    <x:row r="635" ht="54" customHeight="1">
      <x:c r="A635" s="22" t="n">
        <x:v>630</x:v>
      </x:c>
      <x:c r="B635" s="22" t="str">
        <x:v>URL Shorteners Search</x:v>
      </x:c>
      <x:c r="C635" s="43" t="str">
        <x:v>C-P</x:v>
      </x:c>
      <x:c r="D635" s="22" t="str">
        <x:v>Provisional</x:v>
      </x:c>
      <x:c r="E635" s="22" t="str">
        <x:v>SEARCH ENGINES</x:v>
      </x:c>
      <x:c r="F635" s="22" t="str">
        <x:v>Search or discovery interface</x:v>
      </x:c>
      <x:c r="G635" s="22" t="str">
        <x:v>Provisional ceiling from saved search/discovery context only. Verify the original page, account attribution and date; no result accuracy test.</x:v>
      </x:c>
      <x:c r="H635" s="22" t="str">
        <x:v>Lead only; inspect original content before attribution</x:v>
      </x:c>
      <x:c r="I635" s="22" t="str">
        <x:v>Not checked</x:v>
      </x:c>
      <x:c r="J635" s="22" t="str">
        <x:v>Saved bookmark metadata only</x:v>
      </x:c>
      <x:c r="K635" s="22" t="str"/>
      <x:c r="L635" s="24" t="str"/>
      <x:c r="M635" s="24" t="str">
        <x:v>https://shorteners.grayhatwarfare.com/</x:v>
      </x:c>
      <x:c r="N635" s="22" t="str">
        <x:v>286035369</x:v>
      </x:c>
      <x:c r="O635" s="22" t="n">
        <x:v>1032</x:v>
      </x:c>
      <x:c r="P635" s="22" t="n">
        <x:v>66</x:v>
      </x:c>
      <x:c r="Q635" s="22" t="str"/>
      <x:c r="R635" s="22" t="n">
        <x:f>COUNTIF($M$6:$M$1177,M635)</x:f>
        <x:v>1</x:v>
      </x:c>
      <x:c r="S635" s="22" t="str">
        <x:v>Supporting discovery</x:v>
      </x:c>
      <x:c r="T635" s="22" t="str">
        <x:v>Low</x:v>
      </x:c>
    </x:row>
    <x:row r="636" ht="54" customHeight="1">
      <x:c r="A636" s="22" t="n">
        <x:v>631</x:v>
      </x:c>
      <x:c r="B636" s="22" t="str">
        <x:v>Mywoodle.com</x:v>
      </x:c>
      <x:c r="C636" s="43" t="str">
        <x:v>C-P</x:v>
      </x:c>
      <x:c r="D636" s="22" t="str">
        <x:v>Provisional</x:v>
      </x:c>
      <x:c r="E636" s="22" t="str">
        <x:v>SEARCH ENGINES</x:v>
      </x:c>
      <x:c r="F636" s="22" t="str">
        <x:v>Search or discovery interface</x:v>
      </x:c>
      <x:c r="G636" s="22" t="str">
        <x:v>Provisional ceiling from saved search/discovery context only. Verify the original page, account attribution and date; no result accuracy test.</x:v>
      </x:c>
      <x:c r="H636" s="22" t="str">
        <x:v>Lead only; inspect original content before attribution</x:v>
      </x:c>
      <x:c r="I636" s="22" t="str">
        <x:v>Not checked</x:v>
      </x:c>
      <x:c r="J636" s="22" t="str">
        <x:v>Saved bookmark metadata only</x:v>
      </x:c>
      <x:c r="K636" s="22" t="str"/>
      <x:c r="L636" s="24" t="str"/>
      <x:c r="M636" s="24" t="str">
        <x:v>https://mywoodle.com/</x:v>
      </x:c>
      <x:c r="N636" s="22" t="str">
        <x:v>268509357</x:v>
      </x:c>
      <x:c r="O636" s="22" t="n">
        <x:v>1032</x:v>
      </x:c>
      <x:c r="P636" s="22" t="n">
        <x:v>67</x:v>
      </x:c>
      <x:c r="Q636" s="22" t="str"/>
      <x:c r="R636" s="22" t="n">
        <x:f>COUNTIF($M$6:$M$1177,M636)</x:f>
        <x:v>1</x:v>
      </x:c>
      <x:c r="S636" s="22" t="str">
        <x:v>Supporting discovery</x:v>
      </x:c>
      <x:c r="T636" s="22" t="str">
        <x:v>Low</x:v>
      </x:c>
    </x:row>
    <x:row r="637" ht="54" customHeight="1">
      <x:c r="A637" s="22" t="n">
        <x:v>632</x:v>
      </x:c>
      <x:c r="B637" s="22" t="str">
        <x:v>Search Atlas</x:v>
      </x:c>
      <x:c r="C637" s="43" t="str">
        <x:v>C-P</x:v>
      </x:c>
      <x:c r="D637" s="22" t="str">
        <x:v>Provisional</x:v>
      </x:c>
      <x:c r="E637" s="22" t="str">
        <x:v>SEARCH ENGINES</x:v>
      </x:c>
      <x:c r="F637" s="22" t="str">
        <x:v>Search or discovery interface</x:v>
      </x:c>
      <x:c r="G637" s="22" t="str">
        <x:v>Provisional ceiling from saved search/discovery context only. Verify the original page, account attribution and date; no result accuracy test.</x:v>
      </x:c>
      <x:c r="H637" s="22" t="str">
        <x:v>Lead only; inspect original content before attribution</x:v>
      </x:c>
      <x:c r="I637" s="22" t="str">
        <x:v>Not checked</x:v>
      </x:c>
      <x:c r="J637" s="22" t="str">
        <x:v>Saved bookmark metadata only</x:v>
      </x:c>
      <x:c r="K637" s="22" t="str"/>
      <x:c r="L637" s="24" t="str"/>
      <x:c r="M637" s="24" t="str">
        <x:v>https://searchatlas.org/</x:v>
      </x:c>
      <x:c r="N637" s="22" t="str">
        <x:v>290985364</x:v>
      </x:c>
      <x:c r="O637" s="22" t="n">
        <x:v>1032</x:v>
      </x:c>
      <x:c r="P637" s="22" t="n">
        <x:v>68</x:v>
      </x:c>
      <x:c r="Q637" s="22" t="str"/>
      <x:c r="R637" s="22" t="n">
        <x:f>COUNTIF($M$6:$M$1177,M637)</x:f>
        <x:v>1</x:v>
      </x:c>
      <x:c r="S637" s="22" t="str">
        <x:v>Supporting discovery</x:v>
      </x:c>
      <x:c r="T637" s="22" t="str">
        <x:v>Low</x:v>
      </x:c>
    </x:row>
    <x:row r="638" ht="54" customHeight="1">
      <x:c r="A638" s="22" t="n">
        <x:v>633</x:v>
      </x:c>
      <x:c r="B638" s="22" t="str">
        <x:v>Google to search profiles on Stack Overflow</x:v>
      </x:c>
      <x:c r="C638" s="43" t="str">
        <x:v>C-P</x:v>
      </x:c>
      <x:c r="D638" s="22" t="str">
        <x:v>Provisional</x:v>
      </x:c>
      <x:c r="E638" s="22" t="str">
        <x:v>SEARCH ENGINES</x:v>
      </x:c>
      <x:c r="F638" s="22" t="str">
        <x:v>Search or discovery interface</x:v>
      </x:c>
      <x:c r="G638" s="22" t="str">
        <x:v>Provisional ceiling from saved search/discovery context only. Verify the original page, account attribution and date; no result accuracy test.</x:v>
      </x:c>
      <x:c r="H638" s="22" t="str">
        <x:v>Lead only; inspect original content before attribution</x:v>
      </x:c>
      <x:c r="I638" s="22" t="str">
        <x:v>Not checked</x:v>
      </x:c>
      <x:c r="J638" s="22" t="str">
        <x:v>Saved bookmark metadata only</x:v>
      </x:c>
      <x:c r="K638" s="22" t="str"/>
      <x:c r="L638" s="24" t="str"/>
      <x:c r="M638" s="24" t="str">
        <x:v>https://recruitin.net/stackoverflow.php</x:v>
      </x:c>
      <x:c r="N638" s="22" t="str">
        <x:v>291679142</x:v>
      </x:c>
      <x:c r="O638" s="22" t="n">
        <x:v>1032</x:v>
      </x:c>
      <x:c r="P638" s="22" t="n">
        <x:v>69</x:v>
      </x:c>
      <x:c r="Q638" s="22" t="str"/>
      <x:c r="R638" s="22" t="n">
        <x:f>COUNTIF($M$6:$M$1177,M638)</x:f>
        <x:v>1</x:v>
      </x:c>
      <x:c r="S638" s="22" t="str">
        <x:v>Supporting discovery</x:v>
      </x:c>
      <x:c r="T638" s="22" t="str">
        <x:v>Low</x:v>
      </x:c>
    </x:row>
    <x:row r="639" ht="54" customHeight="1">
      <x:c r="A639" s="22" t="n">
        <x:v>634</x:v>
      </x:c>
      <x:c r="B639" s="22" t="str">
        <x:v>Binparcel.com</x:v>
      </x:c>
      <x:c r="C639" s="43" t="str">
        <x:v>C-P</x:v>
      </x:c>
      <x:c r="D639" s="22" t="str">
        <x:v>Provisional</x:v>
      </x:c>
      <x:c r="E639" s="22" t="str">
        <x:v>SEARCH ENGINES</x:v>
      </x:c>
      <x:c r="F639" s="22" t="str">
        <x:v>Search or discovery interface</x:v>
      </x:c>
      <x:c r="G639" s="22" t="str">
        <x:v>Provisional ceiling from saved search/discovery context only. Verify the original page, account attribution and date; no result accuracy test.</x:v>
      </x:c>
      <x:c r="H639" s="22" t="str">
        <x:v>Lead only; inspect original content before attribution</x:v>
      </x:c>
      <x:c r="I639" s="22" t="str">
        <x:v>Not checked</x:v>
      </x:c>
      <x:c r="J639" s="22" t="str">
        <x:v>Saved bookmark metadata only</x:v>
      </x:c>
      <x:c r="K639" s="22" t="str"/>
      <x:c r="L639" s="24" t="str"/>
      <x:c r="M639" s="24" t="str">
        <x:v>https://binparcel.com/</x:v>
      </x:c>
      <x:c r="N639" s="22" t="str">
        <x:v>302156265</x:v>
      </x:c>
      <x:c r="O639" s="22" t="n">
        <x:v>1032</x:v>
      </x:c>
      <x:c r="P639" s="22" t="n">
        <x:v>70</x:v>
      </x:c>
      <x:c r="Q639" s="22" t="str"/>
      <x:c r="R639" s="22" t="n">
        <x:f>COUNTIF($M$6:$M$1177,M639)</x:f>
        <x:v>1</x:v>
      </x:c>
      <x:c r="S639" s="22" t="str">
        <x:v>Supporting discovery</x:v>
      </x:c>
      <x:c r="T639" s="22" t="str">
        <x:v>Low</x:v>
      </x:c>
    </x:row>
    <x:row r="640" ht="48" customHeight="1">
      <x:c r="A640" s="22" t="n">
        <x:v>635</x:v>
      </x:c>
      <x:c r="B640" s="22" t="str">
        <x:v>Homepage Search Engine</x:v>
      </x:c>
      <x:c r="C640" s="43" t="str">
        <x:v>C-P</x:v>
      </x:c>
      <x:c r="D640" s="22" t="str">
        <x:v>Provisional</x:v>
      </x:c>
      <x:c r="E640" s="22" t="str">
        <x:v>GOOGLE CSE</x:v>
      </x:c>
      <x:c r="F640" s="22" t="str">
        <x:v>Custom-search discovery only</x:v>
      </x:c>
      <x:c r="G640" s="22" t="str">
        <x:v>The saved URL identifies a custom search. This engine's configuration, coverage and query results were not tested.</x:v>
      </x:c>
      <x:c r="H640" s="22" t="str">
        <x:v>Open and verify the original result; do not count the search as corroboration</x:v>
      </x:c>
      <x:c r="I640" s="22" t="str">
        <x:v>Not checked</x:v>
      </x:c>
      <x:c r="J640" s="22" t="str">
        <x:v>Saved bookmark metadata only</x:v>
      </x:c>
      <x:c r="K640" s="22" t="str"/>
      <x:c r="L640" s="24" t="str"/>
      <x:c r="M640" s="24" t="str">
        <x:v>https://cse.google.com/cse?cx=005797772976587943970:3tu7im1-rdg#gsc.tab=0</x:v>
      </x:c>
      <x:c r="N640" s="22" t="str">
        <x:v>286996496</x:v>
      </x:c>
      <x:c r="O640" s="22" t="n">
        <x:v>1032</x:v>
      </x:c>
      <x:c r="P640" s="22" t="n">
        <x:v>1</x:v>
      </x:c>
      <x:c r="Q640" s="22" t="str"/>
      <x:c r="R640" s="22" t="n">
        <x:f>COUNTIF($M$6:$M$1177,M640)</x:f>
        <x:v>1</x:v>
      </x:c>
      <x:c r="S640" s="22" t="str">
        <x:v>Supporting discovery</x:v>
      </x:c>
      <x:c r="T640" s="22" t="str">
        <x:v>Low</x:v>
      </x:c>
    </x:row>
    <x:row r="641" ht="48" customHeight="1">
      <x:c r="A641" s="22" t="n">
        <x:v>636</x:v>
      </x:c>
      <x:c r="B641" s="22" t="str">
        <x:v>Amazon Cloud Search Engine</x:v>
      </x:c>
      <x:c r="C641" s="43" t="str">
        <x:v>C-P</x:v>
      </x:c>
      <x:c r="D641" s="22" t="str">
        <x:v>Provisional</x:v>
      </x:c>
      <x:c r="E641" s="22" t="str">
        <x:v>GOOGLE CSE</x:v>
      </x:c>
      <x:c r="F641" s="22" t="str">
        <x:v>Custom-search discovery only</x:v>
      </x:c>
      <x:c r="G641" s="22" t="str">
        <x:v>The saved URL identifies a custom search. This engine's configuration, coverage and query results were not tested.</x:v>
      </x:c>
      <x:c r="H641" s="22" t="str">
        <x:v>Open and verify the original result; do not count the search as corroboration</x:v>
      </x:c>
      <x:c r="I641" s="22" t="str">
        <x:v>Not checked</x:v>
      </x:c>
      <x:c r="J641" s="22" t="str">
        <x:v>Saved bookmark metadata only</x:v>
      </x:c>
      <x:c r="K641" s="22" t="str"/>
      <x:c r="L641" s="24" t="str"/>
      <x:c r="M641" s="24" t="str">
        <x:v>https://cse.google.com/cse?cx=005797772976587943970:g-6ohngosio#gsc.tab=0</x:v>
      </x:c>
      <x:c r="N641" s="22" t="str">
        <x:v>287164261</x:v>
      </x:c>
      <x:c r="O641" s="22" t="n">
        <x:v>1032</x:v>
      </x:c>
      <x:c r="P641" s="22" t="n">
        <x:v>2</x:v>
      </x:c>
      <x:c r="Q641" s="22" t="str"/>
      <x:c r="R641" s="22" t="n">
        <x:f>COUNTIF($M$6:$M$1177,M641)</x:f>
        <x:v>1</x:v>
      </x:c>
      <x:c r="S641" s="22" t="str">
        <x:v>Supporting discovery</x:v>
      </x:c>
      <x:c r="T641" s="22" t="str">
        <x:v>Low</x:v>
      </x:c>
    </x:row>
    <x:row r="642" ht="48" customHeight="1">
      <x:c r="A642" s="22" t="n">
        <x:v>637</x:v>
      </x:c>
      <x:c r="B642" s="22" t="str">
        <x:v>Google CSE instances Search Engine</x:v>
      </x:c>
      <x:c r="C642" s="43" t="str">
        <x:v>C-P</x:v>
      </x:c>
      <x:c r="D642" s="22" t="str">
        <x:v>Provisional</x:v>
      </x:c>
      <x:c r="E642" s="22" t="str">
        <x:v>GOOGLE CSE</x:v>
      </x:c>
      <x:c r="F642" s="22" t="str">
        <x:v>Custom-search discovery only</x:v>
      </x:c>
      <x:c r="G642" s="22" t="str">
        <x:v>The saved URL identifies a custom search. This engine's configuration, coverage and query results were not tested.</x:v>
      </x:c>
      <x:c r="H642" s="22" t="str">
        <x:v>Open and verify the original result; do not count the search as corroboration</x:v>
      </x:c>
      <x:c r="I642" s="22" t="str">
        <x:v>Not checked</x:v>
      </x:c>
      <x:c r="J642" s="22" t="str">
        <x:v>Saved bookmark metadata only</x:v>
      </x:c>
      <x:c r="K642" s="22" t="str"/>
      <x:c r="L642" s="24" t="str"/>
      <x:c r="M642" s="24" t="str">
        <x:v>https://cse.google.com/cse?cx=009462381166450434430:vggeu3dhhgg#gsc.tab=0</x:v>
      </x:c>
      <x:c r="N642" s="22" t="str">
        <x:v>286995176</x:v>
      </x:c>
      <x:c r="O642" s="22" t="n">
        <x:v>1032</x:v>
      </x:c>
      <x:c r="P642" s="22" t="n">
        <x:v>3</x:v>
      </x:c>
      <x:c r="Q642" s="22" t="str"/>
      <x:c r="R642" s="22" t="n">
        <x:f>COUNTIF($M$6:$M$1177,M642)</x:f>
        <x:v>1</x:v>
      </x:c>
      <x:c r="S642" s="22" t="str">
        <x:v>Supporting discovery</x:v>
      </x:c>
      <x:c r="T642" s="22" t="str">
        <x:v>Low</x:v>
      </x:c>
    </x:row>
    <x:row r="643" ht="48" customHeight="1">
      <x:c r="A643" s="22" t="n">
        <x:v>638</x:v>
      </x:c>
      <x:c r="B643" s="22" t="str">
        <x:v>Robots.txt Search Engine</x:v>
      </x:c>
      <x:c r="C643" s="43" t="str">
        <x:v>C-P</x:v>
      </x:c>
      <x:c r="D643" s="22" t="str">
        <x:v>Provisional</x:v>
      </x:c>
      <x:c r="E643" s="22" t="str">
        <x:v>GOOGLE CSE</x:v>
      </x:c>
      <x:c r="F643" s="22" t="str">
        <x:v>Custom-search discovery only</x:v>
      </x:c>
      <x:c r="G643" s="22" t="str">
        <x:v>The saved URL identifies a custom search. This engine's configuration, coverage and query results were not tested.</x:v>
      </x:c>
      <x:c r="H643" s="22" t="str">
        <x:v>Open and verify the original result; do not count the search as corroboration</x:v>
      </x:c>
      <x:c r="I643" s="22" t="str">
        <x:v>Not checked</x:v>
      </x:c>
      <x:c r="J643" s="22" t="str">
        <x:v>Saved bookmark metadata only</x:v>
      </x:c>
      <x:c r="K643" s="22" t="str"/>
      <x:c r="L643" s="24" t="str"/>
      <x:c r="M643" s="24" t="str">
        <x:v>https://cse.google.com/cse?cx=013991603413798772546:zu7epjqvunu</x:v>
      </x:c>
      <x:c r="N643" s="22" t="str">
        <x:v>290065376</x:v>
      </x:c>
      <x:c r="O643" s="22" t="n">
        <x:v>1032</x:v>
      </x:c>
      <x:c r="P643" s="22" t="n">
        <x:v>4</x:v>
      </x:c>
      <x:c r="Q643" s="22" t="str"/>
      <x:c r="R643" s="22" t="n">
        <x:f>COUNTIF($M$6:$M$1177,M643)</x:f>
        <x:v>1</x:v>
      </x:c>
      <x:c r="S643" s="22" t="str">
        <x:v>Supporting discovery</x:v>
      </x:c>
      <x:c r="T643" s="22" t="str">
        <x:v>Low</x:v>
      </x:c>
    </x:row>
    <x:row r="644" ht="48" customHeight="1">
      <x:c r="A644" s="22" t="n">
        <x:v>639</x:v>
      </x:c>
      <x:c r="B644" s="22" t="str">
        <x:v>Short URL Search Engine</x:v>
      </x:c>
      <x:c r="C644" s="43" t="str">
        <x:v>C-P</x:v>
      </x:c>
      <x:c r="D644" s="22" t="str">
        <x:v>Provisional</x:v>
      </x:c>
      <x:c r="E644" s="22" t="str">
        <x:v>GOOGLE CSE</x:v>
      </x:c>
      <x:c r="F644" s="22" t="str">
        <x:v>Custom-search discovery only</x:v>
      </x:c>
      <x:c r="G644" s="22" t="str">
        <x:v>The saved URL identifies a custom search. This engine's configuration, coverage and query results were not tested.</x:v>
      </x:c>
      <x:c r="H644" s="22" t="str">
        <x:v>Open and verify the original result; do not count the search as corroboration</x:v>
      </x:c>
      <x:c r="I644" s="22" t="str">
        <x:v>Not checked</x:v>
      </x:c>
      <x:c r="J644" s="22" t="str">
        <x:v>Saved bookmark metadata only</x:v>
      </x:c>
      <x:c r="K644" s="22" t="str"/>
      <x:c r="L644" s="24" t="str"/>
      <x:c r="M644" s="24" t="str">
        <x:v>https://cse.google.com/cse?cx=017261104271573007538:magh-vr6t6g#gsc.tab=0</x:v>
      </x:c>
      <x:c r="N644" s="22" t="str">
        <x:v>290065665</x:v>
      </x:c>
      <x:c r="O644" s="22" t="n">
        <x:v>1032</x:v>
      </x:c>
      <x:c r="P644" s="22" t="n">
        <x:v>5</x:v>
      </x:c>
      <x:c r="Q644" s="22" t="str"/>
      <x:c r="R644" s="22" t="n">
        <x:f>COUNTIF($M$6:$M$1177,M644)</x:f>
        <x:v>1</x:v>
      </x:c>
      <x:c r="S644" s="22" t="str">
        <x:v>Supporting discovery</x:v>
      </x:c>
      <x:c r="T644" s="22" t="str">
        <x:v>Low</x:v>
      </x:c>
    </x:row>
    <x:row r="645" ht="48" customHeight="1">
      <x:c r="A645" s="22" t="n">
        <x:v>640</x:v>
      </x:c>
      <x:c r="B645" s="22" t="str">
        <x:v>Wikispaces Search Engine</x:v>
      </x:c>
      <x:c r="C645" s="43" t="str">
        <x:v>C-P</x:v>
      </x:c>
      <x:c r="D645" s="22" t="str">
        <x:v>Provisional</x:v>
      </x:c>
      <x:c r="E645" s="22" t="str">
        <x:v>GOOGLE CSE</x:v>
      </x:c>
      <x:c r="F645" s="22" t="str">
        <x:v>Custom-search discovery only</x:v>
      </x:c>
      <x:c r="G645" s="22" t="str">
        <x:v>The saved URL identifies a custom search. This engine's configuration, coverage and query results were not tested.</x:v>
      </x:c>
      <x:c r="H645" s="22" t="str">
        <x:v>Open and verify the original result; do not count the search as corroboration</x:v>
      </x:c>
      <x:c r="I645" s="22" t="str">
        <x:v>Not checked</x:v>
      </x:c>
      <x:c r="J645" s="22" t="str">
        <x:v>Saved bookmark metadata only</x:v>
      </x:c>
      <x:c r="K645" s="22" t="str"/>
      <x:c r="L645" s="24" t="str"/>
      <x:c r="M645" s="24" t="str">
        <x:v>https://cse.google.com/cse/publicurl?cx=005797772976587943970:afbre9pr2ly</x:v>
      </x:c>
      <x:c r="N645" s="22" t="str">
        <x:v>290065930</x:v>
      </x:c>
      <x:c r="O645" s="22" t="n">
        <x:v>1032</x:v>
      </x:c>
      <x:c r="P645" s="22" t="n">
        <x:v>6</x:v>
      </x:c>
      <x:c r="Q645" s="22" t="str"/>
      <x:c r="R645" s="22" t="n">
        <x:f>COUNTIF($M$6:$M$1177,M645)</x:f>
        <x:v>1</x:v>
      </x:c>
      <x:c r="S645" s="22" t="str">
        <x:v>Supporting discovery</x:v>
      </x:c>
      <x:c r="T645" s="22" t="str">
        <x:v>Low</x:v>
      </x:c>
    </x:row>
    <x:row r="646" ht="48" customHeight="1">
      <x:c r="A646" s="22" t="n">
        <x:v>641</x:v>
      </x:c>
      <x:c r="B646" s="22" t="str">
        <x:v>Dog Bites Search Engine</x:v>
      </x:c>
      <x:c r="C646" s="43" t="str">
        <x:v>C-P</x:v>
      </x:c>
      <x:c r="D646" s="22" t="str">
        <x:v>Provisional</x:v>
      </x:c>
      <x:c r="E646" s="22" t="str">
        <x:v>GOOGLE CSE</x:v>
      </x:c>
      <x:c r="F646" s="22" t="str">
        <x:v>Custom-search discovery only</x:v>
      </x:c>
      <x:c r="G646" s="22" t="str">
        <x:v>The saved URL identifies a custom search. This engine's configuration, coverage and query results were not tested.</x:v>
      </x:c>
      <x:c r="H646" s="22" t="str">
        <x:v>Open and verify the original result; do not count the search as corroboration</x:v>
      </x:c>
      <x:c r="I646" s="22" t="str">
        <x:v>Not checked</x:v>
      </x:c>
      <x:c r="J646" s="22" t="str">
        <x:v>Saved bookmark metadata only</x:v>
      </x:c>
      <x:c r="K646" s="22" t="str"/>
      <x:c r="L646" s="24" t="str"/>
      <x:c r="M646" s="24" t="str">
        <x:v>https://cse.google.com/cse?cx=partner-pub-8216357153102971:3267723418</x:v>
      </x:c>
      <x:c r="N646" s="22" t="str">
        <x:v>286995414</x:v>
      </x:c>
      <x:c r="O646" s="22" t="n">
        <x:v>1032</x:v>
      </x:c>
      <x:c r="P646" s="22" t="n">
        <x:v>7</x:v>
      </x:c>
      <x:c r="Q646" s="22" t="str"/>
      <x:c r="R646" s="22" t="n">
        <x:f>COUNTIF($M$6:$M$1177,M646)</x:f>
        <x:v>1</x:v>
      </x:c>
      <x:c r="S646" s="22" t="str">
        <x:v>Supporting discovery</x:v>
      </x:c>
      <x:c r="T646" s="22" t="str">
        <x:v>Low</x:v>
      </x:c>
    </x:row>
    <x:row r="647" ht="48" customHeight="1">
      <x:c r="A647" s="22" t="n">
        <x:v>642</x:v>
      </x:c>
      <x:c r="B647" s="22" t="str">
        <x:v>Google Domain Hacker</x:v>
      </x:c>
      <x:c r="C647" s="43" t="str">
        <x:v>C-P</x:v>
      </x:c>
      <x:c r="D647" s="22" t="str">
        <x:v>Provisional</x:v>
      </x:c>
      <x:c r="E647" s="22" t="str">
        <x:v>GOOGLE CSE</x:v>
      </x:c>
      <x:c r="F647" s="22" t="str">
        <x:v>Custom-search discovery only</x:v>
      </x:c>
      <x:c r="G647" s="22" t="str">
        <x:v>The saved URL identifies a custom search. This engine's configuration, coverage and query results were not tested.</x:v>
      </x:c>
      <x:c r="H647" s="22" t="str">
        <x:v>Open and verify the original result; do not count the search as corroboration</x:v>
      </x:c>
      <x:c r="I647" s="22" t="str">
        <x:v>Not checked</x:v>
      </x:c>
      <x:c r="J647" s="22" t="str">
        <x:v>Saved bookmark metadata only</x:v>
      </x:c>
      <x:c r="K647" s="22" t="str"/>
      <x:c r="L647" s="24" t="str"/>
      <x:c r="M647" s="24" t="str">
        <x:v>https://cse.google.com/cse/publicurl?cx=005797772976587943970:ca2hiy6hmri</x:v>
      </x:c>
      <x:c r="N647" s="22" t="str">
        <x:v>291699257</x:v>
      </x:c>
      <x:c r="O647" s="22" t="n">
        <x:v>1032</x:v>
      </x:c>
      <x:c r="P647" s="22" t="n">
        <x:v>8</x:v>
      </x:c>
      <x:c r="Q647" s="22" t="str"/>
      <x:c r="R647" s="22" t="n">
        <x:f>COUNTIF($M$6:$M$1177,M647)</x:f>
        <x:v>1</x:v>
      </x:c>
      <x:c r="S647" s="22" t="str">
        <x:v>Supporting discovery</x:v>
      </x:c>
      <x:c r="T647" s="22" t="str">
        <x:v>Low</x:v>
      </x:c>
    </x:row>
    <x:row r="648" ht="48" customHeight="1">
      <x:c r="A648" s="22" t="n">
        <x:v>643</x:v>
      </x:c>
      <x:c r="B648" s="22" t="str">
        <x:v>Google Drive Folder Search Engine</x:v>
      </x:c>
      <x:c r="C648" s="43" t="str">
        <x:v>C-P</x:v>
      </x:c>
      <x:c r="D648" s="22" t="str">
        <x:v>Provisional</x:v>
      </x:c>
      <x:c r="E648" s="22" t="str">
        <x:v>GOOGLE CSE</x:v>
      </x:c>
      <x:c r="F648" s="22" t="str">
        <x:v>Custom-search discovery only</x:v>
      </x:c>
      <x:c r="G648" s="22" t="str">
        <x:v>The saved URL identifies a custom search. This engine's configuration, coverage and query results were not tested.</x:v>
      </x:c>
      <x:c r="H648" s="22" t="str">
        <x:v>Open and verify the original result; do not count the search as corroboration</x:v>
      </x:c>
      <x:c r="I648" s="22" t="str">
        <x:v>Not checked</x:v>
      </x:c>
      <x:c r="J648" s="22" t="str">
        <x:v>Saved bookmark metadata only</x:v>
      </x:c>
      <x:c r="K648" s="22" t="str"/>
      <x:c r="L648" s="24" t="str"/>
      <x:c r="M648" s="24" t="str">
        <x:v>https://cse.google.com/cse/publicurl?cx=013991603413798772546:nwzqlcysx_w</x:v>
      </x:c>
      <x:c r="N648" s="22" t="str">
        <x:v>291699259</x:v>
      </x:c>
      <x:c r="O648" s="22" t="n">
        <x:v>1032</x:v>
      </x:c>
      <x:c r="P648" s="22" t="n">
        <x:v>9</x:v>
      </x:c>
      <x:c r="Q648" s="22" t="str"/>
      <x:c r="R648" s="22" t="n">
        <x:f>COUNTIF($M$6:$M$1177,M648)</x:f>
        <x:v>1</x:v>
      </x:c>
      <x:c r="S648" s="22" t="str">
        <x:v>Supporting discovery</x:v>
      </x:c>
      <x:c r="T648" s="22" t="str">
        <x:v>Low</x:v>
      </x:c>
    </x:row>
    <x:row r="649" ht="48" customHeight="1">
      <x:c r="A649" s="22" t="n">
        <x:v>644</x:v>
      </x:c>
      <x:c r="B649" s="22" t="str">
        <x:v>Chrome Extension Archive Search Engine</x:v>
      </x:c>
      <x:c r="C649" s="43" t="str">
        <x:v>C-P</x:v>
      </x:c>
      <x:c r="D649" s="22" t="str">
        <x:v>Provisional</x:v>
      </x:c>
      <x:c r="E649" s="22" t="str">
        <x:v>GOOGLE CSE</x:v>
      </x:c>
      <x:c r="F649" s="22" t="str">
        <x:v>Custom-search discovery only</x:v>
      </x:c>
      <x:c r="G649" s="22" t="str">
        <x:v>The saved URL identifies a custom search. This engine's configuration, coverage and query results were not tested.</x:v>
      </x:c>
      <x:c r="H649" s="22" t="str">
        <x:v>Open and verify the original result; do not count the search as corroboration</x:v>
      </x:c>
      <x:c r="I649" s="22" t="str">
        <x:v>Not checked</x:v>
      </x:c>
      <x:c r="J649" s="22" t="str">
        <x:v>Saved bookmark metadata only</x:v>
      </x:c>
      <x:c r="K649" s="22" t="str"/>
      <x:c r="L649" s="24" t="str"/>
      <x:c r="M649" s="24" t="str">
        <x:v>https://cse.google.com/cse/publicurl?cx=000501358716561852263:h-5uyshsclq</x:v>
      </x:c>
      <x:c r="N649" s="22" t="str">
        <x:v>291699250</x:v>
      </x:c>
      <x:c r="O649" s="22" t="n">
        <x:v>1032</x:v>
      </x:c>
      <x:c r="P649" s="22" t="n">
        <x:v>10</x:v>
      </x:c>
      <x:c r="Q649" s="22" t="str"/>
      <x:c r="R649" s="22" t="n">
        <x:f>COUNTIF($M$6:$M$1177,M649)</x:f>
        <x:v>1</x:v>
      </x:c>
      <x:c r="S649" s="22" t="str">
        <x:v>Supporting discovery</x:v>
      </x:c>
      <x:c r="T649" s="22" t="str">
        <x:v>Low</x:v>
      </x:c>
    </x:row>
    <x:row r="650" ht="48" customHeight="1">
      <x:c r="A650" s="22" t="n">
        <x:v>645</x:v>
      </x:c>
      <x:c r="B650" s="22" t="str">
        <x:v>Github with Awesome-List Search Engine</x:v>
      </x:c>
      <x:c r="C650" s="43" t="str">
        <x:v>C-P</x:v>
      </x:c>
      <x:c r="D650" s="22" t="str">
        <x:v>Provisional</x:v>
      </x:c>
      <x:c r="E650" s="22" t="str">
        <x:v>GOOGLE CSE</x:v>
      </x:c>
      <x:c r="F650" s="22" t="str">
        <x:v>Custom-search discovery only</x:v>
      </x:c>
      <x:c r="G650" s="22" t="str">
        <x:v>The saved URL identifies a custom search. This engine's configuration, coverage and query results were not tested.</x:v>
      </x:c>
      <x:c r="H650" s="22" t="str">
        <x:v>Open and verify the original result; do not count the search as corroboration</x:v>
      </x:c>
      <x:c r="I650" s="22" t="str">
        <x:v>Not checked</x:v>
      </x:c>
      <x:c r="J650" s="22" t="str">
        <x:v>Saved bookmark metadata only</x:v>
      </x:c>
      <x:c r="K650" s="22" t="str"/>
      <x:c r="L650" s="24" t="str"/>
      <x:c r="M650" s="24" t="str">
        <x:v>https://cse.google.com/cse/publicurl?cx=017261104271573007538:fqn_jyftcdq</x:v>
      </x:c>
      <x:c r="N650" s="22" t="str">
        <x:v>291699253</x:v>
      </x:c>
      <x:c r="O650" s="22" t="n">
        <x:v>1032</x:v>
      </x:c>
      <x:c r="P650" s="22" t="n">
        <x:v>11</x:v>
      </x:c>
      <x:c r="Q650" s="22" t="str"/>
      <x:c r="R650" s="22" t="n">
        <x:f>COUNTIF($M$6:$M$1177,M650)</x:f>
        <x:v>1</x:v>
      </x:c>
      <x:c r="S650" s="22" t="str">
        <x:v>Supporting discovery</x:v>
      </x:c>
      <x:c r="T650" s="22" t="str">
        <x:v>Low</x:v>
      </x:c>
    </x:row>
    <x:row r="651" ht="48" customHeight="1">
      <x:c r="A651" s="22" t="n">
        <x:v>646</x:v>
      </x:c>
      <x:c r="B651" s="22" t="str">
        <x:v>Better Chrome Web Store Search Engine</x:v>
      </x:c>
      <x:c r="C651" s="43" t="str">
        <x:v>C-P</x:v>
      </x:c>
      <x:c r="D651" s="22" t="str">
        <x:v>Provisional</x:v>
      </x:c>
      <x:c r="E651" s="22" t="str">
        <x:v>GOOGLE CSE</x:v>
      </x:c>
      <x:c r="F651" s="22" t="str">
        <x:v>Custom-search discovery only</x:v>
      </x:c>
      <x:c r="G651" s="22" t="str">
        <x:v>The saved URL identifies a custom search. This engine's configuration, coverage and query results were not tested.</x:v>
      </x:c>
      <x:c r="H651" s="22" t="str">
        <x:v>Open and verify the original result; do not count the search as corroboration</x:v>
      </x:c>
      <x:c r="I651" s="22" t="str">
        <x:v>Not checked</x:v>
      </x:c>
      <x:c r="J651" s="22" t="str">
        <x:v>Saved bookmark metadata only</x:v>
      </x:c>
      <x:c r="K651" s="22" t="str"/>
      <x:c r="L651" s="24" t="str"/>
      <x:c r="M651" s="24" t="str">
        <x:v>https://cse.google.com/cse/publicurl?cx=006205189065513216365:pn3lumi80ne</x:v>
      </x:c>
      <x:c r="N651" s="22" t="str">
        <x:v>291699246</x:v>
      </x:c>
      <x:c r="O651" s="22" t="n">
        <x:v>1032</x:v>
      </x:c>
      <x:c r="P651" s="22" t="n">
        <x:v>12</x:v>
      </x:c>
      <x:c r="Q651" s="22" t="str"/>
      <x:c r="R651" s="22" t="n">
        <x:f>COUNTIF($M$6:$M$1177,M651)</x:f>
        <x:v>1</x:v>
      </x:c>
      <x:c r="S651" s="22" t="str">
        <x:v>Supporting discovery</x:v>
      </x:c>
      <x:c r="T651" s="22" t="str">
        <x:v>Low</x:v>
      </x:c>
    </x:row>
    <x:row r="652" ht="48" customHeight="1">
      <x:c r="A652" s="22" t="n">
        <x:v>647</x:v>
      </x:c>
      <x:c r="B652" s="22" t="str">
        <x:v>App Store Custom Search Engine</x:v>
      </x:c>
      <x:c r="C652" s="43" t="str">
        <x:v>C-P</x:v>
      </x:c>
      <x:c r="D652" s="22" t="str">
        <x:v>Provisional</x:v>
      </x:c>
      <x:c r="E652" s="22" t="str">
        <x:v>GOOGLE CSE</x:v>
      </x:c>
      <x:c r="F652" s="22" t="str">
        <x:v>Custom-search discovery only</x:v>
      </x:c>
      <x:c r="G652" s="22" t="str">
        <x:v>The saved URL identifies a custom search. This engine's configuration, coverage and query results were not tested.</x:v>
      </x:c>
      <x:c r="H652" s="22" t="str">
        <x:v>Open and verify the original result; do not count the search as corroboration</x:v>
      </x:c>
      <x:c r="I652" s="22" t="str">
        <x:v>Not checked</x:v>
      </x:c>
      <x:c r="J652" s="22" t="str">
        <x:v>Saved bookmark metadata only</x:v>
      </x:c>
      <x:c r="K652" s="22" t="str"/>
      <x:c r="L652" s="24" t="str"/>
      <x:c r="M652" s="24" t="str">
        <x:v>https://cse.google.com/cse/publicurl?cx=006205189065513216365:aqogom-kfne</x:v>
      </x:c>
      <x:c r="N652" s="22" t="str">
        <x:v>291699242</x:v>
      </x:c>
      <x:c r="O652" s="22" t="n">
        <x:v>1032</x:v>
      </x:c>
      <x:c r="P652" s="22" t="n">
        <x:v>13</x:v>
      </x:c>
      <x:c r="Q652" s="22" t="str"/>
      <x:c r="R652" s="22" t="n">
        <x:f>COUNTIF($M$6:$M$1177,M652)</x:f>
        <x:v>1</x:v>
      </x:c>
      <x:c r="S652" s="22" t="str">
        <x:v>Supporting discovery</x:v>
      </x:c>
      <x:c r="T652" s="22" t="str">
        <x:v>Low</x:v>
      </x:c>
    </x:row>
    <x:row r="653" ht="48" customHeight="1">
      <x:c r="A653" s="22" t="n">
        <x:v>648</x:v>
      </x:c>
      <x:c r="B653" s="22" t="str">
        <x:v>*.Google.com Hack Attack</x:v>
      </x:c>
      <x:c r="C653" s="43" t="str">
        <x:v>C-P</x:v>
      </x:c>
      <x:c r="D653" s="22" t="str">
        <x:v>Provisional</x:v>
      </x:c>
      <x:c r="E653" s="22" t="str">
        <x:v>GOOGLE CSE</x:v>
      </x:c>
      <x:c r="F653" s="22" t="str">
        <x:v>Custom-search discovery only</x:v>
      </x:c>
      <x:c r="G653" s="22" t="str">
        <x:v>The saved URL identifies a custom search. This engine's configuration, coverage and query results were not tested.</x:v>
      </x:c>
      <x:c r="H653" s="22" t="str">
        <x:v>Open and verify the original result; do not count the search as corroboration</x:v>
      </x:c>
      <x:c r="I653" s="22" t="str">
        <x:v>Not checked</x:v>
      </x:c>
      <x:c r="J653" s="22" t="str">
        <x:v>Saved bookmark metadata only</x:v>
      </x:c>
      <x:c r="K653" s="22" t="str"/>
      <x:c r="L653" s="24" t="str"/>
      <x:c r="M653" s="24" t="str">
        <x:v>https://cse.google.com/cse/publicurl?cx=017648920863780530960:lddgpbzqgoi</x:v>
      </x:c>
      <x:c r="N653" s="22" t="str">
        <x:v>291699239</x:v>
      </x:c>
      <x:c r="O653" s="22" t="n">
        <x:v>1032</x:v>
      </x:c>
      <x:c r="P653" s="22" t="n">
        <x:v>14</x:v>
      </x:c>
      <x:c r="Q653" s="22" t="str"/>
      <x:c r="R653" s="22" t="n">
        <x:f>COUNTIF($M$6:$M$1177,M653)</x:f>
        <x:v>1</x:v>
      </x:c>
      <x:c r="S653" s="22" t="str">
        <x:v>Supporting discovery</x:v>
      </x:c>
      <x:c r="T653" s="22" t="str">
        <x:v>Low</x:v>
      </x:c>
    </x:row>
    <x:row r="654" ht="48" customHeight="1">
      <x:c r="A654" s="22" t="n">
        <x:v>649</x:v>
      </x:c>
      <x:c r="B654" s="22" t="str">
        <x:v>Search by FileType</x:v>
      </x:c>
      <x:c r="C654" s="43" t="str">
        <x:v>C-P</x:v>
      </x:c>
      <x:c r="D654" s="22" t="str">
        <x:v>Provisional</x:v>
      </x:c>
      <x:c r="E654" s="22" t="str">
        <x:v>GOOGLE CSE</x:v>
      </x:c>
      <x:c r="F654" s="22" t="str">
        <x:v>Custom-search discovery only</x:v>
      </x:c>
      <x:c r="G654" s="22" t="str">
        <x:v>The saved URL identifies a custom search. This engine's configuration, coverage and query results were not tested.</x:v>
      </x:c>
      <x:c r="H654" s="22" t="str">
        <x:v>Open and verify the original result; do not count the search as corroboration</x:v>
      </x:c>
      <x:c r="I654" s="22" t="str">
        <x:v>Not checked</x:v>
      </x:c>
      <x:c r="J654" s="22" t="str">
        <x:v>Saved bookmark metadata only</x:v>
      </x:c>
      <x:c r="K654" s="22" t="str"/>
      <x:c r="L654" s="24" t="str"/>
      <x:c r="M654" s="24" t="str">
        <x:v>https://cse.google.com/cse/publicurl?cx=013991603413798772546:mu-oio3a980</x:v>
      </x:c>
      <x:c r="N654" s="22" t="str">
        <x:v>290065975</x:v>
      </x:c>
      <x:c r="O654" s="22" t="n">
        <x:v>1032</x:v>
      </x:c>
      <x:c r="P654" s="22" t="n">
        <x:v>15</x:v>
      </x:c>
      <x:c r="Q654" s="22" t="str"/>
      <x:c r="R654" s="22" t="n">
        <x:f>COUNTIF($M$6:$M$1177,M654)</x:f>
        <x:v>1</x:v>
      </x:c>
      <x:c r="S654" s="22" t="str">
        <x:v>Supporting discovery</x:v>
      </x:c>
      <x:c r="T654" s="22" t="str">
        <x:v>Low</x:v>
      </x:c>
    </x:row>
    <x:row r="655" ht="48" customHeight="1">
      <x:c r="A655" s="22" t="n">
        <x:v>650</x:v>
      </x:c>
      <x:c r="B655" s="22" t="str">
        <x:v>Search Engine Finder</x:v>
      </x:c>
      <x:c r="C655" s="43" t="str">
        <x:v>C-P</x:v>
      </x:c>
      <x:c r="D655" s="22" t="str">
        <x:v>Provisional</x:v>
      </x:c>
      <x:c r="E655" s="22" t="str">
        <x:v>GOOGLE CSE</x:v>
      </x:c>
      <x:c r="F655" s="22" t="str">
        <x:v>Custom-search discovery only</x:v>
      </x:c>
      <x:c r="G655" s="22" t="str">
        <x:v>The saved URL identifies a custom search. This engine's configuration, coverage and query results were not tested.</x:v>
      </x:c>
      <x:c r="H655" s="22" t="str">
        <x:v>Open and verify the original result; do not count the search as corroboration</x:v>
      </x:c>
      <x:c r="I655" s="22" t="str">
        <x:v>Not checked</x:v>
      </x:c>
      <x:c r="J655" s="22" t="str">
        <x:v>Saved bookmark metadata only</x:v>
      </x:c>
      <x:c r="K655" s="22" t="str"/>
      <x:c r="L655" s="24" t="str"/>
      <x:c r="M655" s="24" t="str">
        <x:v>https://cse.google.com/cse?cx=016621447308871563343:nyvaorurd5l</x:v>
      </x:c>
      <x:c r="N655" s="22" t="str">
        <x:v>290065782</x:v>
      </x:c>
      <x:c r="O655" s="22" t="n">
        <x:v>1032</x:v>
      </x:c>
      <x:c r="P655" s="22" t="n">
        <x:v>16</x:v>
      </x:c>
      <x:c r="Q655" s="22" t="str"/>
      <x:c r="R655" s="22" t="n">
        <x:f>COUNTIF($M$6:$M$1177,M655)</x:f>
        <x:v>1</x:v>
      </x:c>
      <x:c r="S655" s="22" t="str">
        <x:v>Supporting discovery</x:v>
      </x:c>
      <x:c r="T655" s="22" t="str">
        <x:v>Low</x:v>
      </x:c>
    </x:row>
    <x:row r="656" ht="48" customHeight="1">
      <x:c r="A656" s="22" t="n">
        <x:v>651</x:v>
      </x:c>
      <x:c r="B656" s="22" t="str">
        <x:v>Mindmap Search Engine</x:v>
      </x:c>
      <x:c r="C656" s="43" t="str">
        <x:v>C-P</x:v>
      </x:c>
      <x:c r="D656" s="22" t="str">
        <x:v>Provisional</x:v>
      </x:c>
      <x:c r="E656" s="22" t="str">
        <x:v>GOOGLE CSE</x:v>
      </x:c>
      <x:c r="F656" s="22" t="str">
        <x:v>Custom-search discovery only</x:v>
      </x:c>
      <x:c r="G656" s="22" t="str">
        <x:v>The saved URL identifies a custom search. This engine's configuration, coverage and query results were not tested.</x:v>
      </x:c>
      <x:c r="H656" s="22" t="str">
        <x:v>Open and verify the original result; do not count the search as corroboration</x:v>
      </x:c>
      <x:c r="I656" s="22" t="str">
        <x:v>Not checked</x:v>
      </x:c>
      <x:c r="J656" s="22" t="str">
        <x:v>Saved bookmark metadata only</x:v>
      </x:c>
      <x:c r="K656" s="22" t="str"/>
      <x:c r="L656" s="24" t="str"/>
      <x:c r="M656" s="24" t="str">
        <x:v>http://cse.google.com/cse?cx=013991603413798772546:gj6rx9spox8#gsc.tab=0</x:v>
      </x:c>
      <x:c r="N656" s="22" t="str">
        <x:v>286994883</x:v>
      </x:c>
      <x:c r="O656" s="22" t="n">
        <x:v>1032</x:v>
      </x:c>
      <x:c r="P656" s="22" t="n">
        <x:v>17</x:v>
      </x:c>
      <x:c r="Q656" s="22" t="str"/>
      <x:c r="R656" s="22" t="n">
        <x:f>COUNTIF($M$6:$M$1177,M656)</x:f>
        <x:v>1</x:v>
      </x:c>
      <x:c r="S656" s="22" t="str">
        <x:v>Supporting discovery</x:v>
      </x:c>
      <x:c r="T656" s="22" t="str">
        <x:v>Low</x:v>
      </x:c>
    </x:row>
    <x:row r="657" ht="48" customHeight="1">
      <x:c r="A657" s="22" t="n">
        <x:v>652</x:v>
      </x:c>
      <x:c r="B657" s="22" t="str">
        <x:v>Slack/Discord/Zoom Invites Search</x:v>
      </x:c>
      <x:c r="C657" s="43" t="str">
        <x:v>C-P</x:v>
      </x:c>
      <x:c r="D657" s="22" t="str">
        <x:v>Provisional</x:v>
      </x:c>
      <x:c r="E657" s="22" t="str">
        <x:v>GOOGLE CSE</x:v>
      </x:c>
      <x:c r="F657" s="22" t="str">
        <x:v>Custom-search discovery only</x:v>
      </x:c>
      <x:c r="G657" s="22" t="str">
        <x:v>The saved URL identifies a custom search. This engine's configuration, coverage and query results were not tested.</x:v>
      </x:c>
      <x:c r="H657" s="22" t="str">
        <x:v>Open and verify the original result; do not count the search as corroboration</x:v>
      </x:c>
      <x:c r="I657" s="22" t="str">
        <x:v>Not checked</x:v>
      </x:c>
      <x:c r="J657" s="22" t="str">
        <x:v>Saved bookmark metadata only</x:v>
      </x:c>
      <x:c r="K657" s="22" t="str"/>
      <x:c r="L657" s="24" t="str"/>
      <x:c r="M657" s="24" t="str">
        <x:v>https://cse.google.com/cse?cx=8e26eca532ec2cba3</x:v>
      </x:c>
      <x:c r="N657" s="22" t="str">
        <x:v>313463370</x:v>
      </x:c>
      <x:c r="O657" s="22" t="n">
        <x:v>1032</x:v>
      </x:c>
      <x:c r="P657" s="22" t="n">
        <x:v>18</x:v>
      </x:c>
      <x:c r="Q657" s="22" t="str"/>
      <x:c r="R657" s="22" t="n">
        <x:f>COUNTIF($M$6:$M$1177,M657)</x:f>
        <x:v>1</x:v>
      </x:c>
      <x:c r="S657" s="22" t="str">
        <x:v>Supporting discovery</x:v>
      </x:c>
      <x:c r="T657" s="22" t="str">
        <x:v>Low</x:v>
      </x:c>
    </x:row>
    <x:row r="658" ht="48" customHeight="1">
      <x:c r="A658" s="22" t="n">
        <x:v>653</x:v>
      </x:c>
      <x:c r="B658" s="22" t="str">
        <x:v>Cloud Bucket Search Engine</x:v>
      </x:c>
      <x:c r="C658" s="43" t="str">
        <x:v>C-P</x:v>
      </x:c>
      <x:c r="D658" s="22" t="str">
        <x:v>Provisional</x:v>
      </x:c>
      <x:c r="E658" s="22" t="str">
        <x:v>GOOGLE CSE</x:v>
      </x:c>
      <x:c r="F658" s="22" t="str">
        <x:v>Custom-search discovery only</x:v>
      </x:c>
      <x:c r="G658" s="22" t="str">
        <x:v>The saved URL identifies a custom search. This engine's configuration, coverage and query results were not tested.</x:v>
      </x:c>
      <x:c r="H658" s="22" t="str">
        <x:v>Open and verify the original result; do not count the search as corroboration</x:v>
      </x:c>
      <x:c r="I658" s="22" t="str">
        <x:v>Not checked</x:v>
      </x:c>
      <x:c r="J658" s="22" t="str">
        <x:v>Saved bookmark metadata only</x:v>
      </x:c>
      <x:c r="K658" s="22" t="str"/>
      <x:c r="L658" s="24" t="str"/>
      <x:c r="M658" s="24" t="str">
        <x:v>https://cse.google.com/cse?cx=d80f8518b11b1438e</x:v>
      </x:c>
      <x:c r="N658" s="22" t="str">
        <x:v>313463315</x:v>
      </x:c>
      <x:c r="O658" s="22" t="n">
        <x:v>1032</x:v>
      </x:c>
      <x:c r="P658" s="22" t="n">
        <x:v>19</x:v>
      </x:c>
      <x:c r="Q658" s="22" t="str"/>
      <x:c r="R658" s="22" t="n">
        <x:f>COUNTIF($M$6:$M$1177,M658)</x:f>
        <x:v>1</x:v>
      </x:c>
      <x:c r="S658" s="22" t="str">
        <x:v>Supporting discovery</x:v>
      </x:c>
      <x:c r="T658" s="22" t="str">
        <x:v>Low</x:v>
      </x:c>
    </x:row>
    <x:row r="659" ht="54" customHeight="1">
      <x:c r="A659" s="22" t="n">
        <x:v>654</x:v>
      </x:c>
      <x:c r="B659" s="22" t="str">
        <x:v>Facecheck.id</x:v>
      </x:c>
      <x:c r="C659" s="39" t="str">
        <x:v>C</x:v>
      </x:c>
      <x:c r="D659" s="22" t="str">
        <x:v>Documented</x:v>
      </x:c>
      <x:c r="E659" s="22" t="str">
        <x:v>IMAGE / VIDEO / AUDIO / MEDIA</x:v>
      </x:c>
      <x:c r="F659" s="22" t="str">
        <x:v>Face-similarity search leads</x:v>
      </x:c>
      <x:c r="G659" s="22" t="str">
        <x:v>Provider warns that resemblance is not guaranteed identity or family relationship. Do not treat a red flag or similarity score as a legal finding.</x:v>
      </x:c>
      <x:c r="H659" s="22" t="str">
        <x:v>Do not use alone to identify or accuse a person</x:v>
      </x:c>
      <x:c r="I659" s="22" t="str">
        <x:v>FAQ readable; no image uploaded</x:v>
      </x:c>
      <x:c r="J659" s="22" t="str">
        <x:v>Provider limitations</x:v>
      </x:c>
      <x:c r="K659" s="22" t="str">
        <x:v>S069</x:v>
      </x:c>
      <x:c r="L659" s="24" t="str">
        <x:v>https://facecheck.id/en/Face-Search/FAQ</x:v>
      </x:c>
      <x:c r="M659" s="24" t="str">
        <x:v>https://facecheck.id/</x:v>
      </x:c>
      <x:c r="N659" s="22" t="str">
        <x:v>327019104</x:v>
      </x:c>
      <x:c r="O659" s="22" t="n">
        <x:v>1032</x:v>
      </x:c>
      <x:c r="P659" s="22" t="n">
        <x:v>1</x:v>
      </x:c>
      <x:c r="Q659" s="22" t="str">
        <x:v>2026-09-15</x:v>
      </x:c>
      <x:c r="R659" s="22" t="n">
        <x:f>COUNTIF($M$6:$M$1177,M659)</x:f>
        <x:v>1</x:v>
      </x:c>
      <x:c r="S659" s="22" t="str">
        <x:v>Contacts / records</x:v>
      </x:c>
      <x:c r="T659" s="22" t="str">
        <x:v>Scoped desk assessment</x:v>
      </x:c>
    </x:row>
    <x:row r="660" ht="48" customHeight="1">
      <x:c r="A660" s="22" t="n">
        <x:v>655</x:v>
      </x:c>
      <x:c r="B660" s="22" t="str">
        <x:v>Google Images</x:v>
      </x:c>
      <x:c r="C660" s="31" t="str">
        <x:v>U</x:v>
      </x:c>
      <x:c r="D660" s="22" t="str">
        <x:v>Unassessed</x:v>
      </x:c>
      <x:c r="E660" s="22" t="str">
        <x:v>IMAGE / VIDEO / AUDIO / MEDIA</x:v>
      </x:c>
      <x:c r="F660" s="22" t="str">
        <x:v>Media discovery / analysis</x:v>
      </x:c>
      <x:c r="G660" s="22" t="str">
        <x:v>Preserve the original media. Similarity, metadata and enhancement are not independent identity proof.</x:v>
      </x:c>
      <x:c r="H660" s="22" t="str">
        <x:v>Verify publisher, source and current function before reliance</x:v>
      </x:c>
      <x:c r="I660" s="22" t="str">
        <x:v>Not checked</x:v>
      </x:c>
      <x:c r="J660" s="22" t="str">
        <x:v>Saved bookmark metadata only</x:v>
      </x:c>
      <x:c r="K660" s="22" t="str"/>
      <x:c r="L660" s="24" t="str"/>
      <x:c r="M660" s="24" t="str">
        <x:v>https://images.google.com/</x:v>
      </x:c>
      <x:c r="N660" s="22" t="str">
        <x:v>268401884</x:v>
      </x:c>
      <x:c r="O660" s="22" t="n">
        <x:v>1032</x:v>
      </x:c>
      <x:c r="P660" s="22" t="n">
        <x:v>2</x:v>
      </x:c>
      <x:c r="Q660" s="22" t="str"/>
      <x:c r="R660" s="22" t="n">
        <x:f>COUNTIF($M$6:$M$1177,M660)</x:f>
        <x:v>1</x:v>
      </x:c>
      <x:c r="S660" s="22" t="str">
        <x:v>Other / utility</x:v>
      </x:c>
      <x:c r="T660" s="22" t="str">
        <x:v>Not established</x:v>
      </x:c>
    </x:row>
    <x:row r="661" ht="48" customHeight="1">
      <x:c r="A661" s="22" t="n">
        <x:v>656</x:v>
      </x:c>
      <x:c r="B661" s="22" t="str">
        <x:v>Yandex Images</x:v>
      </x:c>
      <x:c r="C661" s="31" t="str">
        <x:v>U</x:v>
      </x:c>
      <x:c r="D661" s="22" t="str">
        <x:v>Unassessed</x:v>
      </x:c>
      <x:c r="E661" s="22" t="str">
        <x:v>IMAGE / VIDEO / AUDIO / MEDIA</x:v>
      </x:c>
      <x:c r="F661" s="22" t="str">
        <x:v>Media discovery / analysis</x:v>
      </x:c>
      <x:c r="G661" s="22" t="str">
        <x:v>Preserve the original media. Similarity, metadata and enhancement are not independent identity proof.</x:v>
      </x:c>
      <x:c r="H661" s="22" t="str">
        <x:v>Verify publisher, source and current function before reliance</x:v>
      </x:c>
      <x:c r="I661" s="22" t="str">
        <x:v>Not checked</x:v>
      </x:c>
      <x:c r="J661" s="22" t="str">
        <x:v>Saved bookmark metadata only</x:v>
      </x:c>
      <x:c r="K661" s="22" t="str"/>
      <x:c r="L661" s="24" t="str"/>
      <x:c r="M661" s="24" t="str">
        <x:v>https://yandex.com/images/</x:v>
      </x:c>
      <x:c r="N661" s="22" t="str">
        <x:v>268392170</x:v>
      </x:c>
      <x:c r="O661" s="22" t="n">
        <x:v>1032</x:v>
      </x:c>
      <x:c r="P661" s="22" t="n">
        <x:v>3</x:v>
      </x:c>
      <x:c r="Q661" s="22" t="str"/>
      <x:c r="R661" s="22" t="n">
        <x:f>COUNTIF($M$6:$M$1177,M661)</x:f>
        <x:v>1</x:v>
      </x:c>
      <x:c r="S661" s="22" t="str">
        <x:v>Other / utility</x:v>
      </x:c>
      <x:c r="T661" s="22" t="str">
        <x:v>Not established</x:v>
      </x:c>
    </x:row>
    <x:row r="662" ht="48" customHeight="1">
      <x:c r="A662" s="22" t="n">
        <x:v>657</x:v>
      </x:c>
      <x:c r="B662" s="22" t="str">
        <x:v>Bing Images</x:v>
      </x:c>
      <x:c r="C662" s="31" t="str">
        <x:v>U</x:v>
      </x:c>
      <x:c r="D662" s="22" t="str">
        <x:v>Unassessed</x:v>
      </x:c>
      <x:c r="E662" s="22" t="str">
        <x:v>IMAGE / VIDEO / AUDIO / MEDIA</x:v>
      </x:c>
      <x:c r="F662" s="22" t="str">
        <x:v>Media discovery / analysis</x:v>
      </x:c>
      <x:c r="G662" s="22" t="str">
        <x:v>Preserve the original media. Similarity, metadata and enhancement are not independent identity proof.</x:v>
      </x:c>
      <x:c r="H662" s="22" t="str">
        <x:v>Verify publisher, source and current function before reliance</x:v>
      </x:c>
      <x:c r="I662" s="22" t="str">
        <x:v>Not checked</x:v>
      </x:c>
      <x:c r="J662" s="22" t="str">
        <x:v>Saved bookmark metadata only</x:v>
      </x:c>
      <x:c r="K662" s="22" t="str"/>
      <x:c r="L662" s="24" t="str"/>
      <x:c r="M662" s="24" t="str">
        <x:v>https://www.bing.com/images</x:v>
      </x:c>
      <x:c r="N662" s="22" t="str">
        <x:v>268392283</x:v>
      </x:c>
      <x:c r="O662" s="22" t="n">
        <x:v>1032</x:v>
      </x:c>
      <x:c r="P662" s="22" t="n">
        <x:v>4</x:v>
      </x:c>
      <x:c r="Q662" s="22" t="str"/>
      <x:c r="R662" s="22" t="n">
        <x:f>COUNTIF($M$6:$M$1177,M662)</x:f>
        <x:v>1</x:v>
      </x:c>
      <x:c r="S662" s="22" t="str">
        <x:v>Other / utility</x:v>
      </x:c>
      <x:c r="T662" s="22" t="str">
        <x:v>Not established</x:v>
      </x:c>
    </x:row>
    <x:row r="663" ht="48" customHeight="1">
      <x:c r="A663" s="22" t="n">
        <x:v>658</x:v>
      </x:c>
      <x:c r="B663" s="22" t="str">
        <x:v>See it, search it</x:v>
      </x:c>
      <x:c r="C663" s="31" t="str">
        <x:v>U</x:v>
      </x:c>
      <x:c r="D663" s="22" t="str">
        <x:v>Unassessed</x:v>
      </x:c>
      <x:c r="E663" s="22" t="str">
        <x:v>IMAGE / VIDEO / AUDIO / MEDIA</x:v>
      </x:c>
      <x:c r="F663" s="22" t="str">
        <x:v>Media discovery / analysis</x:v>
      </x:c>
      <x:c r="G663" s="22" t="str">
        <x:v>Preserve the original media. Similarity, metadata and enhancement are not independent identity proof.</x:v>
      </x:c>
      <x:c r="H663" s="22" t="str">
        <x:v>Verify publisher, source and current function before reliance</x:v>
      </x:c>
      <x:c r="I663" s="22" t="str">
        <x:v>Not checked</x:v>
      </x:c>
      <x:c r="J663" s="22" t="str">
        <x:v>Saved bookmark metadata only</x:v>
      </x:c>
      <x:c r="K663" s="22" t="str"/>
      <x:c r="L663" s="24" t="str"/>
      <x:c r="M663" s="24" t="str">
        <x:v>https://www.bing.com/visualsearch</x:v>
      </x:c>
      <x:c r="N663" s="22" t="str">
        <x:v>297337787</x:v>
      </x:c>
      <x:c r="O663" s="22" t="n">
        <x:v>1032</x:v>
      </x:c>
      <x:c r="P663" s="22" t="n">
        <x:v>5</x:v>
      </x:c>
      <x:c r="Q663" s="22" t="str"/>
      <x:c r="R663" s="22" t="n">
        <x:f>COUNTIF($M$6:$M$1177,M663)</x:f>
        <x:v>1</x:v>
      </x:c>
      <x:c r="S663" s="22" t="str">
        <x:v>Other / utility</x:v>
      </x:c>
      <x:c r="T663" s="22" t="str">
        <x:v>Not established</x:v>
      </x:c>
    </x:row>
    <x:row r="664" ht="48" customHeight="1">
      <x:c r="A664" s="22" t="n">
        <x:v>659</x:v>
      </x:c>
      <x:c r="B664" s="22" t="str">
        <x:v>Images Search Engine</x:v>
      </x:c>
      <x:c r="C664" s="43" t="str">
        <x:v>C-P</x:v>
      </x:c>
      <x:c r="D664" s="22" t="str">
        <x:v>Provisional</x:v>
      </x:c>
      <x:c r="E664" s="22" t="str">
        <x:v>IMAGE / VIDEO / AUDIO / MEDIA</x:v>
      </x:c>
      <x:c r="F664" s="22" t="str">
        <x:v>Custom-search discovery only</x:v>
      </x:c>
      <x:c r="G664" s="22" t="str">
        <x:v>The saved URL identifies a custom search. This engine's configuration, coverage and query results were not tested.</x:v>
      </x:c>
      <x:c r="H664" s="22" t="str">
        <x:v>Open and verify the original result; do not count the search as corroboration</x:v>
      </x:c>
      <x:c r="I664" s="22" t="str">
        <x:v>Not checked</x:v>
      </x:c>
      <x:c r="J664" s="22" t="str">
        <x:v>Saved bookmark metadata only</x:v>
      </x:c>
      <x:c r="K664" s="22" t="str"/>
      <x:c r="L664" s="24" t="str"/>
      <x:c r="M664" s="24" t="str">
        <x:v>https://cse.google.com/cse?cx=281566d4e61dcc05d</x:v>
      </x:c>
      <x:c r="N664" s="22" t="str">
        <x:v>286819920</x:v>
      </x:c>
      <x:c r="O664" s="22" t="n">
        <x:v>1033</x:v>
      </x:c>
      <x:c r="P664" s="22" t="n">
        <x:v>6</x:v>
      </x:c>
      <x:c r="Q664" s="22" t="str"/>
      <x:c r="R664" s="22" t="n">
        <x:f>COUNTIF($M$6:$M$1177,M664)</x:f>
        <x:v>1</x:v>
      </x:c>
      <x:c r="S664" s="22" t="str">
        <x:v>Other / utility</x:v>
      </x:c>
      <x:c r="T664" s="22" t="str">
        <x:v>Low</x:v>
      </x:c>
    </x:row>
    <x:row r="665" ht="48" customHeight="1">
      <x:c r="A665" s="22" t="n">
        <x:v>660</x:v>
      </x:c>
      <x:c r="B665" s="22" t="str">
        <x:v>miniPaint</x:v>
      </x:c>
      <x:c r="C665" s="27" t="str">
        <x:v>N/A</x:v>
      </x:c>
      <x:c r="D665" s="22" t="str">
        <x:v>Utility classification</x:v>
      </x:c>
      <x:c r="E665" s="22" t="str">
        <x:v>IMAGE / VIDEO / AUDIO / MEDIA</x:v>
      </x:c>
      <x:c r="F665" s="22" t="str">
        <x:v>Media discovery / analysis</x:v>
      </x:c>
      <x:c r="G665" s="22" t="str">
        <x:v>Processing or reference utility, not independent connection evidence. Preserve original inputs and validate important output.</x:v>
      </x:c>
      <x:c r="H665" s="22" t="str">
        <x:v>Use as a utility only; functionality not audited</x:v>
      </x:c>
      <x:c r="I665" s="22" t="str">
        <x:v>Not checked</x:v>
      </x:c>
      <x:c r="J665" s="22" t="str">
        <x:v>Saved bookmark metadata only</x:v>
      </x:c>
      <x:c r="K665" s="22" t="str"/>
      <x:c r="L665" s="24" t="str"/>
      <x:c r="M665" s="24" t="str">
        <x:v>https://viliusle.github.io/miniPaint/</x:v>
      </x:c>
      <x:c r="N665" s="22" t="str">
        <x:v>268640703</x:v>
      </x:c>
      <x:c r="O665" s="22" t="n">
        <x:v>1033</x:v>
      </x:c>
      <x:c r="P665" s="22" t="n">
        <x:v>7</x:v>
      </x:c>
      <x:c r="Q665" s="22" t="str"/>
      <x:c r="R665" s="22" t="n">
        <x:f>COUNTIF($M$6:$M$1177,M665)</x:f>
        <x:v>1</x:v>
      </x:c>
      <x:c r="S665" s="22" t="str">
        <x:v>Other / utility</x:v>
      </x:c>
      <x:c r="T665" s="22" t="str">
        <x:v>Scope only</x:v>
      </x:c>
    </x:row>
    <x:row r="666" ht="54" customHeight="1">
      <x:c r="A666" s="22" t="n">
        <x:v>661</x:v>
      </x:c>
      <x:c r="B666" s="22" t="str">
        <x:v>PimEyes</x:v>
      </x:c>
      <x:c r="C666" s="39" t="str">
        <x:v>C</x:v>
      </x:c>
      <x:c r="D666" s="22" t="str">
        <x:v>Documented</x:v>
      </x:c>
      <x:c r="E666" s="22" t="str">
        <x:v>IMAGE / VIDEO / AUDIO / MEDIA</x:v>
      </x:c>
      <x:c r="F666" s="22" t="str">
        <x:v>Face-image discovery</x:v>
      </x:c>
      <x:c r="G666" s="22" t="str">
        <x:v>Provider disclaims identity verification and complete or consistent matching. Follow original image provenance; similarity alone is not identity.</x:v>
      </x:c>
      <x:c r="H666" s="22" t="str">
        <x:v>Treat as a possible image lead, not identity proof</x:v>
      </x:c>
      <x:c r="I666" s="22" t="str">
        <x:v>FAQ readable; no image uploaded</x:v>
      </x:c>
      <x:c r="J666" s="22" t="str">
        <x:v>Provider limitations</x:v>
      </x:c>
      <x:c r="K666" s="22" t="str">
        <x:v>S070</x:v>
      </x:c>
      <x:c r="L666" s="24" t="str">
        <x:v>https://pimeyes.com/en/faq</x:v>
      </x:c>
      <x:c r="M666" s="24" t="str">
        <x:v>https://pimeyes.com/en/</x:v>
      </x:c>
      <x:c r="N666" s="22" t="str">
        <x:v>268396782</x:v>
      </x:c>
      <x:c r="O666" s="22" t="n">
        <x:v>1033</x:v>
      </x:c>
      <x:c r="P666" s="22" t="n">
        <x:v>8</x:v>
      </x:c>
      <x:c r="Q666" s="22" t="str">
        <x:v>2026-09-15</x:v>
      </x:c>
      <x:c r="R666" s="22" t="n">
        <x:f>COUNTIF($M$6:$M$1177,M666)</x:f>
        <x:v>1</x:v>
      </x:c>
      <x:c r="S666" s="22" t="str">
        <x:v>Contacts / records</x:v>
      </x:c>
      <x:c r="T666" s="22" t="str">
        <x:v>Scoped desk assessment</x:v>
      </x:c>
    </x:row>
    <x:row r="667" ht="54" customHeight="1">
      <x:c r="A667" s="22" t="n">
        <x:v>662</x:v>
      </x:c>
      <x:c r="B667" s="22" t="str">
        <x:v>TinEye</x:v>
      </x:c>
      <x:c r="C667" s="35" t="str">
        <x:v>B</x:v>
      </x:c>
      <x:c r="D667" s="22" t="str">
        <x:v>Documented</x:v>
      </x:c>
      <x:c r="E667" s="22" t="str">
        <x:v>IMAGE / VIDEO / AUDIO / MEDIA</x:v>
      </x:c>
      <x:c r="F667" s="22" t="str">
        <x:v>Reused-image discovery</x:v>
      </x:c>
      <x:c r="G667" s="22" t="str">
        <x:v>Searches image occurrences, not facial identity. Confirm the linked image and capture date; a matching image does not establish who uploaded it.</x:v>
      </x:c>
      <x:c r="H667" s="22" t="str">
        <x:v>Corroborate before attribution</x:v>
      </x:c>
      <x:c r="I667" s="22" t="str">
        <x:v>Help readable; no image uploaded</x:v>
      </x:c>
      <x:c r="J667" s="22" t="str">
        <x:v>Provider technical documentation</x:v>
      </x:c>
      <x:c r="K667" s="22" t="str">
        <x:v>S071</x:v>
      </x:c>
      <x:c r="L667" s="24" t="str">
        <x:v>https://help.tineye.com/article/235-can-tineye-find-similar-images-does-tineye-do-facial-recognition</x:v>
      </x:c>
      <x:c r="M667" s="24" t="str">
        <x:v>https://tineye.com/</x:v>
      </x:c>
      <x:c r="N667" s="22" t="str">
        <x:v>268392166</x:v>
      </x:c>
      <x:c r="O667" s="22" t="n">
        <x:v>1033</x:v>
      </x:c>
      <x:c r="P667" s="22" t="n">
        <x:v>9</x:v>
      </x:c>
      <x:c r="Q667" s="22" t="str">
        <x:v>2026-09-15</x:v>
      </x:c>
      <x:c r="R667" s="22" t="n">
        <x:f>COUNTIF($M$6:$M$1177,M667)</x:f>
        <x:v>1</x:v>
      </x:c>
      <x:c r="S667" s="22" t="str">
        <x:v>Contacts / records</x:v>
      </x:c>
      <x:c r="T667" s="22" t="str">
        <x:v>Scoped desk assessment</x:v>
      </x:c>
    </x:row>
    <x:row r="668" ht="48" customHeight="1">
      <x:c r="A668" s="22" t="n">
        <x:v>663</x:v>
      </x:c>
      <x:c r="B668" s="22" t="str">
        <x:v>Findclone</x:v>
      </x:c>
      <x:c r="C668" s="31" t="str">
        <x:v>U</x:v>
      </x:c>
      <x:c r="D668" s="22" t="str">
        <x:v>Unassessed</x:v>
      </x:c>
      <x:c r="E668" s="22" t="str">
        <x:v>IMAGE / VIDEO / AUDIO / MEDIA</x:v>
      </x:c>
      <x:c r="F668" s="22" t="str">
        <x:v>Media discovery / analysis</x:v>
      </x:c>
      <x:c r="G668" s="22" t="str">
        <x:v>Preserve the original media. Similarity, metadata and enhancement are not independent identity proof.</x:v>
      </x:c>
      <x:c r="H668" s="22" t="str">
        <x:v>Verify publisher, source and current function before reliance</x:v>
      </x:c>
      <x:c r="I668" s="22" t="str">
        <x:v>Not checked</x:v>
      </x:c>
      <x:c r="J668" s="22" t="str">
        <x:v>Saved bookmark metadata only</x:v>
      </x:c>
      <x:c r="K668" s="22" t="str"/>
      <x:c r="L668" s="24" t="str"/>
      <x:c r="M668" s="24" t="str">
        <x:v>https://findclone.ru/</x:v>
      </x:c>
      <x:c r="N668" s="22" t="str">
        <x:v>268392296</x:v>
      </x:c>
      <x:c r="O668" s="22" t="n">
        <x:v>1033</x:v>
      </x:c>
      <x:c r="P668" s="22" t="n">
        <x:v>10</x:v>
      </x:c>
      <x:c r="Q668" s="22" t="str"/>
      <x:c r="R668" s="22" t="n">
        <x:f>COUNTIF($M$6:$M$1177,M668)</x:f>
        <x:v>1</x:v>
      </x:c>
      <x:c r="S668" s="22" t="str">
        <x:v>Other / utility</x:v>
      </x:c>
      <x:c r="T668" s="22" t="str">
        <x:v>Not established</x:v>
      </x:c>
    </x:row>
    <x:row r="669" ht="48" customHeight="1">
      <x:c r="A669" s="22" t="n">
        <x:v>664</x:v>
      </x:c>
      <x:c r="B669" s="22" t="str">
        <x:v>Tools</x:v>
      </x:c>
      <x:c r="C669" s="39" t="str">
        <x:v>C</x:v>
      </x:c>
      <x:c r="D669" s="22" t="str">
        <x:v>Documented</x:v>
      </x:c>
      <x:c r="E669" s="22" t="str">
        <x:v>IMAGE / VIDEO / AUDIO / MEDIA</x:v>
      </x:c>
      <x:c r="F669" s="22" t="str">
        <x:v>Third-party search launcher</x:v>
      </x:c>
      <x:c r="G669" s="22" t="str">
        <x:v>Routes searches to other services and disclaims their results. Multiple routed results are not automatically independent evidence.</x:v>
      </x:c>
      <x:c r="H669" s="22" t="str">
        <x:v>Corroborate before attribution</x:v>
      </x:c>
      <x:c r="I669" s="22" t="str">
        <x:v>Content readable; lookup not tested</x:v>
      </x:c>
      <x:c r="J669" s="22" t="str">
        <x:v>Provider documentation</x:v>
      </x:c>
      <x:c r="K669" s="22" t="str">
        <x:v>S003</x:v>
      </x:c>
      <x:c r="L669" s="24" t="str">
        <x:v>https://intelx.io/tools</x:v>
      </x:c>
      <x:c r="M669" s="24" t="str">
        <x:v>https://intelx.io/tools?tab=image</x:v>
      </x:c>
      <x:c r="N669" s="22" t="str">
        <x:v>311647342</x:v>
      </x:c>
      <x:c r="O669" s="22" t="n">
        <x:v>1033</x:v>
      </x:c>
      <x:c r="P669" s="22" t="n">
        <x:v>11</x:v>
      </x:c>
      <x:c r="Q669" s="22" t="str">
        <x:v>2026-09-15</x:v>
      </x:c>
      <x:c r="R669" s="22" t="n">
        <x:f>COUNTIF($M$6:$M$1177,M669)</x:f>
        <x:v>1</x:v>
      </x:c>
      <x:c r="S669" s="22" t="str">
        <x:v>Other / utility</x:v>
      </x:c>
      <x:c r="T669" s="22" t="str">
        <x:v>Scoped desk assessment</x:v>
      </x:c>
    </x:row>
    <x:row r="670" ht="48" customHeight="1">
      <x:c r="A670" s="22" t="n">
        <x:v>665</x:v>
      </x:c>
      <x:c r="B670" s="22" t="str">
        <x:v>Image Raider</x:v>
      </x:c>
      <x:c r="C670" s="31" t="str">
        <x:v>U</x:v>
      </x:c>
      <x:c r="D670" s="22" t="str">
        <x:v>Unassessed</x:v>
      </x:c>
      <x:c r="E670" s="22" t="str">
        <x:v>IMAGE / VIDEO / AUDIO / MEDIA</x:v>
      </x:c>
      <x:c r="F670" s="22" t="str">
        <x:v>Media discovery / analysis</x:v>
      </x:c>
      <x:c r="G670" s="22" t="str">
        <x:v>Preserve the original media. Similarity, metadata and enhancement are not independent identity proof.</x:v>
      </x:c>
      <x:c r="H670" s="22" t="str">
        <x:v>Verify publisher, source and current function before reliance</x:v>
      </x:c>
      <x:c r="I670" s="22" t="str">
        <x:v>Not checked</x:v>
      </x:c>
      <x:c r="J670" s="22" t="str">
        <x:v>Saved bookmark metadata only</x:v>
      </x:c>
      <x:c r="K670" s="22" t="str"/>
      <x:c r="L670" s="24" t="str"/>
      <x:c r="M670" s="24" t="str">
        <x:v>https://infringement.report/api/raider-reverse-image-search/</x:v>
      </x:c>
      <x:c r="N670" s="22" t="str">
        <x:v>287036796</x:v>
      </x:c>
      <x:c r="O670" s="22" t="n">
        <x:v>1033</x:v>
      </x:c>
      <x:c r="P670" s="22" t="n">
        <x:v>12</x:v>
      </x:c>
      <x:c r="Q670" s="22" t="str"/>
      <x:c r="R670" s="22" t="n">
        <x:f>COUNTIF($M$6:$M$1177,M670)</x:f>
        <x:v>1</x:v>
      </x:c>
      <x:c r="S670" s="22" t="str">
        <x:v>Other / utility</x:v>
      </x:c>
      <x:c r="T670" s="22" t="str">
        <x:v>Not established</x:v>
      </x:c>
    </x:row>
    <x:row r="671" ht="48" customHeight="1">
      <x:c r="A671" s="22" t="n">
        <x:v>666</x:v>
      </x:c>
      <x:c r="B671" s="22" t="str">
        <x:v>same.energy</x:v>
      </x:c>
      <x:c r="C671" s="31" t="str">
        <x:v>U</x:v>
      </x:c>
      <x:c r="D671" s="22" t="str">
        <x:v>Unassessed</x:v>
      </x:c>
      <x:c r="E671" s="22" t="str">
        <x:v>IMAGE / VIDEO / AUDIO / MEDIA</x:v>
      </x:c>
      <x:c r="F671" s="22" t="str">
        <x:v>Media discovery / analysis</x:v>
      </x:c>
      <x:c r="G671" s="22" t="str">
        <x:v>Preserve the original media. Similarity, metadata and enhancement are not independent identity proof.</x:v>
      </x:c>
      <x:c r="H671" s="22" t="str">
        <x:v>Verify publisher, source and current function before reliance</x:v>
      </x:c>
      <x:c r="I671" s="22" t="str">
        <x:v>Not checked</x:v>
      </x:c>
      <x:c r="J671" s="22" t="str">
        <x:v>Saved bookmark metadata only</x:v>
      </x:c>
      <x:c r="K671" s="22" t="str"/>
      <x:c r="L671" s="24" t="str"/>
      <x:c r="M671" s="24" t="str">
        <x:v>https://same.energy/</x:v>
      </x:c>
      <x:c r="N671" s="22" t="str">
        <x:v>286823359</x:v>
      </x:c>
      <x:c r="O671" s="22" t="n">
        <x:v>1033</x:v>
      </x:c>
      <x:c r="P671" s="22" t="n">
        <x:v>13</x:v>
      </x:c>
      <x:c r="Q671" s="22" t="str"/>
      <x:c r="R671" s="22" t="n">
        <x:f>COUNTIF($M$6:$M$1177,M671)</x:f>
        <x:v>1</x:v>
      </x:c>
      <x:c r="S671" s="22" t="str">
        <x:v>Other / utility</x:v>
      </x:c>
      <x:c r="T671" s="22" t="str">
        <x:v>Not established</x:v>
      </x:c>
    </x:row>
    <x:row r="672" ht="48" customHeight="1">
      <x:c r="A672" s="22" t="n">
        <x:v>667</x:v>
      </x:c>
      <x:c r="B672" s="22" t="str">
        <x:v>Baidu</x:v>
      </x:c>
      <x:c r="C672" s="31" t="str">
        <x:v>U</x:v>
      </x:c>
      <x:c r="D672" s="22" t="str">
        <x:v>Unassessed</x:v>
      </x:c>
      <x:c r="E672" s="22" t="str">
        <x:v>IMAGE / VIDEO / AUDIO / MEDIA</x:v>
      </x:c>
      <x:c r="F672" s="22" t="str">
        <x:v>Media discovery / analysis</x:v>
      </x:c>
      <x:c r="G672" s="22" t="str">
        <x:v>Preserve the original media. Similarity, metadata and enhancement are not independent identity proof.</x:v>
      </x:c>
      <x:c r="H672" s="22" t="str">
        <x:v>Verify publisher, source and current function before reliance</x:v>
      </x:c>
      <x:c r="I672" s="22" t="str">
        <x:v>Not checked</x:v>
      </x:c>
      <x:c r="J672" s="22" t="str">
        <x:v>Saved bookmark metadata only</x:v>
      </x:c>
      <x:c r="K672" s="22" t="str"/>
      <x:c r="L672" s="24" t="str"/>
      <x:c r="M672" s="24" t="str">
        <x:v>https://image.baidu.com/</x:v>
      </x:c>
      <x:c r="N672" s="22" t="str">
        <x:v>268392293</x:v>
      </x:c>
      <x:c r="O672" s="22" t="n">
        <x:v>1033</x:v>
      </x:c>
      <x:c r="P672" s="22" t="n">
        <x:v>14</x:v>
      </x:c>
      <x:c r="Q672" s="22" t="str"/>
      <x:c r="R672" s="22" t="n">
        <x:f>COUNTIF($M$6:$M$1177,M672)</x:f>
        <x:v>1</x:v>
      </x:c>
      <x:c r="S672" s="22" t="str">
        <x:v>Other / utility</x:v>
      </x:c>
      <x:c r="T672" s="22" t="str">
        <x:v>Not established</x:v>
      </x:c>
    </x:row>
    <x:row r="673" ht="48" customHeight="1">
      <x:c r="A673" s="22" t="n">
        <x:v>668</x:v>
      </x:c>
      <x:c r="B673" s="22" t="str">
        <x:v>Peteyvid.com</x:v>
      </x:c>
      <x:c r="C673" s="31" t="str">
        <x:v>U</x:v>
      </x:c>
      <x:c r="D673" s="22" t="str">
        <x:v>Unassessed</x:v>
      </x:c>
      <x:c r="E673" s="22" t="str">
        <x:v>IMAGE / VIDEO / AUDIO / MEDIA</x:v>
      </x:c>
      <x:c r="F673" s="22" t="str">
        <x:v>Media discovery / analysis</x:v>
      </x:c>
      <x:c r="G673" s="22" t="str">
        <x:v>Preserve the original media. Similarity, metadata and enhancement are not independent identity proof.</x:v>
      </x:c>
      <x:c r="H673" s="22" t="str">
        <x:v>Verify publisher, source and current function before reliance</x:v>
      </x:c>
      <x:c r="I673" s="22" t="str">
        <x:v>Not checked</x:v>
      </x:c>
      <x:c r="J673" s="22" t="str">
        <x:v>Saved bookmark metadata only</x:v>
      </x:c>
      <x:c r="K673" s="22" t="str"/>
      <x:c r="L673" s="24" t="str"/>
      <x:c r="M673" s="24" t="str">
        <x:v>https://www.peteyvid.com/</x:v>
      </x:c>
      <x:c r="N673" s="22" t="str">
        <x:v>286643410</x:v>
      </x:c>
      <x:c r="O673" s="22" t="n">
        <x:v>1033</x:v>
      </x:c>
      <x:c r="P673" s="22" t="n">
        <x:v>15</x:v>
      </x:c>
      <x:c r="Q673" s="22" t="str"/>
      <x:c r="R673" s="22" t="n">
        <x:f>COUNTIF($M$6:$M$1177,M673)</x:f>
        <x:v>1</x:v>
      </x:c>
      <x:c r="S673" s="22" t="str">
        <x:v>Other / utility</x:v>
      </x:c>
      <x:c r="T673" s="22" t="str">
        <x:v>Not established</x:v>
      </x:c>
    </x:row>
    <x:row r="674" ht="48" customHeight="1">
      <x:c r="A674" s="22" t="n">
        <x:v>669</x:v>
      </x:c>
      <x:c r="B674" s="22" t="str">
        <x:v>Free Music Search</x:v>
      </x:c>
      <x:c r="C674" s="31" t="str">
        <x:v>U</x:v>
      </x:c>
      <x:c r="D674" s="22" t="str">
        <x:v>Unassessed</x:v>
      </x:c>
      <x:c r="E674" s="22" t="str">
        <x:v>IMAGE / VIDEO / AUDIO / MEDIA</x:v>
      </x:c>
      <x:c r="F674" s="22" t="str">
        <x:v>Media discovery / analysis</x:v>
      </x:c>
      <x:c r="G674" s="22" t="str">
        <x:v>Preserve the original media. Similarity, metadata and enhancement are not independent identity proof.</x:v>
      </x:c>
      <x:c r="H674" s="22" t="str">
        <x:v>Verify publisher, source and current function before reliance</x:v>
      </x:c>
      <x:c r="I674" s="22" t="str">
        <x:v>Not checked</x:v>
      </x:c>
      <x:c r="J674" s="22" t="str">
        <x:v>Saved bookmark metadata only</x:v>
      </x:c>
      <x:c r="K674" s="22" t="str"/>
      <x:c r="L674" s="24" t="str"/>
      <x:c r="M674" s="24" t="str">
        <x:v>http://musgle.com/</x:v>
      </x:c>
      <x:c r="N674" s="22" t="str">
        <x:v>297340823</x:v>
      </x:c>
      <x:c r="O674" s="22" t="n">
        <x:v>1033</x:v>
      </x:c>
      <x:c r="P674" s="22" t="n">
        <x:v>16</x:v>
      </x:c>
      <x:c r="Q674" s="22" t="str"/>
      <x:c r="R674" s="22" t="n">
        <x:f>COUNTIF($M$6:$M$1177,M674)</x:f>
        <x:v>1</x:v>
      </x:c>
      <x:c r="S674" s="22" t="str">
        <x:v>Other / utility</x:v>
      </x:c>
      <x:c r="T674" s="22" t="str">
        <x:v>Not established</x:v>
      </x:c>
    </x:row>
    <x:row r="675" ht="48" customHeight="1">
      <x:c r="A675" s="22" t="n">
        <x:v>670</x:v>
      </x:c>
      <x:c r="B675" s="22" t="str">
        <x:v>Yahoo Image Search</x:v>
      </x:c>
      <x:c r="C675" s="31" t="str">
        <x:v>U</x:v>
      </x:c>
      <x:c r="D675" s="22" t="str">
        <x:v>Unassessed</x:v>
      </x:c>
      <x:c r="E675" s="22" t="str">
        <x:v>IMAGE / VIDEO / AUDIO / MEDIA</x:v>
      </x:c>
      <x:c r="F675" s="22" t="str">
        <x:v>Media discovery / analysis</x:v>
      </x:c>
      <x:c r="G675" s="22" t="str">
        <x:v>Preserve the original media. Similarity, metadata and enhancement are not independent identity proof.</x:v>
      </x:c>
      <x:c r="H675" s="22" t="str">
        <x:v>Verify publisher, source and current function before reliance</x:v>
      </x:c>
      <x:c r="I675" s="22" t="str">
        <x:v>Not checked</x:v>
      </x:c>
      <x:c r="J675" s="22" t="str">
        <x:v>Saved bookmark metadata only</x:v>
      </x:c>
      <x:c r="K675" s="22" t="str"/>
      <x:c r="L675" s="24" t="str"/>
      <x:c r="M675" s="24" t="str">
        <x:v>https://images.search.yahoo.com/images</x:v>
      </x:c>
      <x:c r="N675" s="22" t="str">
        <x:v>287036742</x:v>
      </x:c>
      <x:c r="O675" s="22" t="n">
        <x:v>1033</x:v>
      </x:c>
      <x:c r="P675" s="22" t="n">
        <x:v>17</x:v>
      </x:c>
      <x:c r="Q675" s="22" t="str"/>
      <x:c r="R675" s="22" t="n">
        <x:f>COUNTIF($M$6:$M$1177,M675)</x:f>
        <x:v>1</x:v>
      </x:c>
      <x:c r="S675" s="22" t="str">
        <x:v>Other / utility</x:v>
      </x:c>
      <x:c r="T675" s="22" t="str">
        <x:v>Not established</x:v>
      </x:c>
    </x:row>
    <x:row r="676" ht="48" customHeight="1">
      <x:c r="A676" s="22" t="n">
        <x:v>671</x:v>
      </x:c>
      <x:c r="B676" s="22" t="str">
        <x:v>Photo Album Finder</x:v>
      </x:c>
      <x:c r="C676" s="43" t="str">
        <x:v>C-P</x:v>
      </x:c>
      <x:c r="D676" s="22" t="str">
        <x:v>Provisional</x:v>
      </x:c>
      <x:c r="E676" s="22" t="str">
        <x:v>IMAGE / VIDEO / AUDIO / MEDIA</x:v>
      </x:c>
      <x:c r="F676" s="22" t="str">
        <x:v>Custom-search discovery only</x:v>
      </x:c>
      <x:c r="G676" s="22" t="str">
        <x:v>The saved URL identifies a custom search. This engine's configuration, coverage and query results were not tested.</x:v>
      </x:c>
      <x:c r="H676" s="22" t="str">
        <x:v>Open and verify the original result; do not count the search as corroboration</x:v>
      </x:c>
      <x:c r="I676" s="22" t="str">
        <x:v>Not checked</x:v>
      </x:c>
      <x:c r="J676" s="22" t="str">
        <x:v>Saved bookmark metadata only</x:v>
      </x:c>
      <x:c r="K676" s="22" t="str"/>
      <x:c r="L676" s="24" t="str"/>
      <x:c r="M676" s="24" t="str">
        <x:v>https://cse.google.com/cse/publicurl?cx=013991603413798772546:bldnx392j6u</x:v>
      </x:c>
      <x:c r="N676" s="22" t="str">
        <x:v>290065672</x:v>
      </x:c>
      <x:c r="O676" s="22" t="n">
        <x:v>1033</x:v>
      </x:c>
      <x:c r="P676" s="22" t="n">
        <x:v>18</x:v>
      </x:c>
      <x:c r="Q676" s="22" t="str"/>
      <x:c r="R676" s="22" t="n">
        <x:f>COUNTIF($M$6:$M$1177,M676)</x:f>
        <x:v>1</x:v>
      </x:c>
      <x:c r="S676" s="22" t="str">
        <x:v>Other / utility</x:v>
      </x:c>
      <x:c r="T676" s="22" t="str">
        <x:v>Low</x:v>
      </x:c>
    </x:row>
    <x:row r="677" ht="48" customHeight="1">
      <x:c r="A677" s="22" t="n">
        <x:v>672</x:v>
      </x:c>
      <x:c r="B677" s="22" t="str">
        <x:v>Search for Music Using Your Voice</x:v>
      </x:c>
      <x:c r="C677" s="27" t="str">
        <x:v>N/A</x:v>
      </x:c>
      <x:c r="D677" s="22" t="str">
        <x:v>Utility classification</x:v>
      </x:c>
      <x:c r="E677" s="22" t="str">
        <x:v>IMAGE / VIDEO / AUDIO / MEDIA</x:v>
      </x:c>
      <x:c r="F677" s="22" t="str">
        <x:v>Media discovery / analysis</x:v>
      </x:c>
      <x:c r="G677" s="22" t="str">
        <x:v>Processing or reference utility, not independent connection evidence. Preserve original inputs and validate important output.</x:v>
      </x:c>
      <x:c r="H677" s="22" t="str">
        <x:v>Use as a utility only; functionality not audited</x:v>
      </x:c>
      <x:c r="I677" s="22" t="str">
        <x:v>Not checked</x:v>
      </x:c>
      <x:c r="J677" s="22" t="str">
        <x:v>Saved bookmark metadata only</x:v>
      </x:c>
      <x:c r="K677" s="22" t="str"/>
      <x:c r="L677" s="24" t="str"/>
      <x:c r="M677" s="24" t="str">
        <x:v>https://www.midomi.com/</x:v>
      </x:c>
      <x:c r="N677" s="22" t="str">
        <x:v>286994355</x:v>
      </x:c>
      <x:c r="O677" s="22" t="n">
        <x:v>1033</x:v>
      </x:c>
      <x:c r="P677" s="22" t="n">
        <x:v>19</x:v>
      </x:c>
      <x:c r="Q677" s="22" t="str"/>
      <x:c r="R677" s="22" t="n">
        <x:f>COUNTIF($M$6:$M$1177,M677)</x:f>
        <x:v>1</x:v>
      </x:c>
      <x:c r="S677" s="22" t="str">
        <x:v>Other / utility</x:v>
      </x:c>
      <x:c r="T677" s="22" t="str">
        <x:v>Scope only</x:v>
      </x:c>
    </x:row>
    <x:row r="678" ht="48" customHeight="1">
      <x:c r="A678" s="22" t="n">
        <x:v>673</x:v>
      </x:c>
      <x:c r="B678" s="22" t="str">
        <x:v>MyHeritage Photo Enhancer</x:v>
      </x:c>
      <x:c r="C678" s="27" t="str">
        <x:v>N/A</x:v>
      </x:c>
      <x:c r="D678" s="22" t="str">
        <x:v>Utility classification</x:v>
      </x:c>
      <x:c r="E678" s="22" t="str">
        <x:v>IMAGE / VIDEO / AUDIO / MEDIA</x:v>
      </x:c>
      <x:c r="F678" s="22" t="str">
        <x:v>Media discovery / analysis</x:v>
      </x:c>
      <x:c r="G678" s="22" t="str">
        <x:v>Processing or reference utility, not independent connection evidence. Preserve original inputs and validate important output.</x:v>
      </x:c>
      <x:c r="H678" s="22" t="str">
        <x:v>Use as a utility only; functionality not audited</x:v>
      </x:c>
      <x:c r="I678" s="22" t="str">
        <x:v>Not checked</x:v>
      </x:c>
      <x:c r="J678" s="22" t="str">
        <x:v>Saved bookmark metadata only</x:v>
      </x:c>
      <x:c r="K678" s="22" t="str"/>
      <x:c r="L678" s="24" t="str"/>
      <x:c r="M678" s="24" t="str">
        <x:v>https://www.myheritage.com/photo-enhancer</x:v>
      </x:c>
      <x:c r="N678" s="22" t="str">
        <x:v>268392478</x:v>
      </x:c>
      <x:c r="O678" s="22" t="n">
        <x:v>1033</x:v>
      </x:c>
      <x:c r="P678" s="22" t="n">
        <x:v>20</x:v>
      </x:c>
      <x:c r="Q678" s="22" t="str"/>
      <x:c r="R678" s="22" t="n">
        <x:f>COUNTIF($M$6:$M$1177,M678)</x:f>
        <x:v>1</x:v>
      </x:c>
      <x:c r="S678" s="22" t="str">
        <x:v>Other / utility</x:v>
      </x:c>
      <x:c r="T678" s="22" t="str">
        <x:v>Scope only</x:v>
      </x:c>
    </x:row>
    <x:row r="679" ht="48" customHeight="1">
      <x:c r="A679" s="22" t="n">
        <x:v>674</x:v>
      </x:c>
      <x:c r="B679" s="22" t="str">
        <x:v>Neural network image super-resolution and enhancement</x:v>
      </x:c>
      <x:c r="C679" s="27" t="str">
        <x:v>N/A</x:v>
      </x:c>
      <x:c r="D679" s="22" t="str">
        <x:v>Utility classification</x:v>
      </x:c>
      <x:c r="E679" s="22" t="str">
        <x:v>IMAGE / VIDEO / AUDIO / MEDIA</x:v>
      </x:c>
      <x:c r="F679" s="22" t="str">
        <x:v>Media discovery / analysis</x:v>
      </x:c>
      <x:c r="G679" s="22" t="str">
        <x:v>Processing or reference utility, not independent connection evidence. Preserve original inputs and validate important output.</x:v>
      </x:c>
      <x:c r="H679" s="22" t="str">
        <x:v>Use as a utility only; functionality not audited</x:v>
      </x:c>
      <x:c r="I679" s="22" t="str">
        <x:v>Not checked</x:v>
      </x:c>
      <x:c r="J679" s="22" t="str">
        <x:v>Saved bookmark metadata only</x:v>
      </x:c>
      <x:c r="K679" s="22" t="str"/>
      <x:c r="L679" s="24" t="str"/>
      <x:c r="M679" s="24" t="str">
        <x:v>https://letsenhance.io/</x:v>
      </x:c>
      <x:c r="N679" s="22" t="str">
        <x:v>268401881</x:v>
      </x:c>
      <x:c r="O679" s="22" t="n">
        <x:v>1034</x:v>
      </x:c>
      <x:c r="P679" s="22" t="n">
        <x:v>21</x:v>
      </x:c>
      <x:c r="Q679" s="22" t="str"/>
      <x:c r="R679" s="22" t="n">
        <x:f>COUNTIF($M$6:$M$1177,M679)</x:f>
        <x:v>1</x:v>
      </x:c>
      <x:c r="S679" s="22" t="str">
        <x:v>Other / utility</x:v>
      </x:c>
      <x:c r="T679" s="22" t="str">
        <x:v>Scope only</x:v>
      </x:c>
    </x:row>
    <x:row r="680" ht="48" customHeight="1">
      <x:c r="A680" s="22" t="n">
        <x:v>675</x:v>
      </x:c>
      <x:c r="B680" s="22" t="str">
        <x:v>SVG Editor</x:v>
      </x:c>
      <x:c r="C680" s="27" t="str">
        <x:v>N/A</x:v>
      </x:c>
      <x:c r="D680" s="22" t="str">
        <x:v>Utility classification</x:v>
      </x:c>
      <x:c r="E680" s="22" t="str">
        <x:v>IMAGE / VIDEO / AUDIO / MEDIA</x:v>
      </x:c>
      <x:c r="F680" s="22" t="str">
        <x:v>Media discovery / analysis</x:v>
      </x:c>
      <x:c r="G680" s="22" t="str">
        <x:v>Processing or reference utility, not independent connection evidence. Preserve original inputs and validate important output.</x:v>
      </x:c>
      <x:c r="H680" s="22" t="str">
        <x:v>Use as a utility only; functionality not audited</x:v>
      </x:c>
      <x:c r="I680" s="22" t="str">
        <x:v>Not checked</x:v>
      </x:c>
      <x:c r="J680" s="22" t="str">
        <x:v>Saved bookmark metadata only</x:v>
      </x:c>
      <x:c r="K680" s="22" t="str"/>
      <x:c r="L680" s="24" t="str"/>
      <x:c r="M680" s="24" t="str">
        <x:v>https://svg-edit.github.io/svgedit/</x:v>
      </x:c>
      <x:c r="N680" s="22" t="str">
        <x:v>286014032</x:v>
      </x:c>
      <x:c r="O680" s="22" t="n">
        <x:v>1034</x:v>
      </x:c>
      <x:c r="P680" s="22" t="n">
        <x:v>22</x:v>
      </x:c>
      <x:c r="Q680" s="22" t="str"/>
      <x:c r="R680" s="22" t="n">
        <x:f>COUNTIF($M$6:$M$1177,M680)</x:f>
        <x:v>1</x:v>
      </x:c>
      <x:c r="S680" s="22" t="str">
        <x:v>Other / utility</x:v>
      </x:c>
      <x:c r="T680" s="22" t="str">
        <x:v>Scope only</x:v>
      </x:c>
    </x:row>
    <x:row r="681" ht="48" customHeight="1">
      <x:c r="A681" s="22" t="n">
        <x:v>676</x:v>
      </x:c>
      <x:c r="B681" s="22" t="str">
        <x:v>Pixsy</x:v>
      </x:c>
      <x:c r="C681" s="31" t="str">
        <x:v>U</x:v>
      </x:c>
      <x:c r="D681" s="22" t="str">
        <x:v>Unassessed</x:v>
      </x:c>
      <x:c r="E681" s="22" t="str">
        <x:v>IMAGE / VIDEO / AUDIO / MEDIA</x:v>
      </x:c>
      <x:c r="F681" s="22" t="str">
        <x:v>Media discovery / analysis</x:v>
      </x:c>
      <x:c r="G681" s="22" t="str">
        <x:v>Preserve the original media. Similarity, metadata and enhancement are not independent identity proof.</x:v>
      </x:c>
      <x:c r="H681" s="22" t="str">
        <x:v>Verify publisher, source and current function before reliance</x:v>
      </x:c>
      <x:c r="I681" s="22" t="str">
        <x:v>Not checked</x:v>
      </x:c>
      <x:c r="J681" s="22" t="str">
        <x:v>Saved bookmark metadata only</x:v>
      </x:c>
      <x:c r="K681" s="22" t="str"/>
      <x:c r="L681" s="24" t="str"/>
      <x:c r="M681" s="24" t="str">
        <x:v>https://www.pixsy.com/</x:v>
      </x:c>
      <x:c r="N681" s="22" t="str">
        <x:v>287036748</x:v>
      </x:c>
      <x:c r="O681" s="22" t="n">
        <x:v>1034</x:v>
      </x:c>
      <x:c r="P681" s="22" t="n">
        <x:v>23</x:v>
      </x:c>
      <x:c r="Q681" s="22" t="str"/>
      <x:c r="R681" s="22" t="n">
        <x:f>COUNTIF($M$6:$M$1177,M681)</x:f>
        <x:v>1</x:v>
      </x:c>
      <x:c r="S681" s="22" t="str">
        <x:v>Other / utility</x:v>
      </x:c>
      <x:c r="T681" s="22" t="str">
        <x:v>Not established</x:v>
      </x:c>
    </x:row>
    <x:row r="682" ht="48" customHeight="1">
      <x:c r="A682" s="22" t="n">
        <x:v>677</x:v>
      </x:c>
      <x:c r="B682" s="22" t="str">
        <x:v>FotoForensics</x:v>
      </x:c>
      <x:c r="C682" s="31" t="str">
        <x:v>U</x:v>
      </x:c>
      <x:c r="D682" s="22" t="str">
        <x:v>Unassessed</x:v>
      </x:c>
      <x:c r="E682" s="22" t="str">
        <x:v>IMAGE / VIDEO / AUDIO / MEDIA</x:v>
      </x:c>
      <x:c r="F682" s="22" t="str">
        <x:v>Media discovery / analysis</x:v>
      </x:c>
      <x:c r="G682" s="22" t="str">
        <x:v>Preserve the original media. Similarity, metadata and enhancement are not independent identity proof.</x:v>
      </x:c>
      <x:c r="H682" s="22" t="str">
        <x:v>Verify publisher, source and current function before reliance</x:v>
      </x:c>
      <x:c r="I682" s="22" t="str">
        <x:v>Not checked</x:v>
      </x:c>
      <x:c r="J682" s="22" t="str">
        <x:v>Saved bookmark metadata only</x:v>
      </x:c>
      <x:c r="K682" s="22" t="str"/>
      <x:c r="L682" s="24" t="str"/>
      <x:c r="M682" s="24" t="str">
        <x:v>https://fotoforensics.com/</x:v>
      </x:c>
      <x:c r="N682" s="22" t="str">
        <x:v>268402651</x:v>
      </x:c>
      <x:c r="O682" s="22" t="n">
        <x:v>1034</x:v>
      </x:c>
      <x:c r="P682" s="22" t="n">
        <x:v>24</x:v>
      </x:c>
      <x:c r="Q682" s="22" t="str"/>
      <x:c r="R682" s="22" t="n">
        <x:f>COUNTIF($M$6:$M$1177,M682)</x:f>
        <x:v>1</x:v>
      </x:c>
      <x:c r="S682" s="22" t="str">
        <x:v>Other / utility</x:v>
      </x:c>
      <x:c r="T682" s="22" t="str">
        <x:v>Not established</x:v>
      </x:c>
    </x:row>
    <x:row r="683" ht="48" customHeight="1">
      <x:c r="A683" s="22" t="n">
        <x:v>678</x:v>
      </x:c>
      <x:c r="B683" s="22" t="str">
        <x:v>Listen Notes</x:v>
      </x:c>
      <x:c r="C683" s="31" t="str">
        <x:v>U</x:v>
      </x:c>
      <x:c r="D683" s="22" t="str">
        <x:v>Unassessed</x:v>
      </x:c>
      <x:c r="E683" s="22" t="str">
        <x:v>IMAGE / VIDEO / AUDIO / MEDIA</x:v>
      </x:c>
      <x:c r="F683" s="22" t="str">
        <x:v>Media discovery / analysis</x:v>
      </x:c>
      <x:c r="G683" s="22" t="str">
        <x:v>Preserve the original media. Similarity, metadata and enhancement are not independent identity proof.</x:v>
      </x:c>
      <x:c r="H683" s="22" t="str">
        <x:v>Verify publisher, source and current function before reliance</x:v>
      </x:c>
      <x:c r="I683" s="22" t="str">
        <x:v>Not checked</x:v>
      </x:c>
      <x:c r="J683" s="22" t="str">
        <x:v>Saved bookmark metadata only</x:v>
      </x:c>
      <x:c r="K683" s="22" t="str"/>
      <x:c r="L683" s="24" t="str"/>
      <x:c r="M683" s="24" t="str">
        <x:v>https://www.listennotes.com/</x:v>
      </x:c>
      <x:c r="N683" s="22" t="str">
        <x:v>268643988</x:v>
      </x:c>
      <x:c r="O683" s="22" t="n">
        <x:v>1034</x:v>
      </x:c>
      <x:c r="P683" s="22" t="n">
        <x:v>25</x:v>
      </x:c>
      <x:c r="Q683" s="22" t="str"/>
      <x:c r="R683" s="22" t="n">
        <x:f>COUNTIF($M$6:$M$1177,M683)</x:f>
        <x:v>1</x:v>
      </x:c>
      <x:c r="S683" s="22" t="str">
        <x:v>Other / utility</x:v>
      </x:c>
      <x:c r="T683" s="22" t="str">
        <x:v>Not established</x:v>
      </x:c>
    </x:row>
    <x:row r="684" ht="48" customHeight="1">
      <x:c r="A684" s="22" t="n">
        <x:v>679</x:v>
      </x:c>
      <x:c r="B684" s="22" t="str">
        <x:v>image identify</x:v>
      </x:c>
      <x:c r="C684" s="31" t="str">
        <x:v>U</x:v>
      </x:c>
      <x:c r="D684" s="22" t="str">
        <x:v>Unassessed</x:v>
      </x:c>
      <x:c r="E684" s="22" t="str">
        <x:v>IMAGE / VIDEO / AUDIO / MEDIA</x:v>
      </x:c>
      <x:c r="F684" s="22" t="str">
        <x:v>Media discovery / analysis</x:v>
      </x:c>
      <x:c r="G684" s="22" t="str">
        <x:v>Preserve the original media. Similarity, metadata and enhancement are not independent identity proof.</x:v>
      </x:c>
      <x:c r="H684" s="22" t="str">
        <x:v>Verify publisher, source and current function before reliance</x:v>
      </x:c>
      <x:c r="I684" s="22" t="str">
        <x:v>Not checked</x:v>
      </x:c>
      <x:c r="J684" s="22" t="str">
        <x:v>Saved bookmark metadata only</x:v>
      </x:c>
      <x:c r="K684" s="22" t="str"/>
      <x:c r="L684" s="24" t="str"/>
      <x:c r="M684" s="24" t="str">
        <x:v>https://www.imageidentify.com/</x:v>
      </x:c>
      <x:c r="N684" s="22" t="str">
        <x:v>268402700</x:v>
      </x:c>
      <x:c r="O684" s="22" t="n">
        <x:v>1034</x:v>
      </x:c>
      <x:c r="P684" s="22" t="n">
        <x:v>26</x:v>
      </x:c>
      <x:c r="Q684" s="22" t="str"/>
      <x:c r="R684" s="22" t="n">
        <x:f>COUNTIF($M$6:$M$1177,M684)</x:f>
        <x:v>1</x:v>
      </x:c>
      <x:c r="S684" s="22" t="str">
        <x:v>Other / utility</x:v>
      </x:c>
      <x:c r="T684" s="22" t="str">
        <x:v>Not established</x:v>
      </x:c>
    </x:row>
    <x:row r="685" ht="48" customHeight="1">
      <x:c r="A685" s="22" t="n">
        <x:v>680</x:v>
      </x:c>
      <x:c r="B685" s="22" t="str">
        <x:v>EXIF Data Viewer</x:v>
      </x:c>
      <x:c r="C685" s="27" t="str">
        <x:v>N/A</x:v>
      </x:c>
      <x:c r="D685" s="22" t="str">
        <x:v>Utility classification</x:v>
      </x:c>
      <x:c r="E685" s="22" t="str">
        <x:v>IMAGE / VIDEO / AUDIO / MEDIA</x:v>
      </x:c>
      <x:c r="F685" s="22" t="str">
        <x:v>Media discovery / analysis</x:v>
      </x:c>
      <x:c r="G685" s="22" t="str">
        <x:v>Processing or reference utility, not independent connection evidence. Preserve original inputs and validate important output.</x:v>
      </x:c>
      <x:c r="H685" s="22" t="str">
        <x:v>Use as a utility only; functionality not audited</x:v>
      </x:c>
      <x:c r="I685" s="22" t="str">
        <x:v>Not checked</x:v>
      </x:c>
      <x:c r="J685" s="22" t="str">
        <x:v>Saved bookmark metadata only</x:v>
      </x:c>
      <x:c r="K685" s="22" t="str"/>
      <x:c r="L685" s="24" t="str"/>
      <x:c r="M685" s="24" t="str">
        <x:v>http://exifdata.com/</x:v>
      </x:c>
      <x:c r="N685" s="22" t="str">
        <x:v>268403096</x:v>
      </x:c>
      <x:c r="O685" s="22" t="n">
        <x:v>1034</x:v>
      </x:c>
      <x:c r="P685" s="22" t="n">
        <x:v>27</x:v>
      </x:c>
      <x:c r="Q685" s="22" t="str"/>
      <x:c r="R685" s="22" t="n">
        <x:f>COUNTIF($M$6:$M$1177,M685)</x:f>
        <x:v>1</x:v>
      </x:c>
      <x:c r="S685" s="22" t="str">
        <x:v>Other / utility</x:v>
      </x:c>
      <x:c r="T685" s="22" t="str">
        <x:v>Scope only</x:v>
      </x:c>
    </x:row>
    <x:row r="686" ht="48" customHeight="1">
      <x:c r="A686" s="22" t="n">
        <x:v>681</x:v>
      </x:c>
      <x:c r="B686" s="22" t="str">
        <x:v>jimpl.com</x:v>
      </x:c>
      <x:c r="C686" s="27" t="str">
        <x:v>N/A</x:v>
      </x:c>
      <x:c r="D686" s="22" t="str">
        <x:v>Utility classification</x:v>
      </x:c>
      <x:c r="E686" s="22" t="str">
        <x:v>IMAGE / VIDEO / AUDIO / MEDIA</x:v>
      </x:c>
      <x:c r="F686" s="22" t="str">
        <x:v>Media discovery / analysis</x:v>
      </x:c>
      <x:c r="G686" s="22" t="str">
        <x:v>Processing or reference utility, not independent connection evidence. Preserve original inputs and validate important output.</x:v>
      </x:c>
      <x:c r="H686" s="22" t="str">
        <x:v>Use as a utility only; functionality not audited</x:v>
      </x:c>
      <x:c r="I686" s="22" t="str">
        <x:v>Not checked</x:v>
      </x:c>
      <x:c r="J686" s="22" t="str">
        <x:v>Saved bookmark metadata only</x:v>
      </x:c>
      <x:c r="K686" s="22" t="str"/>
      <x:c r="L686" s="24" t="str"/>
      <x:c r="M686" s="24" t="str">
        <x:v>https://jimpl.com/</x:v>
      </x:c>
      <x:c r="N686" s="22" t="str">
        <x:v>311649837</x:v>
      </x:c>
      <x:c r="O686" s="22" t="n">
        <x:v>1034</x:v>
      </x:c>
      <x:c r="P686" s="22" t="n">
        <x:v>28</x:v>
      </x:c>
      <x:c r="Q686" s="22" t="str"/>
      <x:c r="R686" s="22" t="n">
        <x:f>COUNTIF($M$6:$M$1177,M686)</x:f>
        <x:v>1</x:v>
      </x:c>
      <x:c r="S686" s="22" t="str">
        <x:v>Other / utility</x:v>
      </x:c>
      <x:c r="T686" s="22" t="str">
        <x:v>Scope only</x:v>
      </x:c>
    </x:row>
    <x:row r="687" ht="48" customHeight="1">
      <x:c r="A687" s="22" t="n">
        <x:v>682</x:v>
      </x:c>
      <x:c r="B687" s="22" t="str">
        <x:v>Discover Podcasts Here!</x:v>
      </x:c>
      <x:c r="C687" s="31" t="str">
        <x:v>U</x:v>
      </x:c>
      <x:c r="D687" s="22" t="str">
        <x:v>Unassessed</x:v>
      </x:c>
      <x:c r="E687" s="22" t="str">
        <x:v>IMAGE / VIDEO / AUDIO / MEDIA</x:v>
      </x:c>
      <x:c r="F687" s="22" t="str">
        <x:v>Media discovery / analysis</x:v>
      </x:c>
      <x:c r="G687" s="22" t="str">
        <x:v>Preserve the original media. Similarity, metadata and enhancement are not independent identity proof.</x:v>
      </x:c>
      <x:c r="H687" s="22" t="str">
        <x:v>Verify publisher, source and current function before reliance</x:v>
      </x:c>
      <x:c r="I687" s="22" t="str">
        <x:v>Not checked</x:v>
      </x:c>
      <x:c r="J687" s="22" t="str">
        <x:v>Saved bookmark metadata only</x:v>
      </x:c>
      <x:c r="K687" s="22" t="str"/>
      <x:c r="L687" s="24" t="str"/>
      <x:c r="M687" s="24" t="str">
        <x:v>https://podsearch.com/</x:v>
      </x:c>
      <x:c r="N687" s="22" t="str">
        <x:v>268643990</x:v>
      </x:c>
      <x:c r="O687" s="22" t="n">
        <x:v>1034</x:v>
      </x:c>
      <x:c r="P687" s="22" t="n">
        <x:v>29</x:v>
      </x:c>
      <x:c r="Q687" s="22" t="str"/>
      <x:c r="R687" s="22" t="n">
        <x:f>COUNTIF($M$6:$M$1177,M687)</x:f>
        <x:v>1</x:v>
      </x:c>
      <x:c r="S687" s="22" t="str">
        <x:v>Other / utility</x:v>
      </x:c>
      <x:c r="T687" s="22" t="str">
        <x:v>Not established</x:v>
      </x:c>
    </x:row>
    <x:row r="688" ht="48" customHeight="1">
      <x:c r="A688" s="22" t="n">
        <x:v>683</x:v>
      </x:c>
      <x:c r="B688" s="22" t="str">
        <x:v>Pictures</x:v>
      </x:c>
      <x:c r="C688" s="31" t="str">
        <x:v>U</x:v>
      </x:c>
      <x:c r="D688" s="22" t="str">
        <x:v>Unassessed</x:v>
      </x:c>
      <x:c r="E688" s="22" t="str">
        <x:v>IMAGE / VIDEO / AUDIO / MEDIA</x:v>
      </x:c>
      <x:c r="F688" s="22" t="str">
        <x:v>Media discovery / analysis</x:v>
      </x:c>
      <x:c r="G688" s="22" t="str">
        <x:v>Preserve the original media. Similarity, metadata and enhancement are not independent identity proof.</x:v>
      </x:c>
      <x:c r="H688" s="22" t="str">
        <x:v>Verify publisher, source and current function before reliance</x:v>
      </x:c>
      <x:c r="I688" s="22" t="str">
        <x:v>Not checked</x:v>
      </x:c>
      <x:c r="J688" s="22" t="str">
        <x:v>Saved bookmark metadata only</x:v>
      </x:c>
      <x:c r="K688" s="22" t="str"/>
      <x:c r="L688" s="24" t="str"/>
      <x:c r="M688" s="24" t="str">
        <x:v>https://www.picsearch.com/</x:v>
      </x:c>
      <x:c r="N688" s="22" t="str">
        <x:v>268403452</x:v>
      </x:c>
      <x:c r="O688" s="22" t="n">
        <x:v>1034</x:v>
      </x:c>
      <x:c r="P688" s="22" t="n">
        <x:v>30</x:v>
      </x:c>
      <x:c r="Q688" s="22" t="str"/>
      <x:c r="R688" s="22" t="n">
        <x:f>COUNTIF($M$6:$M$1177,M688)</x:f>
        <x:v>1</x:v>
      </x:c>
      <x:c r="S688" s="22" t="str">
        <x:v>Other / utility</x:v>
      </x:c>
      <x:c r="T688" s="22" t="str">
        <x:v>Not established</x:v>
      </x:c>
    </x:row>
    <x:row r="689" ht="48" customHeight="1">
      <x:c r="A689" s="22" t="n">
        <x:v>684</x:v>
      </x:c>
      <x:c r="B689" s="22" t="str">
        <x:v>Background Removal Tool</x:v>
      </x:c>
      <x:c r="C689" s="27" t="str">
        <x:v>N/A</x:v>
      </x:c>
      <x:c r="D689" s="22" t="str">
        <x:v>Utility classification</x:v>
      </x:c>
      <x:c r="E689" s="22" t="str">
        <x:v>IMAGE / VIDEO / AUDIO / MEDIA</x:v>
      </x:c>
      <x:c r="F689" s="22" t="str">
        <x:v>Media discovery / analysis</x:v>
      </x:c>
      <x:c r="G689" s="22" t="str">
        <x:v>Processing or reference utility, not independent connection evidence. Preserve original inputs and validate important output.</x:v>
      </x:c>
      <x:c r="H689" s="22" t="str">
        <x:v>Use as a utility only; functionality not audited</x:v>
      </x:c>
      <x:c r="I689" s="22" t="str">
        <x:v>Not checked</x:v>
      </x:c>
      <x:c r="J689" s="22" t="str">
        <x:v>Saved bookmark metadata only</x:v>
      </x:c>
      <x:c r="K689" s="22" t="str"/>
      <x:c r="L689" s="24" t="str"/>
      <x:c r="M689" s="24" t="str">
        <x:v>https://photoscissors.com/</x:v>
      </x:c>
      <x:c r="N689" s="22" t="str">
        <x:v>268503477</x:v>
      </x:c>
      <x:c r="O689" s="22" t="n">
        <x:v>1034</x:v>
      </x:c>
      <x:c r="P689" s="22" t="n">
        <x:v>31</x:v>
      </x:c>
      <x:c r="Q689" s="22" t="str"/>
      <x:c r="R689" s="22" t="n">
        <x:f>COUNTIF($M$6:$M$1177,M689)</x:f>
        <x:v>1</x:v>
      </x:c>
      <x:c r="S689" s="22" t="str">
        <x:v>Other / utility</x:v>
      </x:c>
      <x:c r="T689" s="22" t="str">
        <x:v>Scope only</x:v>
      </x:c>
    </x:row>
    <x:row r="690" ht="48" customHeight="1">
      <x:c r="A690" s="22" t="n">
        <x:v>685</x:v>
      </x:c>
      <x:c r="B690" s="22" t="str">
        <x:v>Museo</x:v>
      </x:c>
      <x:c r="C690" s="31" t="str">
        <x:v>U</x:v>
      </x:c>
      <x:c r="D690" s="22" t="str">
        <x:v>Unassessed</x:v>
      </x:c>
      <x:c r="E690" s="22" t="str">
        <x:v>IMAGE / VIDEO / AUDIO / MEDIA</x:v>
      </x:c>
      <x:c r="F690" s="22" t="str">
        <x:v>Media discovery / analysis</x:v>
      </x:c>
      <x:c r="G690" s="22" t="str">
        <x:v>Preserve the original media. Similarity, metadata and enhancement are not independent identity proof.</x:v>
      </x:c>
      <x:c r="H690" s="22" t="str">
        <x:v>Verify publisher, source and current function before reliance</x:v>
      </x:c>
      <x:c r="I690" s="22" t="str">
        <x:v>Not checked</x:v>
      </x:c>
      <x:c r="J690" s="22" t="str">
        <x:v>Saved bookmark metadata only</x:v>
      </x:c>
      <x:c r="K690" s="22" t="str"/>
      <x:c r="L690" s="24" t="str"/>
      <x:c r="M690" s="24" t="str">
        <x:v>https://museo.app/</x:v>
      </x:c>
      <x:c r="N690" s="22" t="str">
        <x:v>286823741</x:v>
      </x:c>
      <x:c r="O690" s="22" t="n">
        <x:v>1034</x:v>
      </x:c>
      <x:c r="P690" s="22" t="n">
        <x:v>32</x:v>
      </x:c>
      <x:c r="Q690" s="22" t="str"/>
      <x:c r="R690" s="22" t="n">
        <x:f>COUNTIF($M$6:$M$1177,M690)</x:f>
        <x:v>1</x:v>
      </x:c>
      <x:c r="S690" s="22" t="str">
        <x:v>Other / utility</x:v>
      </x:c>
      <x:c r="T690" s="22" t="str">
        <x:v>Not established</x:v>
      </x:c>
    </x:row>
    <x:row r="691" ht="48" customHeight="1">
      <x:c r="A691" s="22" t="n">
        <x:v>686</x:v>
      </x:c>
      <x:c r="B691" s="22" t="str">
        <x:v>Diff Checker</x:v>
      </x:c>
      <x:c r="C691" s="27" t="str">
        <x:v>N/A</x:v>
      </x:c>
      <x:c r="D691" s="22" t="str">
        <x:v>Utility classification</x:v>
      </x:c>
      <x:c r="E691" s="22" t="str">
        <x:v>IMAGE / VIDEO / AUDIO / MEDIA</x:v>
      </x:c>
      <x:c r="F691" s="22" t="str">
        <x:v>Media discovery / analysis</x:v>
      </x:c>
      <x:c r="G691" s="22" t="str">
        <x:v>Processing or reference utility, not independent connection evidence. Preserve original inputs and validate important output.</x:v>
      </x:c>
      <x:c r="H691" s="22" t="str">
        <x:v>Use as a utility only; functionality not audited</x:v>
      </x:c>
      <x:c r="I691" s="22" t="str">
        <x:v>Not checked</x:v>
      </x:c>
      <x:c r="J691" s="22" t="str">
        <x:v>Saved bookmark metadata only</x:v>
      </x:c>
      <x:c r="K691" s="22" t="str"/>
      <x:c r="L691" s="24" t="str"/>
      <x:c r="M691" s="24" t="str">
        <x:v>https://www.diffchecker.com/image-diff/</x:v>
      </x:c>
      <x:c r="N691" s="22" t="str">
        <x:v>268503479</x:v>
      </x:c>
      <x:c r="O691" s="22" t="n">
        <x:v>1034</x:v>
      </x:c>
      <x:c r="P691" s="22" t="n">
        <x:v>33</x:v>
      </x:c>
      <x:c r="Q691" s="22" t="str"/>
      <x:c r="R691" s="22" t="n">
        <x:f>COUNTIF($M$6:$M$1177,M691)</x:f>
        <x:v>1</x:v>
      </x:c>
      <x:c r="S691" s="22" t="str">
        <x:v>Other / utility</x:v>
      </x:c>
      <x:c r="T691" s="22" t="str">
        <x:v>Scope only</x:v>
      </x:c>
    </x:row>
    <x:row r="692" ht="48" customHeight="1">
      <x:c r="A692" s="22" t="n">
        <x:v>687</x:v>
      </x:c>
      <x:c r="B692" s="22" t="str">
        <x:v>Forensically</x:v>
      </x:c>
      <x:c r="C692" s="27" t="str">
        <x:v>N/A</x:v>
      </x:c>
      <x:c r="D692" s="22" t="str">
        <x:v>Utility classification</x:v>
      </x:c>
      <x:c r="E692" s="22" t="str">
        <x:v>IMAGE / VIDEO / AUDIO / MEDIA</x:v>
      </x:c>
      <x:c r="F692" s="22" t="str">
        <x:v>Media discovery / analysis</x:v>
      </x:c>
      <x:c r="G692" s="22" t="str">
        <x:v>Processing or reference utility, not independent connection evidence. Preserve original inputs and validate important output.</x:v>
      </x:c>
      <x:c r="H692" s="22" t="str">
        <x:v>Use as a utility only; functionality not audited</x:v>
      </x:c>
      <x:c r="I692" s="22" t="str">
        <x:v>Not checked</x:v>
      </x:c>
      <x:c r="J692" s="22" t="str">
        <x:v>Saved bookmark metadata only</x:v>
      </x:c>
      <x:c r="K692" s="22" t="str"/>
      <x:c r="L692" s="24" t="str"/>
      <x:c r="M692" s="24" t="str">
        <x:v>https://29a.ch/photo-forensics/#forensic-magnifier</x:v>
      </x:c>
      <x:c r="N692" s="22" t="str">
        <x:v>268503484</x:v>
      </x:c>
      <x:c r="O692" s="22" t="n">
        <x:v>1034</x:v>
      </x:c>
      <x:c r="P692" s="22" t="n">
        <x:v>34</x:v>
      </x:c>
      <x:c r="Q692" s="22" t="str"/>
      <x:c r="R692" s="22" t="n">
        <x:f>COUNTIF($M$6:$M$1177,M692)</x:f>
        <x:v>1</x:v>
      </x:c>
      <x:c r="S692" s="22" t="str">
        <x:v>Other / utility</x:v>
      </x:c>
      <x:c r="T692" s="22" t="str">
        <x:v>Scope only</x:v>
      </x:c>
    </x:row>
    <x:row r="693" ht="48" customHeight="1">
      <x:c r="A693" s="22" t="n">
        <x:v>688</x:v>
      </x:c>
      <x:c r="B693" s="22" t="str">
        <x:v>Pictriev</x:v>
      </x:c>
      <x:c r="C693" s="31" t="str">
        <x:v>U</x:v>
      </x:c>
      <x:c r="D693" s="22" t="str">
        <x:v>Unassessed</x:v>
      </x:c>
      <x:c r="E693" s="22" t="str">
        <x:v>IMAGE / VIDEO / AUDIO / MEDIA</x:v>
      </x:c>
      <x:c r="F693" s="22" t="str">
        <x:v>Media discovery / analysis</x:v>
      </x:c>
      <x:c r="G693" s="22" t="str">
        <x:v>Preserve the original media. Similarity, metadata and enhancement are not independent identity proof.</x:v>
      </x:c>
      <x:c r="H693" s="22" t="str">
        <x:v>Verify publisher, source and current function before reliance</x:v>
      </x:c>
      <x:c r="I693" s="22" t="str">
        <x:v>Not checked</x:v>
      </x:c>
      <x:c r="J693" s="22" t="str">
        <x:v>Saved bookmark metadata only</x:v>
      </x:c>
      <x:c r="K693" s="22" t="str"/>
      <x:c r="L693" s="24" t="str"/>
      <x:c r="M693" s="24" t="str">
        <x:v>http://pictriev.com/</x:v>
      </x:c>
      <x:c r="N693" s="22" t="str">
        <x:v>268508055</x:v>
      </x:c>
      <x:c r="O693" s="22" t="n">
        <x:v>1034</x:v>
      </x:c>
      <x:c r="P693" s="22" t="n">
        <x:v>35</x:v>
      </x:c>
      <x:c r="Q693" s="22" t="str"/>
      <x:c r="R693" s="22" t="n">
        <x:f>COUNTIF($M$6:$M$1177,M693)</x:f>
        <x:v>1</x:v>
      </x:c>
      <x:c r="S693" s="22" t="str">
        <x:v>Other / utility</x:v>
      </x:c>
      <x:c r="T693" s="22" t="str">
        <x:v>Not established</x:v>
      </x:c>
    </x:row>
    <x:row r="694" ht="48" customHeight="1">
      <x:c r="A694" s="22" t="n">
        <x:v>689</x:v>
      </x:c>
      <x:c r="B694" s="22" t="str">
        <x:v>facesaerch</x:v>
      </x:c>
      <x:c r="C694" s="31" t="str">
        <x:v>U</x:v>
      </x:c>
      <x:c r="D694" s="22" t="str">
        <x:v>Unassessed</x:v>
      </x:c>
      <x:c r="E694" s="22" t="str">
        <x:v>IMAGE / VIDEO / AUDIO / MEDIA</x:v>
      </x:c>
      <x:c r="F694" s="22" t="str">
        <x:v>Media discovery / analysis</x:v>
      </x:c>
      <x:c r="G694" s="22" t="str">
        <x:v>Preserve the original media. Similarity, metadata and enhancement are not independent identity proof.</x:v>
      </x:c>
      <x:c r="H694" s="22" t="str">
        <x:v>Verify publisher, source and current function before reliance</x:v>
      </x:c>
      <x:c r="I694" s="22" t="str">
        <x:v>Not checked</x:v>
      </x:c>
      <x:c r="J694" s="22" t="str">
        <x:v>Saved bookmark metadata only</x:v>
      </x:c>
      <x:c r="K694" s="22" t="str"/>
      <x:c r="L694" s="24" t="str"/>
      <x:c r="M694" s="24" t="str">
        <x:v>http://www.facesaerch.com/</x:v>
      </x:c>
      <x:c r="N694" s="22" t="str">
        <x:v>268508050</x:v>
      </x:c>
      <x:c r="O694" s="22" t="n">
        <x:v>1034</x:v>
      </x:c>
      <x:c r="P694" s="22" t="n">
        <x:v>36</x:v>
      </x:c>
      <x:c r="Q694" s="22" t="str"/>
      <x:c r="R694" s="22" t="n">
        <x:f>COUNTIF($M$6:$M$1177,M694)</x:f>
        <x:v>1</x:v>
      </x:c>
      <x:c r="S694" s="22" t="str">
        <x:v>Other / utility</x:v>
      </x:c>
      <x:c r="T694" s="22" t="str">
        <x:v>Not established</x:v>
      </x:c>
    </x:row>
    <x:row r="695" ht="48" customHeight="1">
      <x:c r="A695" s="22" t="n">
        <x:v>690</x:v>
      </x:c>
      <x:c r="B695" s="22" t="str">
        <x:v>WhatTheFont</x:v>
      </x:c>
      <x:c r="C695" s="27" t="str">
        <x:v>N/A</x:v>
      </x:c>
      <x:c r="D695" s="22" t="str">
        <x:v>Utility classification</x:v>
      </x:c>
      <x:c r="E695" s="22" t="str">
        <x:v>IMAGE / VIDEO / AUDIO / MEDIA</x:v>
      </x:c>
      <x:c r="F695" s="22" t="str">
        <x:v>Media discovery / analysis</x:v>
      </x:c>
      <x:c r="G695" s="22" t="str">
        <x:v>Processing or reference utility, not independent connection evidence. Preserve original inputs and validate important output.</x:v>
      </x:c>
      <x:c r="H695" s="22" t="str">
        <x:v>Use as a utility only; functionality not audited</x:v>
      </x:c>
      <x:c r="I695" s="22" t="str">
        <x:v>Not checked</x:v>
      </x:c>
      <x:c r="J695" s="22" t="str">
        <x:v>Saved bookmark metadata only</x:v>
      </x:c>
      <x:c r="K695" s="22" t="str"/>
      <x:c r="L695" s="24" t="str"/>
      <x:c r="M695" s="24" t="str">
        <x:v>https://www.myfonts.com/WhatTheFont/</x:v>
      </x:c>
      <x:c r="N695" s="22" t="str">
        <x:v>286644977</x:v>
      </x:c>
      <x:c r="O695" s="22" t="n">
        <x:v>1034</x:v>
      </x:c>
      <x:c r="P695" s="22" t="n">
        <x:v>37</x:v>
      </x:c>
      <x:c r="Q695" s="22" t="str"/>
      <x:c r="R695" s="22" t="n">
        <x:f>COUNTIF($M$6:$M$1177,M695)</x:f>
        <x:v>1</x:v>
      </x:c>
      <x:c r="S695" s="22" t="str">
        <x:v>Other / utility</x:v>
      </x:c>
      <x:c r="T695" s="22" t="str">
        <x:v>Scope only</x:v>
      </x:c>
    </x:row>
    <x:row r="696" ht="48" customHeight="1">
      <x:c r="A696" s="22" t="n">
        <x:v>691</x:v>
      </x:c>
      <x:c r="B696" s="22" t="str">
        <x:v>Sogou</x:v>
      </x:c>
      <x:c r="C696" s="31" t="str">
        <x:v>U</x:v>
      </x:c>
      <x:c r="D696" s="22" t="str">
        <x:v>Unassessed</x:v>
      </x:c>
      <x:c r="E696" s="22" t="str">
        <x:v>IMAGE / VIDEO / AUDIO / MEDIA</x:v>
      </x:c>
      <x:c r="F696" s="22" t="str">
        <x:v>Media discovery / analysis</x:v>
      </x:c>
      <x:c r="G696" s="22" t="str">
        <x:v>Preserve the original media. Similarity, metadata and enhancement are not independent identity proof.</x:v>
      </x:c>
      <x:c r="H696" s="22" t="str">
        <x:v>Verify publisher, source and current function before reliance</x:v>
      </x:c>
      <x:c r="I696" s="22" t="str">
        <x:v>Not checked</x:v>
      </x:c>
      <x:c r="J696" s="22" t="str">
        <x:v>Saved bookmark metadata only</x:v>
      </x:c>
      <x:c r="K696" s="22" t="str"/>
      <x:c r="L696" s="24" t="str"/>
      <x:c r="M696" s="24" t="str">
        <x:v>https://pic.sogou.com/</x:v>
      </x:c>
      <x:c r="N696" s="22" t="str">
        <x:v>286823416</x:v>
      </x:c>
      <x:c r="O696" s="22" t="n">
        <x:v>1034</x:v>
      </x:c>
      <x:c r="P696" s="22" t="n">
        <x:v>38</x:v>
      </x:c>
      <x:c r="Q696" s="22" t="str"/>
      <x:c r="R696" s="22" t="n">
        <x:f>COUNTIF($M$6:$M$1177,M696)</x:f>
        <x:v>1</x:v>
      </x:c>
      <x:c r="S696" s="22" t="str">
        <x:v>Other / utility</x:v>
      </x:c>
      <x:c r="T696" s="22" t="str">
        <x:v>Not established</x:v>
      </x:c>
    </x:row>
    <x:row r="697" ht="48" customHeight="1">
      <x:c r="A697" s="22" t="n">
        <x:v>692</x:v>
      </x:c>
      <x:c r="B697" s="22" t="str">
        <x:v>Pixabay</x:v>
      </x:c>
      <x:c r="C697" s="31" t="str">
        <x:v>U</x:v>
      </x:c>
      <x:c r="D697" s="22" t="str">
        <x:v>Unassessed</x:v>
      </x:c>
      <x:c r="E697" s="22" t="str">
        <x:v>IMAGE / VIDEO / AUDIO / MEDIA</x:v>
      </x:c>
      <x:c r="F697" s="22" t="str">
        <x:v>Media discovery / analysis</x:v>
      </x:c>
      <x:c r="G697" s="22" t="str">
        <x:v>Preserve the original media. Similarity, metadata and enhancement are not independent identity proof.</x:v>
      </x:c>
      <x:c r="H697" s="22" t="str">
        <x:v>Verify publisher, source and current function before reliance</x:v>
      </x:c>
      <x:c r="I697" s="22" t="str">
        <x:v>Not checked</x:v>
      </x:c>
      <x:c r="J697" s="22" t="str">
        <x:v>Saved bookmark metadata only</x:v>
      </x:c>
      <x:c r="K697" s="22" t="str"/>
      <x:c r="L697" s="24" t="str"/>
      <x:c r="M697" s="24" t="str">
        <x:v>https://pixabay.com/images/search/</x:v>
      </x:c>
      <x:c r="N697" s="22" t="str">
        <x:v>289965332</x:v>
      </x:c>
      <x:c r="O697" s="22" t="n">
        <x:v>1034</x:v>
      </x:c>
      <x:c r="P697" s="22" t="n">
        <x:v>39</x:v>
      </x:c>
      <x:c r="Q697" s="22" t="str"/>
      <x:c r="R697" s="22" t="n">
        <x:f>COUNTIF($M$6:$M$1177,M697)</x:f>
        <x:v>1</x:v>
      </x:c>
      <x:c r="S697" s="22" t="str">
        <x:v>Other / utility</x:v>
      </x:c>
      <x:c r="T697" s="22" t="str">
        <x:v>Not established</x:v>
      </x:c>
    </x:row>
    <x:row r="698" ht="48" customHeight="1">
      <x:c r="A698" s="22" t="n">
        <x:v>693</x:v>
      </x:c>
      <x:c r="B698" s="22" t="str">
        <x:v>tidder.xyz</x:v>
      </x:c>
      <x:c r="C698" s="31" t="str">
        <x:v>U</x:v>
      </x:c>
      <x:c r="D698" s="22" t="str">
        <x:v>Unassessed</x:v>
      </x:c>
      <x:c r="E698" s="22" t="str">
        <x:v>IMAGE / VIDEO / AUDIO / MEDIA</x:v>
      </x:c>
      <x:c r="F698" s="22" t="str">
        <x:v>Media discovery / analysis</x:v>
      </x:c>
      <x:c r="G698" s="22" t="str">
        <x:v>Preserve the original media. Similarity, metadata and enhancement are not independent identity proof.</x:v>
      </x:c>
      <x:c r="H698" s="22" t="str">
        <x:v>Verify publisher, source and current function before reliance</x:v>
      </x:c>
      <x:c r="I698" s="22" t="str">
        <x:v>Not checked</x:v>
      </x:c>
      <x:c r="J698" s="22" t="str">
        <x:v>Saved bookmark metadata only</x:v>
      </x:c>
      <x:c r="K698" s="22" t="str"/>
      <x:c r="L698" s="24" t="str"/>
      <x:c r="M698" s="24" t="str">
        <x:v>http://tidder.xyz/</x:v>
      </x:c>
      <x:c r="N698" s="22" t="str">
        <x:v>268514083</x:v>
      </x:c>
      <x:c r="O698" s="22" t="n">
        <x:v>1034</x:v>
      </x:c>
      <x:c r="P698" s="22" t="n">
        <x:v>40</x:v>
      </x:c>
      <x:c r="Q698" s="22" t="str"/>
      <x:c r="R698" s="22" t="n">
        <x:f>COUNTIF($M$6:$M$1177,M698)</x:f>
        <x:v>1</x:v>
      </x:c>
      <x:c r="S698" s="22" t="str">
        <x:v>Other / utility</x:v>
      </x:c>
      <x:c r="T698" s="22" t="str">
        <x:v>Not established</x:v>
      </x:c>
    </x:row>
    <x:row r="699" ht="48" customHeight="1">
      <x:c r="A699" s="22" t="n">
        <x:v>694</x:v>
      </x:c>
      <x:c r="B699" s="22" t="str">
        <x:v>hue.tools</x:v>
      </x:c>
      <x:c r="C699" s="27" t="str">
        <x:v>N/A</x:v>
      </x:c>
      <x:c r="D699" s="22" t="str">
        <x:v>Utility classification</x:v>
      </x:c>
      <x:c r="E699" s="22" t="str">
        <x:v>IMAGE / VIDEO / AUDIO / MEDIA</x:v>
      </x:c>
      <x:c r="F699" s="22" t="str">
        <x:v>Media discovery / analysis</x:v>
      </x:c>
      <x:c r="G699" s="22" t="str">
        <x:v>Processing or reference utility, not independent connection evidence. Preserve original inputs and validate important output.</x:v>
      </x:c>
      <x:c r="H699" s="22" t="str">
        <x:v>Use as a utility only; functionality not audited</x:v>
      </x:c>
      <x:c r="I699" s="22" t="str">
        <x:v>Not checked</x:v>
      </x:c>
      <x:c r="J699" s="22" t="str">
        <x:v>Saved bookmark metadata only</x:v>
      </x:c>
      <x:c r="K699" s="22" t="str"/>
      <x:c r="L699" s="24" t="str"/>
      <x:c r="M699" s="24" t="str">
        <x:v>https://hue.tools/</x:v>
      </x:c>
      <x:c r="N699" s="22" t="str">
        <x:v>311647638</x:v>
      </x:c>
      <x:c r="O699" s="22" t="n">
        <x:v>1034</x:v>
      </x:c>
      <x:c r="P699" s="22" t="n">
        <x:v>41</x:v>
      </x:c>
      <x:c r="Q699" s="22" t="str"/>
      <x:c r="R699" s="22" t="n">
        <x:f>COUNTIF($M$6:$M$1177,M699)</x:f>
        <x:v>1</x:v>
      </x:c>
      <x:c r="S699" s="22" t="str">
        <x:v>Other / utility</x:v>
      </x:c>
      <x:c r="T699" s="22" t="str">
        <x:v>Scope only</x:v>
      </x:c>
    </x:row>
    <x:row r="700" ht="48" customHeight="1">
      <x:c r="A700" s="22" t="n">
        <x:v>695</x:v>
      </x:c>
      <x:c r="B700" s="22" t="str">
        <x:v>Plate Recognizer</x:v>
      </x:c>
      <x:c r="C700" s="27" t="str">
        <x:v>N/A</x:v>
      </x:c>
      <x:c r="D700" s="22" t="str">
        <x:v>Utility classification</x:v>
      </x:c>
      <x:c r="E700" s="22" t="str">
        <x:v>LICENSE PLATE / VIN / VEHICLE</x:v>
      </x:c>
      <x:c r="F700" s="22" t="str">
        <x:v>Vehicle-related information</x:v>
      </x:c>
      <x:c r="G700" s="22" t="str">
        <x:v>Processing or reference utility, not independent connection evidence. Preserve original inputs and validate important output.</x:v>
      </x:c>
      <x:c r="H700" s="22" t="str">
        <x:v>Use as a utility only; functionality not audited</x:v>
      </x:c>
      <x:c r="I700" s="22" t="str">
        <x:v>Not checked</x:v>
      </x:c>
      <x:c r="J700" s="22" t="str">
        <x:v>Saved bookmark metadata only</x:v>
      </x:c>
      <x:c r="K700" s="22" t="str"/>
      <x:c r="L700" s="24" t="str"/>
      <x:c r="M700" s="24" t="str">
        <x:v>https://platerecognizer.com/</x:v>
      </x:c>
      <x:c r="N700" s="22" t="str">
        <x:v>290381389</x:v>
      </x:c>
      <x:c r="O700" s="22" t="n">
        <x:v>1034</x:v>
      </x:c>
      <x:c r="P700" s="22" t="n">
        <x:v>1</x:v>
      </x:c>
      <x:c r="Q700" s="22" t="str"/>
      <x:c r="R700" s="22" t="n">
        <x:f>COUNTIF($M$6:$M$1177,M700)</x:f>
        <x:v>1</x:v>
      </x:c>
      <x:c r="S700" s="22" t="str">
        <x:v>Other / utility</x:v>
      </x:c>
      <x:c r="T700" s="22" t="str">
        <x:v>Scope only</x:v>
      </x:c>
    </x:row>
    <x:row r="701" ht="48" customHeight="1">
      <x:c r="A701" s="22" t="n">
        <x:v>696</x:v>
      </x:c>
      <x:c r="B701" s="22" t="str">
        <x:v>License Plates of the World</x:v>
      </x:c>
      <x:c r="C701" s="27" t="str">
        <x:v>N/A</x:v>
      </x:c>
      <x:c r="D701" s="22" t="str">
        <x:v>Utility classification</x:v>
      </x:c>
      <x:c r="E701" s="22" t="str">
        <x:v>LICENSE PLATE / VIN / VEHICLE</x:v>
      </x:c>
      <x:c r="F701" s="22" t="str">
        <x:v>Vehicle-related information</x:v>
      </x:c>
      <x:c r="G701" s="22" t="str">
        <x:v>Processing or reference utility, not independent connection evidence. Preserve original inputs and validate important output.</x:v>
      </x:c>
      <x:c r="H701" s="22" t="str">
        <x:v>Use as a utility only; functionality not audited</x:v>
      </x:c>
      <x:c r="I701" s="22" t="str">
        <x:v>Not checked</x:v>
      </x:c>
      <x:c r="J701" s="22" t="str">
        <x:v>Saved bookmark metadata only</x:v>
      </x:c>
      <x:c r="K701" s="22" t="str"/>
      <x:c r="L701" s="24" t="str"/>
      <x:c r="M701" s="24" t="str">
        <x:v>http://www.worldlicenseplates.com/</x:v>
      </x:c>
      <x:c r="N701" s="22" t="str">
        <x:v>290381880</x:v>
      </x:c>
      <x:c r="O701" s="22" t="n">
        <x:v>1034</x:v>
      </x:c>
      <x:c r="P701" s="22" t="n">
        <x:v>2</x:v>
      </x:c>
      <x:c r="Q701" s="22" t="str"/>
      <x:c r="R701" s="22" t="n">
        <x:f>COUNTIF($M$6:$M$1177,M701)</x:f>
        <x:v>1</x:v>
      </x:c>
      <x:c r="S701" s="22" t="str">
        <x:v>Other / utility</x:v>
      </x:c>
      <x:c r="T701" s="22" t="str">
        <x:v>Scope only</x:v>
      </x:c>
    </x:row>
    <x:row r="702" ht="48" customHeight="1">
      <x:c r="A702" s="22" t="n">
        <x:v>697</x:v>
      </x:c>
      <x:c r="B702" s="22" t="str">
        <x:v>VIN decoder</x:v>
      </x:c>
      <x:c r="C702" s="31" t="str">
        <x:v>U</x:v>
      </x:c>
      <x:c r="D702" s="22" t="str">
        <x:v>Unassessed</x:v>
      </x:c>
      <x:c r="E702" s="22" t="str">
        <x:v>LICENSE PLATE / VIN / VEHICLE</x:v>
      </x:c>
      <x:c r="F702" s="22" t="str">
        <x:v>Vehicle-related information</x:v>
      </x:c>
      <x:c r="G702" s="22" t="str">
        <x:v>A plate/VIN or vehicle specification does not identify the owner, driver or passenger.</x:v>
      </x:c>
      <x:c r="H702" s="22" t="str">
        <x:v>Verify publisher, source and current function before reliance</x:v>
      </x:c>
      <x:c r="I702" s="22" t="str">
        <x:v>Not checked</x:v>
      </x:c>
      <x:c r="J702" s="22" t="str">
        <x:v>Saved bookmark metadata only</x:v>
      </x:c>
      <x:c r="K702" s="22" t="str"/>
      <x:c r="L702" s="24" t="str"/>
      <x:c r="M702" s="24" t="str">
        <x:v>http://www.vindecoderz.com/</x:v>
      </x:c>
      <x:c r="N702" s="22" t="str">
        <x:v>290382067</x:v>
      </x:c>
      <x:c r="O702" s="22" t="n">
        <x:v>1034</x:v>
      </x:c>
      <x:c r="P702" s="22" t="n">
        <x:v>3</x:v>
      </x:c>
      <x:c r="Q702" s="22" t="str"/>
      <x:c r="R702" s="22" t="n">
        <x:f>COUNTIF($M$6:$M$1177,M702)</x:f>
        <x:v>1</x:v>
      </x:c>
      <x:c r="S702" s="22" t="str">
        <x:v>Other / utility</x:v>
      </x:c>
      <x:c r="T702" s="22" t="str">
        <x:v>Not established</x:v>
      </x:c>
    </x:row>
    <x:row r="703" ht="48" customHeight="1">
      <x:c r="A703" s="22" t="n">
        <x:v>698</x:v>
      </x:c>
      <x:c r="B703" s="22" t="str">
        <x:v>Poctra.com</x:v>
      </x:c>
      <x:c r="C703" s="31" t="str">
        <x:v>U</x:v>
      </x:c>
      <x:c r="D703" s="22" t="str">
        <x:v>Unassessed</x:v>
      </x:c>
      <x:c r="E703" s="22" t="str">
        <x:v>LICENSE PLATE / VIN / VEHICLE</x:v>
      </x:c>
      <x:c r="F703" s="22" t="str">
        <x:v>Vehicle-related information</x:v>
      </x:c>
      <x:c r="G703" s="22" t="str">
        <x:v>A plate/VIN or vehicle specification does not identify the owner, driver or passenger.</x:v>
      </x:c>
      <x:c r="H703" s="22" t="str">
        <x:v>Verify publisher, source and current function before reliance</x:v>
      </x:c>
      <x:c r="I703" s="22" t="str">
        <x:v>Not checked</x:v>
      </x:c>
      <x:c r="J703" s="22" t="str">
        <x:v>Saved bookmark metadata only</x:v>
      </x:c>
      <x:c r="K703" s="22" t="str"/>
      <x:c r="L703" s="24" t="str"/>
      <x:c r="M703" s="24" t="str">
        <x:v>https://poctra.com/</x:v>
      </x:c>
      <x:c r="N703" s="22" t="str">
        <x:v>290381882</x:v>
      </x:c>
      <x:c r="O703" s="22" t="n">
        <x:v>1034</x:v>
      </x:c>
      <x:c r="P703" s="22" t="n">
        <x:v>4</x:v>
      </x:c>
      <x:c r="Q703" s="22" t="str"/>
      <x:c r="R703" s="22" t="n">
        <x:f>COUNTIF($M$6:$M$1177,M703)</x:f>
        <x:v>1</x:v>
      </x:c>
      <x:c r="S703" s="22" t="str">
        <x:v>Other / utility</x:v>
      </x:c>
      <x:c r="T703" s="22" t="str">
        <x:v>Not established</x:v>
      </x:c>
    </x:row>
    <x:row r="704" ht="48" customHeight="1">
      <x:c r="A704" s="22" t="n">
        <x:v>699</x:v>
      </x:c>
      <x:c r="B704" s="22" t="str">
        <x:v>FAXVIN</x:v>
      </x:c>
      <x:c r="C704" s="31" t="str">
        <x:v>U</x:v>
      </x:c>
      <x:c r="D704" s="22" t="str">
        <x:v>Unassessed</x:v>
      </x:c>
      <x:c r="E704" s="22" t="str">
        <x:v>LICENSE PLATE / VIN / VEHICLE</x:v>
      </x:c>
      <x:c r="F704" s="22" t="str">
        <x:v>Vehicle-related information</x:v>
      </x:c>
      <x:c r="G704" s="22" t="str">
        <x:v>A plate/VIN or vehicle specification does not identify the owner, driver or passenger.</x:v>
      </x:c>
      <x:c r="H704" s="22" t="str">
        <x:v>Verify publisher, source and current function before reliance</x:v>
      </x:c>
      <x:c r="I704" s="22" t="str">
        <x:v>Not checked</x:v>
      </x:c>
      <x:c r="J704" s="22" t="str">
        <x:v>Saved bookmark metadata only</x:v>
      </x:c>
      <x:c r="K704" s="22" t="str"/>
      <x:c r="L704" s="24" t="str"/>
      <x:c r="M704" s="24" t="str">
        <x:v>https://www.faxvin.com/</x:v>
      </x:c>
      <x:c r="N704" s="22" t="str">
        <x:v>290382016</x:v>
      </x:c>
      <x:c r="O704" s="22" t="n">
        <x:v>1034</x:v>
      </x:c>
      <x:c r="P704" s="22" t="n">
        <x:v>5</x:v>
      </x:c>
      <x:c r="Q704" s="22" t="str"/>
      <x:c r="R704" s="22" t="n">
        <x:f>COUNTIF($M$6:$M$1177,M704)</x:f>
        <x:v>1</x:v>
      </x:c>
      <x:c r="S704" s="22" t="str">
        <x:v>Other / utility</x:v>
      </x:c>
      <x:c r="T704" s="22" t="str">
        <x:v>Not established</x:v>
      </x:c>
    </x:row>
    <x:row r="705" ht="48" customHeight="1">
      <x:c r="A705" s="22" t="n">
        <x:v>700</x:v>
      </x:c>
      <x:c r="B705" s="22" t="str">
        <x:v>AutoCheck</x:v>
      </x:c>
      <x:c r="C705" s="31" t="str">
        <x:v>U</x:v>
      </x:c>
      <x:c r="D705" s="22" t="str">
        <x:v>Unassessed</x:v>
      </x:c>
      <x:c r="E705" s="22" t="str">
        <x:v>LICENSE PLATE / VIN / VEHICLE</x:v>
      </x:c>
      <x:c r="F705" s="22" t="str">
        <x:v>Vehicle-related information</x:v>
      </x:c>
      <x:c r="G705" s="22" t="str">
        <x:v>A plate/VIN or vehicle specification does not identify the owner, driver or passenger.</x:v>
      </x:c>
      <x:c r="H705" s="22" t="str">
        <x:v>Verify publisher, source and current function before reliance</x:v>
      </x:c>
      <x:c r="I705" s="22" t="str">
        <x:v>Not checked</x:v>
      </x:c>
      <x:c r="J705" s="22" t="str">
        <x:v>Saved bookmark metadata only</x:v>
      </x:c>
      <x:c r="K705" s="22" t="str"/>
      <x:c r="L705" s="24" t="str"/>
      <x:c r="M705" s="24" t="str">
        <x:v>https://www.autocheck.com/</x:v>
      </x:c>
      <x:c r="N705" s="22" t="str">
        <x:v>290382063</x:v>
      </x:c>
      <x:c r="O705" s="22" t="n">
        <x:v>1034</x:v>
      </x:c>
      <x:c r="P705" s="22" t="n">
        <x:v>6</x:v>
      </x:c>
      <x:c r="Q705" s="22" t="str"/>
      <x:c r="R705" s="22" t="n">
        <x:f>COUNTIF($M$6:$M$1177,M705)</x:f>
        <x:v>1</x:v>
      </x:c>
      <x:c r="S705" s="22" t="str">
        <x:v>Other / utility</x:v>
      </x:c>
      <x:c r="T705" s="22" t="str">
        <x:v>Not established</x:v>
      </x:c>
    </x:row>
    <x:row r="706" ht="48" customHeight="1">
      <x:c r="A706" s="22" t="n">
        <x:v>701</x:v>
      </x:c>
      <x:c r="B706" s="22" t="str">
        <x:v>VIN Lookup</x:v>
      </x:c>
      <x:c r="C706" s="31" t="str">
        <x:v>U</x:v>
      </x:c>
      <x:c r="D706" s="22" t="str">
        <x:v>Unassessed</x:v>
      </x:c>
      <x:c r="E706" s="22" t="str">
        <x:v>LICENSE PLATE / VIN / VEHICLE</x:v>
      </x:c>
      <x:c r="F706" s="22" t="str">
        <x:v>Vehicle-related information</x:v>
      </x:c>
      <x:c r="G706" s="22" t="str">
        <x:v>A plate/VIN or vehicle specification does not identify the owner, driver or passenger.</x:v>
      </x:c>
      <x:c r="H706" s="22" t="str">
        <x:v>Verify publisher, source and current function before reliance</x:v>
      </x:c>
      <x:c r="I706" s="22" t="str">
        <x:v>Not checked</x:v>
      </x:c>
      <x:c r="J706" s="22" t="str">
        <x:v>Saved bookmark metadata only</x:v>
      </x:c>
      <x:c r="K706" s="22" t="str"/>
      <x:c r="L706" s="24" t="str"/>
      <x:c r="M706" s="24" t="str">
        <x:v>https://thatsthem.com/vin-lookup</x:v>
      </x:c>
      <x:c r="N706" s="22" t="str">
        <x:v>290382088</x:v>
      </x:c>
      <x:c r="O706" s="22" t="n">
        <x:v>1034</x:v>
      </x:c>
      <x:c r="P706" s="22" t="n">
        <x:v>7</x:v>
      </x:c>
      <x:c r="Q706" s="22" t="str"/>
      <x:c r="R706" s="22" t="n">
        <x:f>COUNTIF($M$6:$M$1177,M706)</x:f>
        <x:v>1</x:v>
      </x:c>
      <x:c r="S706" s="22" t="str">
        <x:v>Other / utility</x:v>
      </x:c>
      <x:c r="T706" s="22" t="str">
        <x:v>Not established</x:v>
      </x:c>
    </x:row>
    <x:row r="707" ht="54" customHeight="1">
      <x:c r="A707" s="22" t="n">
        <x:v>702</x:v>
      </x:c>
      <x:c r="B707" s="22" t="str">
        <x:v>VINCheck®</x:v>
      </x:c>
      <x:c r="C707" s="35" t="str">
        <x:v>B</x:v>
      </x:c>
      <x:c r="D707" s="22" t="str">
        <x:v>Documented</x:v>
      </x:c>
      <x:c r="E707" s="22" t="str">
        <x:v>LICENSE PLATE / VIN / VEHICLE</x:v>
      </x:c>
      <x:c r="F707" s="22" t="str">
        <x:v>Participating-insurer vehicle records</x:v>
      </x:c>
      <x:c r="G707" s="22" t="str">
        <x:v>NICB checks participating insurers' theft/salvage records, not a complete vehicle history or law-enforcement record. It does not establish who currently owns or drives a vehicle.</x:v>
      </x:c>
      <x:c r="H707" s="22" t="str">
        <x:v>Corroborate before attribution</x:v>
      </x:c>
      <x:c r="I707" s="22" t="str">
        <x:v>Coverage documentation readable; no VIN query</x:v>
      </x:c>
      <x:c r="J707" s="22" t="str">
        <x:v>Provider coverage and limitations</x:v>
      </x:c>
      <x:c r="K707" s="22" t="str">
        <x:v>S086</x:v>
      </x:c>
      <x:c r="L707" s="24" t="str">
        <x:v>https://www.nicb.org/vincheck</x:v>
      </x:c>
      <x:c r="M707" s="24" t="str">
        <x:v>https://www.nicb.org/vincheck</x:v>
      </x:c>
      <x:c r="N707" s="22" t="str">
        <x:v>290381391</x:v>
      </x:c>
      <x:c r="O707" s="22" t="n">
        <x:v>1034</x:v>
      </x:c>
      <x:c r="P707" s="22" t="n">
        <x:v>8</x:v>
      </x:c>
      <x:c r="Q707" s="22" t="str">
        <x:v>2026-09-15</x:v>
      </x:c>
      <x:c r="R707" s="22" t="n">
        <x:f>COUNTIF($M$6:$M$1177,M707)</x:f>
        <x:v>1</x:v>
      </x:c>
      <x:c r="S707" s="22" t="str">
        <x:v>Contacts / records</x:v>
      </x:c>
      <x:c r="T707" s="22" t="str">
        <x:v>Scoped desk assessment</x:v>
      </x:c>
    </x:row>
    <x:row r="708" ht="48" customHeight="1">
      <x:c r="A708" s="22" t="n">
        <x:v>703</x:v>
      </x:c>
      <x:c r="B708" s="22" t="str">
        <x:v>Autogespot</x:v>
      </x:c>
      <x:c r="C708" s="31" t="str">
        <x:v>U</x:v>
      </x:c>
      <x:c r="D708" s="22" t="str">
        <x:v>Unassessed</x:v>
      </x:c>
      <x:c r="E708" s="22" t="str">
        <x:v>LICENSE PLATE / VIN / VEHICLE</x:v>
      </x:c>
      <x:c r="F708" s="22" t="str">
        <x:v>Vehicle-related information</x:v>
      </x:c>
      <x:c r="G708" s="22" t="str">
        <x:v>A plate/VIN or vehicle specification does not identify the owner, driver or passenger.</x:v>
      </x:c>
      <x:c r="H708" s="22" t="str">
        <x:v>Verify publisher, source and current function before reliance</x:v>
      </x:c>
      <x:c r="I708" s="22" t="str">
        <x:v>Not checked</x:v>
      </x:c>
      <x:c r="J708" s="22" t="str">
        <x:v>Saved bookmark metadata only</x:v>
      </x:c>
      <x:c r="K708" s="22" t="str"/>
      <x:c r="L708" s="24" t="str"/>
      <x:c r="M708" s="24" t="str">
        <x:v>https://www.autogespot.us/spots</x:v>
      </x:c>
      <x:c r="N708" s="22" t="str">
        <x:v>290381795</x:v>
      </x:c>
      <x:c r="O708" s="22" t="n">
        <x:v>1034</x:v>
      </x:c>
      <x:c r="P708" s="22" t="n">
        <x:v>9</x:v>
      </x:c>
      <x:c r="Q708" s="22" t="str"/>
      <x:c r="R708" s="22" t="n">
        <x:f>COUNTIF($M$6:$M$1177,M708)</x:f>
        <x:v>1</x:v>
      </x:c>
      <x:c r="S708" s="22" t="str">
        <x:v>Other / utility</x:v>
      </x:c>
      <x:c r="T708" s="22" t="str">
        <x:v>Not established</x:v>
      </x:c>
    </x:row>
    <x:row r="709" ht="48" customHeight="1">
      <x:c r="A709" s="22" t="n">
        <x:v>704</x:v>
      </x:c>
      <x:c r="B709" s="22" t="str">
        <x:v>Nomerogram.ru</x:v>
      </x:c>
      <x:c r="C709" s="31" t="str">
        <x:v>U</x:v>
      </x:c>
      <x:c r="D709" s="22" t="str">
        <x:v>Unassessed</x:v>
      </x:c>
      <x:c r="E709" s="22" t="str">
        <x:v>LICENSE PLATE / VIN / VEHICLE</x:v>
      </x:c>
      <x:c r="F709" s="22" t="str">
        <x:v>Vehicle-related information</x:v>
      </x:c>
      <x:c r="G709" s="22" t="str">
        <x:v>A plate/VIN or vehicle specification does not identify the owner, driver or passenger.</x:v>
      </x:c>
      <x:c r="H709" s="22" t="str">
        <x:v>Verify publisher, source and current function before reliance</x:v>
      </x:c>
      <x:c r="I709" s="22" t="str">
        <x:v>Not checked</x:v>
      </x:c>
      <x:c r="J709" s="22" t="str">
        <x:v>Saved bookmark metadata only</x:v>
      </x:c>
      <x:c r="K709" s="22" t="str"/>
      <x:c r="L709" s="24" t="str"/>
      <x:c r="M709" s="24" t="str">
        <x:v>https://www.nomerogram.ru/</x:v>
      </x:c>
      <x:c r="N709" s="22" t="str">
        <x:v>290381876</x:v>
      </x:c>
      <x:c r="O709" s="22" t="n">
        <x:v>1034</x:v>
      </x:c>
      <x:c r="P709" s="22" t="n">
        <x:v>10</x:v>
      </x:c>
      <x:c r="Q709" s="22" t="str"/>
      <x:c r="R709" s="22" t="n">
        <x:f>COUNTIF($M$6:$M$1177,M709)</x:f>
        <x:v>1</x:v>
      </x:c>
      <x:c r="S709" s="22" t="str">
        <x:v>Other / utility</x:v>
      </x:c>
      <x:c r="T709" s="22" t="str">
        <x:v>Not established</x:v>
      </x:c>
    </x:row>
    <x:row r="710" ht="48" customHeight="1">
      <x:c r="A710" s="22" t="n">
        <x:v>705</x:v>
      </x:c>
      <x:c r="B710" s="22" t="str">
        <x:v>COSINT – OSINT on Cars</x:v>
      </x:c>
      <x:c r="C710" s="27" t="str">
        <x:v>N/A</x:v>
      </x:c>
      <x:c r="D710" s="22" t="str">
        <x:v>Utility classification</x:v>
      </x:c>
      <x:c r="E710" s="22" t="str">
        <x:v>LICENSE PLATE / VIN / VEHICLE</x:v>
      </x:c>
      <x:c r="F710" s="22" t="str">
        <x:v>Vehicle-related information</x:v>
      </x:c>
      <x:c r="G710" s="22" t="str">
        <x:v>Processing or reference utility, not independent connection evidence. Preserve original inputs and validate important output.</x:v>
      </x:c>
      <x:c r="H710" s="22" t="str">
        <x:v>Use as a utility only; functionality not audited</x:v>
      </x:c>
      <x:c r="I710" s="22" t="str">
        <x:v>Not checked</x:v>
      </x:c>
      <x:c r="J710" s="22" t="str">
        <x:v>Saved bookmark metadata only</x:v>
      </x:c>
      <x:c r="K710" s="22" t="str"/>
      <x:c r="L710" s="24" t="str"/>
      <x:c r="M710" s="24" t="str">
        <x:v>https://osintcurio.us/2021/02/17/cosint-osint-on-cars/</x:v>
      </x:c>
      <x:c r="N710" s="22" t="str">
        <x:v>290381792</x:v>
      </x:c>
      <x:c r="O710" s="22" t="n">
        <x:v>1034</x:v>
      </x:c>
      <x:c r="P710" s="22" t="n">
        <x:v>11</x:v>
      </x:c>
      <x:c r="Q710" s="22" t="str"/>
      <x:c r="R710" s="22" t="n">
        <x:f>COUNTIF($M$6:$M$1177,M710)</x:f>
        <x:v>1</x:v>
      </x:c>
      <x:c r="S710" s="22" t="str">
        <x:v>Other / utility</x:v>
      </x:c>
      <x:c r="T710" s="22" t="str">
        <x:v>Scope only</x:v>
      </x:c>
    </x:row>
    <x:row r="711" ht="48" customHeight="1">
      <x:c r="A711" s="22" t="n">
        <x:v>706</x:v>
      </x:c>
      <x:c r="B711" s="22" t="str">
        <x:v>🚗License Plates in Canada 🇨🇦</x:v>
      </x:c>
      <x:c r="C711" s="31" t="str">
        <x:v>U</x:v>
      </x:c>
      <x:c r="D711" s="22" t="str">
        <x:v>Unassessed</x:v>
      </x:c>
      <x:c r="E711" s="22" t="str">
        <x:v>LICENSE PLATE / VIN / VEHICLE</x:v>
      </x:c>
      <x:c r="F711" s="22" t="str">
        <x:v>Vehicle-related information</x:v>
      </x:c>
      <x:c r="G711" s="22" t="str">
        <x:v>A plate/VIN or vehicle specification does not identify the owner, driver or passenger.</x:v>
      </x:c>
      <x:c r="H711" s="22" t="str">
        <x:v>Verify publisher, source and current function before reliance</x:v>
      </x:c>
      <x:c r="I711" s="22" t="str">
        <x:v>Not checked</x:v>
      </x:c>
      <x:c r="J711" s="22" t="str">
        <x:v>Saved bookmark metadata only</x:v>
      </x:c>
      <x:c r="K711" s="22" t="str"/>
      <x:c r="L711" s="24" t="str"/>
      <x:c r="M711" s="24" t="str">
        <x:v>https://www.google.com/maps/d/viewer?mid=1zXYL2BF2MByEduLzYN5brVnli9J3cIlv</x:v>
      </x:c>
      <x:c r="N711" s="22" t="str">
        <x:v>305289100</x:v>
      </x:c>
      <x:c r="O711" s="22" t="n">
        <x:v>1034</x:v>
      </x:c>
      <x:c r="P711" s="22" t="n">
        <x:v>12</x:v>
      </x:c>
      <x:c r="Q711" s="22" t="str"/>
      <x:c r="R711" s="22" t="n">
        <x:f>COUNTIF($M$6:$M$1177,M711)</x:f>
        <x:v>1</x:v>
      </x:c>
      <x:c r="S711" s="22" t="str">
        <x:v>Other / utility</x:v>
      </x:c>
      <x:c r="T711" s="22" t="str">
        <x:v>Not established</x:v>
      </x:c>
    </x:row>
    <x:row r="712" ht="48" customHeight="1">
      <x:c r="A712" s="22" t="n">
        <x:v>707</x:v>
      </x:c>
      <x:c r="B712" s="22" t="str">
        <x:v>Carnet.ai</x:v>
      </x:c>
      <x:c r="C712" s="27" t="str">
        <x:v>N/A</x:v>
      </x:c>
      <x:c r="D712" s="22" t="str">
        <x:v>Utility classification</x:v>
      </x:c>
      <x:c r="E712" s="22" t="str">
        <x:v>LICENSE PLATE / VIN / VEHICLE</x:v>
      </x:c>
      <x:c r="F712" s="22" t="str">
        <x:v>Vehicle-related information</x:v>
      </x:c>
      <x:c r="G712" s="22" t="str">
        <x:v>Processing or reference utility, not independent connection evidence. Preserve original inputs and validate important output.</x:v>
      </x:c>
      <x:c r="H712" s="22" t="str">
        <x:v>Use as a utility only; functionality not audited</x:v>
      </x:c>
      <x:c r="I712" s="22" t="str">
        <x:v>Not checked</x:v>
      </x:c>
      <x:c r="J712" s="22" t="str">
        <x:v>Saved bookmark metadata only</x:v>
      </x:c>
      <x:c r="K712" s="22" t="str"/>
      <x:c r="L712" s="24" t="str"/>
      <x:c r="M712" s="24" t="str">
        <x:v>https://carnet.ai/</x:v>
      </x:c>
      <x:c r="N712" s="22" t="str">
        <x:v>311648161</x:v>
      </x:c>
      <x:c r="O712" s="22" t="n">
        <x:v>1034</x:v>
      </x:c>
      <x:c r="P712" s="22" t="n">
        <x:v>13</x:v>
      </x:c>
      <x:c r="Q712" s="22" t="str"/>
      <x:c r="R712" s="22" t="n">
        <x:f>COUNTIF($M$6:$M$1177,M712)</x:f>
        <x:v>1</x:v>
      </x:c>
      <x:c r="S712" s="22" t="str">
        <x:v>Other / utility</x:v>
      </x:c>
      <x:c r="T712" s="22" t="str">
        <x:v>Scope only</x:v>
      </x:c>
    </x:row>
    <x:row r="713" ht="48" customHeight="1">
      <x:c r="A713" s="22" t="n">
        <x:v>708</x:v>
      </x:c>
      <x:c r="B713" s="22" t="str">
        <x:v>Car/Vehicle Model Recognition Online</x:v>
      </x:c>
      <x:c r="C713" s="27" t="str">
        <x:v>N/A</x:v>
      </x:c>
      <x:c r="D713" s="22" t="str">
        <x:v>Utility classification</x:v>
      </x:c>
      <x:c r="E713" s="22" t="str">
        <x:v>LICENSE PLATE / VIN / VEHICLE</x:v>
      </x:c>
      <x:c r="F713" s="22" t="str">
        <x:v>Vehicle-related information</x:v>
      </x:c>
      <x:c r="G713" s="22" t="str">
        <x:v>Processing or reference utility, not independent connection evidence. Preserve original inputs and validate important output.</x:v>
      </x:c>
      <x:c r="H713" s="22" t="str">
        <x:v>Use as a utility only; functionality not audited</x:v>
      </x:c>
      <x:c r="I713" s="22" t="str">
        <x:v>Not checked</x:v>
      </x:c>
      <x:c r="J713" s="22" t="str">
        <x:v>Saved bookmark metadata only</x:v>
      </x:c>
      <x:c r="K713" s="22" t="str"/>
      <x:c r="L713" s="24" t="str"/>
      <x:c r="M713" s="24" t="str">
        <x:v>https://carmodel.toolpie.com/</x:v>
      </x:c>
      <x:c r="N713" s="22" t="str">
        <x:v>311648162</x:v>
      </x:c>
      <x:c r="O713" s="22" t="n">
        <x:v>1034</x:v>
      </x:c>
      <x:c r="P713" s="22" t="n">
        <x:v>14</x:v>
      </x:c>
      <x:c r="Q713" s="22" t="str"/>
      <x:c r="R713" s="22" t="n">
        <x:f>COUNTIF($M$6:$M$1177,M713)</x:f>
        <x:v>1</x:v>
      </x:c>
      <x:c r="S713" s="22" t="str">
        <x:v>Other / utility</x:v>
      </x:c>
      <x:c r="T713" s="22" t="str">
        <x:v>Scope only</x:v>
      </x:c>
    </x:row>
    <x:row r="714" ht="48" customHeight="1">
      <x:c r="A714" s="22" t="n">
        <x:v>709</x:v>
      </x:c>
      <x:c r="B714" s="22" t="str">
        <x:v>Tools</x:v>
      </x:c>
      <x:c r="C714" s="39" t="str">
        <x:v>C</x:v>
      </x:c>
      <x:c r="D714" s="22" t="str">
        <x:v>Documented</x:v>
      </x:c>
      <x:c r="E714" s="22" t="str">
        <x:v>LICENSE PLATE / VIN / VEHICLE</x:v>
      </x:c>
      <x:c r="F714" s="22" t="str">
        <x:v>Third-party search launcher</x:v>
      </x:c>
      <x:c r="G714" s="22" t="str">
        <x:v>Routes searches to other services and disclaims their results. Multiple routed results are not automatically independent evidence.</x:v>
      </x:c>
      <x:c r="H714" s="22" t="str">
        <x:v>Corroborate before attribution</x:v>
      </x:c>
      <x:c r="I714" s="22" t="str">
        <x:v>Content readable; lookup not tested</x:v>
      </x:c>
      <x:c r="J714" s="22" t="str">
        <x:v>Provider documentation</x:v>
      </x:c>
      <x:c r="K714" s="22" t="str">
        <x:v>S003</x:v>
      </x:c>
      <x:c r="L714" s="24" t="str">
        <x:v>https://intelx.io/tools</x:v>
      </x:c>
      <x:c r="M714" s="24" t="str">
        <x:v>https://intelx.io/tools?tab=vin</x:v>
      </x:c>
      <x:c r="N714" s="22" t="str">
        <x:v>311648166</x:v>
      </x:c>
      <x:c r="O714" s="22" t="n">
        <x:v>1034</x:v>
      </x:c>
      <x:c r="P714" s="22" t="n">
        <x:v>15</x:v>
      </x:c>
      <x:c r="Q714" s="22" t="str">
        <x:v>2026-09-15</x:v>
      </x:c>
      <x:c r="R714" s="22" t="n">
        <x:f>COUNTIF($M$6:$M$1177,M714)</x:f>
        <x:v>1</x:v>
      </x:c>
      <x:c r="S714" s="22" t="str">
        <x:v>Other / utility</x:v>
      </x:c>
      <x:c r="T714" s="22" t="str">
        <x:v>Scoped desk assessment</x:v>
      </x:c>
    </x:row>
    <x:row r="715" ht="48" customHeight="1">
      <x:c r="A715" s="22" t="n">
        <x:v>710</x:v>
      </x:c>
      <x:c r="B715" s="22" t="str">
        <x:v>VIN Check Reports</x:v>
      </x:c>
      <x:c r="C715" s="31" t="str">
        <x:v>U</x:v>
      </x:c>
      <x:c r="D715" s="22" t="str">
        <x:v>Unassessed</x:v>
      </x:c>
      <x:c r="E715" s="22" t="str">
        <x:v>LICENSE PLATE / VIN / VEHICLE</x:v>
      </x:c>
      <x:c r="F715" s="22" t="str">
        <x:v>Vehicle-related information</x:v>
      </x:c>
      <x:c r="G715" s="22" t="str">
        <x:v>A plate/VIN or vehicle specification does not identify the owner, driver or passenger.</x:v>
      </x:c>
      <x:c r="H715" s="22" t="str">
        <x:v>Verify publisher, source and current function before reliance</x:v>
      </x:c>
      <x:c r="I715" s="22" t="str">
        <x:v>Not checked</x:v>
      </x:c>
      <x:c r="J715" s="22" t="str">
        <x:v>Saved bookmark metadata only</x:v>
      </x:c>
      <x:c r="K715" s="22" t="str"/>
      <x:c r="L715" s="24" t="str"/>
      <x:c r="M715" s="24" t="str">
        <x:v>https://vincheck.info/check/vin-check.php</x:v>
      </x:c>
      <x:c r="N715" s="22" t="str">
        <x:v>311648170</x:v>
      </x:c>
      <x:c r="O715" s="22" t="n">
        <x:v>1034</x:v>
      </x:c>
      <x:c r="P715" s="22" t="n">
        <x:v>16</x:v>
      </x:c>
      <x:c r="Q715" s="22" t="str"/>
      <x:c r="R715" s="22" t="n">
        <x:f>COUNTIF($M$6:$M$1177,M715)</x:f>
        <x:v>1</x:v>
      </x:c>
      <x:c r="S715" s="22" t="str">
        <x:v>Other / utility</x:v>
      </x:c>
      <x:c r="T715" s="22" t="str">
        <x:v>Not established</x:v>
      </x:c>
    </x:row>
    <x:row r="716" ht="48" customHeight="1">
      <x:c r="A716" s="22" t="n">
        <x:v>711</x:v>
      </x:c>
      <x:c r="B716" s="22" t="str">
        <x:v>VIN Decoder</x:v>
      </x:c>
      <x:c r="C716" s="31" t="str">
        <x:v>U</x:v>
      </x:c>
      <x:c r="D716" s="22" t="str">
        <x:v>Unassessed</x:v>
      </x:c>
      <x:c r="E716" s="22" t="str">
        <x:v>LICENSE PLATE / VIN / VEHICLE</x:v>
      </x:c>
      <x:c r="F716" s="22" t="str">
        <x:v>Vehicle-related information</x:v>
      </x:c>
      <x:c r="G716" s="22" t="str">
        <x:v>A plate/VIN or vehicle specification does not identify the owner, driver or passenger.</x:v>
      </x:c>
      <x:c r="H716" s="22" t="str">
        <x:v>Verify publisher, source and current function before reliance</x:v>
      </x:c>
      <x:c r="I716" s="22" t="str">
        <x:v>Not checked</x:v>
      </x:c>
      <x:c r="J716" s="22" t="str">
        <x:v>Saved bookmark metadata only</x:v>
      </x:c>
      <x:c r="K716" s="22" t="str"/>
      <x:c r="L716" s="24" t="str"/>
      <x:c r="M716" s="24" t="str">
        <x:v>https://vindecoder.pl/</x:v>
      </x:c>
      <x:c r="N716" s="22" t="str">
        <x:v>311648219</x:v>
      </x:c>
      <x:c r="O716" s="22" t="n">
        <x:v>1034</x:v>
      </x:c>
      <x:c r="P716" s="22" t="n">
        <x:v>17</x:v>
      </x:c>
      <x:c r="Q716" s="22" t="str"/>
      <x:c r="R716" s="22" t="n">
        <x:f>COUNTIF($M$6:$M$1177,M716)</x:f>
        <x:v>1</x:v>
      </x:c>
      <x:c r="S716" s="22" t="str">
        <x:v>Other / utility</x:v>
      </x:c>
      <x:c r="T716" s="22" t="str">
        <x:v>Not established</x:v>
      </x:c>
    </x:row>
    <x:row r="717" ht="48" customHeight="1">
      <x:c r="A717" s="22" t="n">
        <x:v>712</x:v>
      </x:c>
      <x:c r="B717" s="22" t="str">
        <x:v>autodna</x:v>
      </x:c>
      <x:c r="C717" s="31" t="str">
        <x:v>U</x:v>
      </x:c>
      <x:c r="D717" s="22" t="str">
        <x:v>Unassessed</x:v>
      </x:c>
      <x:c r="E717" s="22" t="str">
        <x:v>LICENSE PLATE / VIN / VEHICLE</x:v>
      </x:c>
      <x:c r="F717" s="22" t="str">
        <x:v>Vehicle-related information</x:v>
      </x:c>
      <x:c r="G717" s="22" t="str">
        <x:v>A plate/VIN or vehicle specification does not identify the owner, driver or passenger.</x:v>
      </x:c>
      <x:c r="H717" s="22" t="str">
        <x:v>Verify publisher, source and current function before reliance</x:v>
      </x:c>
      <x:c r="I717" s="22" t="str">
        <x:v>Not checked</x:v>
      </x:c>
      <x:c r="J717" s="22" t="str">
        <x:v>Saved bookmark metadata only</x:v>
      </x:c>
      <x:c r="K717" s="22" t="str"/>
      <x:c r="L717" s="24" t="str"/>
      <x:c r="M717" s="24" t="str">
        <x:v>https://www.autodna.com/</x:v>
      </x:c>
      <x:c r="N717" s="22" t="str">
        <x:v>311648220</x:v>
      </x:c>
      <x:c r="O717" s="22" t="n">
        <x:v>1034</x:v>
      </x:c>
      <x:c r="P717" s="22" t="n">
        <x:v>18</x:v>
      </x:c>
      <x:c r="Q717" s="22" t="str"/>
      <x:c r="R717" s="22" t="n">
        <x:f>COUNTIF($M$6:$M$1177,M717)</x:f>
        <x:v>1</x:v>
      </x:c>
      <x:c r="S717" s="22" t="str">
        <x:v>Other / utility</x:v>
      </x:c>
      <x:c r="T717" s="22" t="str">
        <x:v>Not established</x:v>
      </x:c>
    </x:row>
    <x:row r="718" ht="48" customHeight="1">
      <x:c r="A718" s="22" t="n">
        <x:v>713</x:v>
      </x:c>
      <x:c r="B718" s="22" t="str">
        <x:v>VIN decoder</x:v>
      </x:c>
      <x:c r="C718" s="31" t="str">
        <x:v>U</x:v>
      </x:c>
      <x:c r="D718" s="22" t="str">
        <x:v>Unassessed</x:v>
      </x:c>
      <x:c r="E718" s="22" t="str">
        <x:v>LICENSE PLATE / VIN / VEHICLE</x:v>
      </x:c>
      <x:c r="F718" s="22" t="str">
        <x:v>Vehicle-related information</x:v>
      </x:c>
      <x:c r="G718" s="22" t="str">
        <x:v>A plate/VIN or vehicle specification does not identify the owner, driver or passenger.</x:v>
      </x:c>
      <x:c r="H718" s="22" t="str">
        <x:v>Verify publisher, source and current function before reliance</x:v>
      </x:c>
      <x:c r="I718" s="22" t="str">
        <x:v>Not checked</x:v>
      </x:c>
      <x:c r="J718" s="22" t="str">
        <x:v>Saved bookmark metadata only</x:v>
      </x:c>
      <x:c r="K718" s="22" t="str"/>
      <x:c r="L718" s="24" t="str"/>
      <x:c r="M718" s="24" t="str">
        <x:v>https://www.vindecoder.net/</x:v>
      </x:c>
      <x:c r="N718" s="22" t="str">
        <x:v>311648221</x:v>
      </x:c>
      <x:c r="O718" s="22" t="n">
        <x:v>1034</x:v>
      </x:c>
      <x:c r="P718" s="22" t="n">
        <x:v>19</x:v>
      </x:c>
      <x:c r="Q718" s="22" t="str"/>
      <x:c r="R718" s="22" t="n">
        <x:f>COUNTIF($M$6:$M$1177,M718)</x:f>
        <x:v>1</x:v>
      </x:c>
      <x:c r="S718" s="22" t="str">
        <x:v>Other / utility</x:v>
      </x:c>
      <x:c r="T718" s="22" t="str">
        <x:v>Not established</x:v>
      </x:c>
    </x:row>
    <x:row r="719" ht="48" customHeight="1">
      <x:c r="A719" s="22" t="n">
        <x:v>714</x:v>
      </x:c>
      <x:c r="B719" s="22" t="str">
        <x:v>Orto.website</x:v>
      </x:c>
      <x:c r="C719" s="31" t="str">
        <x:v>U</x:v>
      </x:c>
      <x:c r="D719" s="22" t="str">
        <x:v>Unassessed</x:v>
      </x:c>
      <x:c r="E719" s="22" t="str">
        <x:v>LICENSE PLATE / VIN / VEHICLE</x:v>
      </x:c>
      <x:c r="F719" s="22" t="str">
        <x:v>Vehicle-related information</x:v>
      </x:c>
      <x:c r="G719" s="22" t="str">
        <x:v>A plate/VIN or vehicle specification does not identify the owner, driver or passenger.</x:v>
      </x:c>
      <x:c r="H719" s="22" t="str">
        <x:v>Verify publisher, source and current function before reliance</x:v>
      </x:c>
      <x:c r="I719" s="22" t="str">
        <x:v>Not checked</x:v>
      </x:c>
      <x:c r="J719" s="22" t="str">
        <x:v>Saved bookmark metadata only</x:v>
      </x:c>
      <x:c r="K719" s="22" t="str"/>
      <x:c r="L719" s="24" t="str"/>
      <x:c r="M719" s="24" t="str">
        <x:v>https://orto.website/</x:v>
      </x:c>
      <x:c r="N719" s="22" t="str">
        <x:v>311648216</x:v>
      </x:c>
      <x:c r="O719" s="22" t="n">
        <x:v>1034</x:v>
      </x:c>
      <x:c r="P719" s="22" t="n">
        <x:v>20</x:v>
      </x:c>
      <x:c r="Q719" s="22" t="str"/>
      <x:c r="R719" s="22" t="n">
        <x:f>COUNTIF($M$6:$M$1177,M719)</x:f>
        <x:v>1</x:v>
      </x:c>
      <x:c r="S719" s="22" t="str">
        <x:v>Other / utility</x:v>
      </x:c>
      <x:c r="T719" s="22" t="str">
        <x:v>Not established</x:v>
      </x:c>
    </x:row>
    <x:row r="720" ht="48" customHeight="1">
      <x:c r="A720" s="22" t="n">
        <x:v>715</x:v>
      </x:c>
      <x:c r="B720" s="22" t="str">
        <x:v>Europlates.eu</x:v>
      </x:c>
      <x:c r="C720" s="27" t="str">
        <x:v>N/A</x:v>
      </x:c>
      <x:c r="D720" s="22" t="str">
        <x:v>Utility classification</x:v>
      </x:c>
      <x:c r="E720" s="22" t="str">
        <x:v>LICENSE PLATE / VIN / VEHICLE</x:v>
      </x:c>
      <x:c r="F720" s="22" t="str">
        <x:v>Vehicle-related information</x:v>
      </x:c>
      <x:c r="G720" s="22" t="str">
        <x:v>Processing or reference utility, not independent connection evidence. Preserve original inputs and validate important output.</x:v>
      </x:c>
      <x:c r="H720" s="22" t="str">
        <x:v>Use as a utility only; functionality not audited</x:v>
      </x:c>
      <x:c r="I720" s="22" t="str">
        <x:v>Not checked</x:v>
      </x:c>
      <x:c r="J720" s="22" t="str">
        <x:v>Saved bookmark metadata only</x:v>
      </x:c>
      <x:c r="K720" s="22" t="str"/>
      <x:c r="L720" s="24" t="str"/>
      <x:c r="M720" s="24" t="str">
        <x:v>https://www.europlates.eu/</x:v>
      </x:c>
      <x:c r="N720" s="22" t="str">
        <x:v>311648228</x:v>
      </x:c>
      <x:c r="O720" s="22" t="n">
        <x:v>1034</x:v>
      </x:c>
      <x:c r="P720" s="22" t="n">
        <x:v>21</x:v>
      </x:c>
      <x:c r="Q720" s="22" t="str"/>
      <x:c r="R720" s="22" t="n">
        <x:f>COUNTIF($M$6:$M$1177,M720)</x:f>
        <x:v>1</x:v>
      </x:c>
      <x:c r="S720" s="22" t="str">
        <x:v>Other / utility</x:v>
      </x:c>
      <x:c r="T720" s="22" t="str">
        <x:v>Scope only</x:v>
      </x:c>
    </x:row>
    <x:row r="721" ht="48" customHeight="1">
      <x:c r="A721" s="22" t="n">
        <x:v>716</x:v>
      </x:c>
      <x:c r="B721" s="22" t="str">
        <x:v>How's My Driving NY</x:v>
      </x:c>
      <x:c r="C721" s="31" t="str">
        <x:v>U</x:v>
      </x:c>
      <x:c r="D721" s="22" t="str">
        <x:v>Unassessed</x:v>
      </x:c>
      <x:c r="E721" s="22" t="str">
        <x:v>LICENSE PLATE / VIN / VEHICLE</x:v>
      </x:c>
      <x:c r="F721" s="22" t="str">
        <x:v>Vehicle-related information</x:v>
      </x:c>
      <x:c r="G721" s="22" t="str">
        <x:v>A plate/VIN or vehicle specification does not identify the owner, driver or passenger.</x:v>
      </x:c>
      <x:c r="H721" s="22" t="str">
        <x:v>Verify publisher, source and current function before reliance</x:v>
      </x:c>
      <x:c r="I721" s="22" t="str">
        <x:v>Not checked</x:v>
      </x:c>
      <x:c r="J721" s="22" t="str">
        <x:v>Saved bookmark metadata only</x:v>
      </x:c>
      <x:c r="K721" s="22" t="str"/>
      <x:c r="L721" s="24" t="str"/>
      <x:c r="M721" s="24" t="str">
        <x:v>https://www.howsmydrivingny.nyc/</x:v>
      </x:c>
      <x:c r="N721" s="22" t="str">
        <x:v>311648229</x:v>
      </x:c>
      <x:c r="O721" s="22" t="n">
        <x:v>1034</x:v>
      </x:c>
      <x:c r="P721" s="22" t="n">
        <x:v>22</x:v>
      </x:c>
      <x:c r="Q721" s="22" t="str"/>
      <x:c r="R721" s="22" t="n">
        <x:f>COUNTIF($M$6:$M$1177,M721)</x:f>
        <x:v>1</x:v>
      </x:c>
      <x:c r="S721" s="22" t="str">
        <x:v>Other / utility</x:v>
      </x:c>
      <x:c r="T721" s="22" t="str">
        <x:v>Not established</x:v>
      </x:c>
    </x:row>
    <x:row r="722" ht="48" customHeight="1">
      <x:c r="A722" s="22" t="n">
        <x:v>717</x:v>
      </x:c>
      <x:c r="B722" s="22" t="str">
        <x:v>Deciphering Number Plates</x:v>
      </x:c>
      <x:c r="C722" s="27" t="str">
        <x:v>N/A</x:v>
      </x:c>
      <x:c r="D722" s="22" t="str">
        <x:v>Utility classification</x:v>
      </x:c>
      <x:c r="E722" s="22" t="str">
        <x:v>LICENSE PLATE / VIN / VEHICLE</x:v>
      </x:c>
      <x:c r="F722" s="22" t="str">
        <x:v>Vehicle-related information</x:v>
      </x:c>
      <x:c r="G722" s="22" t="str">
        <x:v>Processing or reference utility, not independent connection evidence. Preserve original inputs and validate important output.</x:v>
      </x:c>
      <x:c r="H722" s="22" t="str">
        <x:v>Use as a utility only; functionality not audited</x:v>
      </x:c>
      <x:c r="I722" s="22" t="str">
        <x:v>Not checked</x:v>
      </x:c>
      <x:c r="J722" s="22" t="str">
        <x:v>Saved bookmark metadata only</x:v>
      </x:c>
      <x:c r="K722" s="22" t="str"/>
      <x:c r="L722" s="24" t="str"/>
      <x:c r="M722" s="24" t="str">
        <x:v>https://www.skoda-storyboard.com/en/series/deciphering-number-plates/</x:v>
      </x:c>
      <x:c r="N722" s="22" t="str">
        <x:v>311648232</x:v>
      </x:c>
      <x:c r="O722" s="22" t="n">
        <x:v>1034</x:v>
      </x:c>
      <x:c r="P722" s="22" t="n">
        <x:v>23</x:v>
      </x:c>
      <x:c r="Q722" s="22" t="str"/>
      <x:c r="R722" s="22" t="n">
        <x:f>COUNTIF($M$6:$M$1177,M722)</x:f>
        <x:v>1</x:v>
      </x:c>
      <x:c r="S722" s="22" t="str">
        <x:v>Other / utility</x:v>
      </x:c>
      <x:c r="T722" s="22" t="str">
        <x:v>Scope only</x:v>
      </x:c>
    </x:row>
    <x:row r="723" ht="48" customHeight="1">
      <x:c r="A723" s="22" t="n">
        <x:v>718</x:v>
      </x:c>
      <x:c r="B723" s="22" t="str">
        <x:v>VIN Decoder &amp; Lookup</x:v>
      </x:c>
      <x:c r="C723" s="31" t="str">
        <x:v>U</x:v>
      </x:c>
      <x:c r="D723" s="22" t="str">
        <x:v>Unassessed</x:v>
      </x:c>
      <x:c r="E723" s="22" t="str">
        <x:v>LICENSE PLATE / VIN / VEHICLE</x:v>
      </x:c>
      <x:c r="F723" s="22" t="str">
        <x:v>Vehicle-related information</x:v>
      </x:c>
      <x:c r="G723" s="22" t="str">
        <x:v>A plate/VIN or vehicle specification does not identify the owner, driver or passenger.</x:v>
      </x:c>
      <x:c r="H723" s="22" t="str">
        <x:v>Verify publisher, source and current function before reliance</x:v>
      </x:c>
      <x:c r="I723" s="22" t="str">
        <x:v>Not checked</x:v>
      </x:c>
      <x:c r="J723" s="22" t="str">
        <x:v>Saved bookmark metadata only</x:v>
      </x:c>
      <x:c r="K723" s="22" t="str"/>
      <x:c r="L723" s="24" t="str"/>
      <x:c r="M723" s="24" t="str">
        <x:v>https://driving-tests.org/vin-decoder/</x:v>
      </x:c>
      <x:c r="N723" s="22" t="str">
        <x:v>311648234</x:v>
      </x:c>
      <x:c r="O723" s="22" t="n">
        <x:v>1034</x:v>
      </x:c>
      <x:c r="P723" s="22" t="n">
        <x:v>24</x:v>
      </x:c>
      <x:c r="Q723" s="22" t="str"/>
      <x:c r="R723" s="22" t="n">
        <x:f>COUNTIF($M$6:$M$1177,M723)</x:f>
        <x:v>1</x:v>
      </x:c>
      <x:c r="S723" s="22" t="str">
        <x:v>Other / utility</x:v>
      </x:c>
      <x:c r="T723" s="22" t="str">
        <x:v>Not established</x:v>
      </x:c>
    </x:row>
    <x:row r="724" ht="48" customHeight="1">
      <x:c r="A724" s="22" t="n">
        <x:v>719</x:v>
      </x:c>
      <x:c r="B724" s="22" t="str">
        <x:v>Check Any VIN</x:v>
      </x:c>
      <x:c r="C724" s="31" t="str">
        <x:v>U</x:v>
      </x:c>
      <x:c r="D724" s="22" t="str">
        <x:v>Unassessed</x:v>
      </x:c>
      <x:c r="E724" s="22" t="str">
        <x:v>LICENSE PLATE / VIN / VEHICLE</x:v>
      </x:c>
      <x:c r="F724" s="22" t="str">
        <x:v>Vehicle-related information</x:v>
      </x:c>
      <x:c r="G724" s="22" t="str">
        <x:v>A plate/VIN or vehicle specification does not identify the owner, driver or passenger.</x:v>
      </x:c>
      <x:c r="H724" s="22" t="str">
        <x:v>Verify publisher, source and current function before reliance</x:v>
      </x:c>
      <x:c r="I724" s="22" t="str">
        <x:v>Not checked</x:v>
      </x:c>
      <x:c r="J724" s="22" t="str">
        <x:v>Saved bookmark metadata only</x:v>
      </x:c>
      <x:c r="K724" s="22" t="str"/>
      <x:c r="L724" s="24" t="str"/>
      <x:c r="M724" s="24" t="str">
        <x:v>https://www.vehiclehistory.com/license-plate-search</x:v>
      </x:c>
      <x:c r="N724" s="22" t="str">
        <x:v>311648244</x:v>
      </x:c>
      <x:c r="O724" s="22" t="n">
        <x:v>1034</x:v>
      </x:c>
      <x:c r="P724" s="22" t="n">
        <x:v>25</x:v>
      </x:c>
      <x:c r="Q724" s="22" t="str"/>
      <x:c r="R724" s="22" t="n">
        <x:f>COUNTIF($M$6:$M$1177,M724)</x:f>
        <x:v>1</x:v>
      </x:c>
      <x:c r="S724" s="22" t="str">
        <x:v>Other / utility</x:v>
      </x:c>
      <x:c r="T724" s="22" t="str">
        <x:v>Not established</x:v>
      </x:c>
    </x:row>
    <x:row r="725" ht="48" customHeight="1">
      <x:c r="A725" s="22" t="n">
        <x:v>720</x:v>
      </x:c>
      <x:c r="B725" s="22" t="str">
        <x:v>Partial Number Plate Search</x:v>
      </x:c>
      <x:c r="C725" s="31" t="str">
        <x:v>U</x:v>
      </x:c>
      <x:c r="D725" s="22" t="str">
        <x:v>Unassessed</x:v>
      </x:c>
      <x:c r="E725" s="22" t="str">
        <x:v>LICENSE PLATE / VIN / VEHICLE</x:v>
      </x:c>
      <x:c r="F725" s="22" t="str">
        <x:v>Vehicle-related information</x:v>
      </x:c>
      <x:c r="G725" s="22" t="str">
        <x:v>A plate/VIN or vehicle specification does not identify the owner, driver or passenger.</x:v>
      </x:c>
      <x:c r="H725" s="22" t="str">
        <x:v>Verify publisher, source and current function before reliance</x:v>
      </x:c>
      <x:c r="I725" s="22" t="str">
        <x:v>Not checked</x:v>
      </x:c>
      <x:c r="J725" s="22" t="str">
        <x:v>Saved bookmark metadata only</x:v>
      </x:c>
      <x:c r="K725" s="22" t="str"/>
      <x:c r="L725" s="24" t="str"/>
      <x:c r="M725" s="24" t="str">
        <x:v>https://www.partialnumberplate.co.uk/</x:v>
      </x:c>
      <x:c r="N725" s="22" t="str">
        <x:v>311648245</x:v>
      </x:c>
      <x:c r="O725" s="22" t="n">
        <x:v>1034</x:v>
      </x:c>
      <x:c r="P725" s="22" t="n">
        <x:v>26</x:v>
      </x:c>
      <x:c r="Q725" s="22" t="str"/>
      <x:c r="R725" s="22" t="n">
        <x:f>COUNTIF($M$6:$M$1177,M725)</x:f>
        <x:v>1</x:v>
      </x:c>
      <x:c r="S725" s="22" t="str">
        <x:v>Other / utility</x:v>
      </x:c>
      <x:c r="T725" s="22" t="str">
        <x:v>Not established</x:v>
      </x:c>
    </x:row>
    <x:row r="726" ht="48" customHeight="1">
      <x:c r="A726" s="22" t="n">
        <x:v>721</x:v>
      </x:c>
      <x:c r="B726" s="22" t="str">
        <x:v>License Plate Lookup</x:v>
      </x:c>
      <x:c r="C726" s="31" t="str">
        <x:v>U</x:v>
      </x:c>
      <x:c r="D726" s="22" t="str">
        <x:v>Unassessed</x:v>
      </x:c>
      <x:c r="E726" s="22" t="str">
        <x:v>LICENSE PLATE / VIN / VEHICLE</x:v>
      </x:c>
      <x:c r="F726" s="22" t="str">
        <x:v>Vehicle-related information</x:v>
      </x:c>
      <x:c r="G726" s="22" t="str">
        <x:v>A plate/VIN or vehicle specification does not identify the owner, driver or passenger.</x:v>
      </x:c>
      <x:c r="H726" s="22" t="str">
        <x:v>Verify publisher, source and current function before reliance</x:v>
      </x:c>
      <x:c r="I726" s="22" t="str">
        <x:v>Not checked</x:v>
      </x:c>
      <x:c r="J726" s="22" t="str">
        <x:v>Saved bookmark metadata only</x:v>
      </x:c>
      <x:c r="K726" s="22" t="str"/>
      <x:c r="L726" s="24" t="str"/>
      <x:c r="M726" s="24" t="str">
        <x:v>https://www.searchquarry.com/free-license-plate-number-lookup/</x:v>
      </x:c>
      <x:c r="N726" s="22" t="str">
        <x:v>311648247</x:v>
      </x:c>
      <x:c r="O726" s="22" t="n">
        <x:v>1034</x:v>
      </x:c>
      <x:c r="P726" s="22" t="n">
        <x:v>27</x:v>
      </x:c>
      <x:c r="Q726" s="22" t="str"/>
      <x:c r="R726" s="22" t="n">
        <x:f>COUNTIF($M$6:$M$1177,M726)</x:f>
        <x:v>1</x:v>
      </x:c>
      <x:c r="S726" s="22" t="str">
        <x:v>Other / utility</x:v>
      </x:c>
      <x:c r="T726" s="22" t="str">
        <x:v>Not established</x:v>
      </x:c>
    </x:row>
    <x:row r="727" ht="48" customHeight="1">
      <x:c r="A727" s="22" t="n">
        <x:v>722</x:v>
      </x:c>
      <x:c r="B727" s="22" t="str">
        <x:v>Vehicle Enquiry</x:v>
      </x:c>
      <x:c r="C727" s="51" t="str">
        <x:v>A</x:v>
      </x:c>
      <x:c r="D727" s="22" t="str">
        <x:v>Documented</x:v>
      </x:c>
      <x:c r="E727" s="22" t="str">
        <x:v>LICENSE PLATE / VIN / VEHICLE</x:v>
      </x:c>
      <x:c r="F727" s="22" t="str">
        <x:v>Official UK vehicle tax / MOT enquiry</x:v>
      </x:c>
      <x:c r="G727" s="22" t="str">
        <x:v>Official vehicle-status enquiry. Tax or MOT information is not proof of the identity of the owner, keeper or driver.</x:v>
      </x:c>
      <x:c r="H727" s="22" t="str">
        <x:v>Verify exact official record</x:v>
      </x:c>
      <x:c r="I727" s="22" t="str">
        <x:v>Official entry form readable; no vehicle query</x:v>
      </x:c>
      <x:c r="J727" s="22" t="str">
        <x:v>Official agency service</x:v>
      </x:c>
      <x:c r="K727" s="22" t="str">
        <x:v>S089</x:v>
      </x:c>
      <x:c r="L727" s="24" t="str">
        <x:v>https://vehicleenquiry.service.gov.uk/?locale=en</x:v>
      </x:c>
      <x:c r="M727" s="24" t="str">
        <x:v>https://vehicleenquiry.service.gov.uk/?locale=en</x:v>
      </x:c>
      <x:c r="N727" s="22" t="str">
        <x:v>311648249</x:v>
      </x:c>
      <x:c r="O727" s="22" t="n">
        <x:v>1034</x:v>
      </x:c>
      <x:c r="P727" s="22" t="n">
        <x:v>28</x:v>
      </x:c>
      <x:c r="Q727" s="22" t="str">
        <x:v>2026-09-15</x:v>
      </x:c>
      <x:c r="R727" s="22" t="n">
        <x:f>COUNTIF($M$6:$M$1177,M727)</x:f>
        <x:v>1</x:v>
      </x:c>
      <x:c r="S727" s="22" t="str">
        <x:v>Contacts / records</x:v>
      </x:c>
      <x:c r="T727" s="22" t="str">
        <x:v>Scoped desk assessment</x:v>
      </x:c>
    </x:row>
    <x:row r="728" ht="48" customHeight="1">
      <x:c r="A728" s="22" t="n">
        <x:v>723</x:v>
      </x:c>
      <x:c r="B728" s="22" t="str">
        <x:v>Number Plate Check</x:v>
      </x:c>
      <x:c r="C728" s="31" t="str">
        <x:v>U</x:v>
      </x:c>
      <x:c r="D728" s="22" t="str">
        <x:v>Unassessed</x:v>
      </x:c>
      <x:c r="E728" s="22" t="str">
        <x:v>LICENSE PLATE / VIN / VEHICLE</x:v>
      </x:c>
      <x:c r="F728" s="22" t="str">
        <x:v>Vehicle-related information</x:v>
      </x:c>
      <x:c r="G728" s="22" t="str">
        <x:v>A plate/VIN or vehicle specification does not identify the owner, driver or passenger.</x:v>
      </x:c>
      <x:c r="H728" s="22" t="str">
        <x:v>Verify publisher, source and current function before reliance</x:v>
      </x:c>
      <x:c r="I728" s="22" t="str">
        <x:v>Not checked</x:v>
      </x:c>
      <x:c r="J728" s="22" t="str">
        <x:v>Saved bookmark metadata only</x:v>
      </x:c>
      <x:c r="K728" s="22" t="str"/>
      <x:c r="L728" s="24" t="str"/>
      <x:c r="M728" s="24" t="str">
        <x:v>https://www.checkcardetails.co.uk/number-plate-check</x:v>
      </x:c>
      <x:c r="N728" s="22" t="str">
        <x:v>311648252</x:v>
      </x:c>
      <x:c r="O728" s="22" t="n">
        <x:v>1034</x:v>
      </x:c>
      <x:c r="P728" s="22" t="n">
        <x:v>29</x:v>
      </x:c>
      <x:c r="Q728" s="22" t="str"/>
      <x:c r="R728" s="22" t="n">
        <x:f>COUNTIF($M$6:$M$1177,M728)</x:f>
        <x:v>1</x:v>
      </x:c>
      <x:c r="S728" s="22" t="str">
        <x:v>Other / utility</x:v>
      </x:c>
      <x:c r="T728" s="22" t="str">
        <x:v>Not established</x:v>
      </x:c>
    </x:row>
    <x:row r="729" ht="48" customHeight="1">
      <x:c r="A729" s="22" t="n">
        <x:v>724</x:v>
      </x:c>
      <x:c r="B729" s="22" t="str">
        <x:v>License Plate Lookup</x:v>
      </x:c>
      <x:c r="C729" s="31" t="str">
        <x:v>U</x:v>
      </x:c>
      <x:c r="D729" s="22" t="str">
        <x:v>Unassessed</x:v>
      </x:c>
      <x:c r="E729" s="22" t="str">
        <x:v>LICENSE PLATE / VIN / VEHICLE</x:v>
      </x:c>
      <x:c r="F729" s="22" t="str">
        <x:v>Vehicle-related information</x:v>
      </x:c>
      <x:c r="G729" s="22" t="str">
        <x:v>A plate/VIN or vehicle specification does not identify the owner, driver or passenger.</x:v>
      </x:c>
      <x:c r="H729" s="22" t="str">
        <x:v>Verify publisher, source and current function before reliance</x:v>
      </x:c>
      <x:c r="I729" s="22" t="str">
        <x:v>Not checked</x:v>
      </x:c>
      <x:c r="J729" s="22" t="str">
        <x:v>Saved bookmark metadata only</x:v>
      </x:c>
      <x:c r="K729" s="22" t="str"/>
      <x:c r="L729" s="24" t="str"/>
      <x:c r="M729" s="24" t="str">
        <x:v>https://findbyplate.com/</x:v>
      </x:c>
      <x:c r="N729" s="22" t="str">
        <x:v>311648254</x:v>
      </x:c>
      <x:c r="O729" s="22" t="n">
        <x:v>1034</x:v>
      </x:c>
      <x:c r="P729" s="22" t="n">
        <x:v>30</x:v>
      </x:c>
      <x:c r="Q729" s="22" t="str"/>
      <x:c r="R729" s="22" t="n">
        <x:f>COUNTIF($M$6:$M$1177,M729)</x:f>
        <x:v>1</x:v>
      </x:c>
      <x:c r="S729" s="22" t="str">
        <x:v>Other / utility</x:v>
      </x:c>
      <x:c r="T729" s="22" t="str">
        <x:v>Not established</x:v>
      </x:c>
    </x:row>
    <x:row r="730" ht="48" customHeight="1">
      <x:c r="A730" s="22" t="n">
        <x:v>725</x:v>
      </x:c>
      <x:c r="B730" s="22" t="str">
        <x:v>FlightAirMap</x:v>
      </x:c>
      <x:c r="C730" s="31" t="str">
        <x:v>U</x:v>
      </x:c>
      <x:c r="D730" s="22" t="str">
        <x:v>Unassessed</x:v>
      </x:c>
      <x:c r="E730" s="22" t="str">
        <x:v>FLIGHT TRACKER</x:v>
      </x:c>
      <x:c r="F730" s="22" t="str">
        <x:v>Aircraft observations</x:v>
      </x:c>
      <x:c r="G730" s="22" t="str">
        <x:v>Aircraft tracking does not establish that a particular person was on board.</x:v>
      </x:c>
      <x:c r="H730" s="22" t="str">
        <x:v>Verify publisher, source and current function before reliance</x:v>
      </x:c>
      <x:c r="I730" s="22" t="str">
        <x:v>Not checked</x:v>
      </x:c>
      <x:c r="J730" s="22" t="str">
        <x:v>Saved bookmark metadata only</x:v>
      </x:c>
      <x:c r="K730" s="22" t="str"/>
      <x:c r="L730" s="24" t="str"/>
      <x:c r="M730" s="24" t="str">
        <x:v>https://www.flightairmap.com/</x:v>
      </x:c>
      <x:c r="N730" s="22" t="str">
        <x:v>305289678</x:v>
      </x:c>
      <x:c r="O730" s="22" t="n">
        <x:v>1034</x:v>
      </x:c>
      <x:c r="P730" s="22" t="n">
        <x:v>1</x:v>
      </x:c>
      <x:c r="Q730" s="22" t="str"/>
      <x:c r="R730" s="22" t="n">
        <x:f>COUNTIF($M$6:$M$1177,M730)</x:f>
        <x:v>2</x:v>
      </x:c>
      <x:c r="S730" s="22" t="str">
        <x:v>Other / utility</x:v>
      </x:c>
      <x:c r="T730" s="22" t="str">
        <x:v>Not established</x:v>
      </x:c>
    </x:row>
    <x:row r="731" ht="48" customHeight="1">
      <x:c r="A731" s="22" t="n">
        <x:v>726</x:v>
      </x:c>
      <x:c r="B731" s="22" t="str">
        <x:v>ADS-B Exchange</x:v>
      </x:c>
      <x:c r="C731" s="31" t="str">
        <x:v>U</x:v>
      </x:c>
      <x:c r="D731" s="22" t="str">
        <x:v>Unassessed</x:v>
      </x:c>
      <x:c r="E731" s="22" t="str">
        <x:v>FLIGHT TRACKER</x:v>
      </x:c>
      <x:c r="F731" s="22" t="str">
        <x:v>Aircraft observations</x:v>
      </x:c>
      <x:c r="G731" s="22" t="str">
        <x:v>Aircraft tracking does not establish that a particular person was on board.</x:v>
      </x:c>
      <x:c r="H731" s="22" t="str">
        <x:v>Verify publisher, source and current function before reliance</x:v>
      </x:c>
      <x:c r="I731" s="22" t="str">
        <x:v>Not checked</x:v>
      </x:c>
      <x:c r="J731" s="22" t="str">
        <x:v>Saved bookmark metadata only</x:v>
      </x:c>
      <x:c r="K731" s="22" t="str"/>
      <x:c r="L731" s="24" t="str"/>
      <x:c r="M731" s="24" t="str">
        <x:v>https://globe.adsbexchange.com/</x:v>
      </x:c>
      <x:c r="N731" s="22" t="str">
        <x:v>294730907</x:v>
      </x:c>
      <x:c r="O731" s="22" t="n">
        <x:v>1034</x:v>
      </x:c>
      <x:c r="P731" s="22" t="n">
        <x:v>2</x:v>
      </x:c>
      <x:c r="Q731" s="22" t="str"/>
      <x:c r="R731" s="22" t="n">
        <x:f>COUNTIF($M$6:$M$1177,M731)</x:f>
        <x:v>1</x:v>
      </x:c>
      <x:c r="S731" s="22" t="str">
        <x:v>Other / utility</x:v>
      </x:c>
      <x:c r="T731" s="22" t="str">
        <x:v>Not established</x:v>
      </x:c>
    </x:row>
    <x:row r="732" ht="48" customHeight="1">
      <x:c r="A732" s="22" t="n">
        <x:v>727</x:v>
      </x:c>
      <x:c r="B732" s="22" t="str">
        <x:v>Icarus.flights</x:v>
      </x:c>
      <x:c r="C732" s="31" t="str">
        <x:v>U</x:v>
      </x:c>
      <x:c r="D732" s="22" t="str">
        <x:v>Unassessed</x:v>
      </x:c>
      <x:c r="E732" s="22" t="str">
        <x:v>FLIGHT TRACKER</x:v>
      </x:c>
      <x:c r="F732" s="22" t="str">
        <x:v>Aircraft observations</x:v>
      </x:c>
      <x:c r="G732" s="22" t="str">
        <x:v>Aircraft tracking does not establish that a particular person was on board.</x:v>
      </x:c>
      <x:c r="H732" s="22" t="str">
        <x:v>Verify publisher, source and current function before reliance</x:v>
      </x:c>
      <x:c r="I732" s="22" t="str">
        <x:v>Not checked</x:v>
      </x:c>
      <x:c r="J732" s="22" t="str">
        <x:v>Saved bookmark metadata only</x:v>
      </x:c>
      <x:c r="K732" s="22" t="str"/>
      <x:c r="L732" s="24" t="str"/>
      <x:c r="M732" s="24" t="str">
        <x:v>https://icarus.flights/</x:v>
      </x:c>
      <x:c r="N732" s="22" t="str">
        <x:v>286749833</x:v>
      </x:c>
      <x:c r="O732" s="22" t="n">
        <x:v>1034</x:v>
      </x:c>
      <x:c r="P732" s="22" t="n">
        <x:v>3</x:v>
      </x:c>
      <x:c r="Q732" s="22" t="str"/>
      <x:c r="R732" s="22" t="n">
        <x:f>COUNTIF($M$6:$M$1177,M732)</x:f>
        <x:v>1</x:v>
      </x:c>
      <x:c r="S732" s="22" t="str">
        <x:v>Other / utility</x:v>
      </x:c>
      <x:c r="T732" s="22" t="str">
        <x:v>Not established</x:v>
      </x:c>
    </x:row>
    <x:row r="733" ht="48" customHeight="1">
      <x:c r="A733" s="22" t="n">
        <x:v>728</x:v>
      </x:c>
      <x:c r="B733" s="22" t="str">
        <x:v>FlightAware</x:v>
      </x:c>
      <x:c r="C733" s="31" t="str">
        <x:v>U</x:v>
      </x:c>
      <x:c r="D733" s="22" t="str">
        <x:v>Unassessed</x:v>
      </x:c>
      <x:c r="E733" s="22" t="str">
        <x:v>FLIGHT TRACKER</x:v>
      </x:c>
      <x:c r="F733" s="22" t="str">
        <x:v>Aircraft observations</x:v>
      </x:c>
      <x:c r="G733" s="22" t="str">
        <x:v>Aircraft tracking does not establish that a particular person was on board.</x:v>
      </x:c>
      <x:c r="H733" s="22" t="str">
        <x:v>Verify publisher, source and current function before reliance</x:v>
      </x:c>
      <x:c r="I733" s="22" t="str">
        <x:v>Not checked</x:v>
      </x:c>
      <x:c r="J733" s="22" t="str">
        <x:v>Saved bookmark metadata only</x:v>
      </x:c>
      <x:c r="K733" s="22" t="str"/>
      <x:c r="L733" s="24" t="str"/>
      <x:c r="M733" s="24" t="str">
        <x:v>https://flightaware.com/</x:v>
      </x:c>
      <x:c r="N733" s="22" t="str">
        <x:v>268401467</x:v>
      </x:c>
      <x:c r="O733" s="22" t="n">
        <x:v>1034</x:v>
      </x:c>
      <x:c r="P733" s="22" t="n">
        <x:v>4</x:v>
      </x:c>
      <x:c r="Q733" s="22" t="str"/>
      <x:c r="R733" s="22" t="n">
        <x:f>COUNTIF($M$6:$M$1177,M733)</x:f>
        <x:v>1</x:v>
      </x:c>
      <x:c r="S733" s="22" t="str">
        <x:v>Other / utility</x:v>
      </x:c>
      <x:c r="T733" s="22" t="str">
        <x:v>Not established</x:v>
      </x:c>
    </x:row>
    <x:row r="734" ht="48" customHeight="1">
      <x:c r="A734" s="22" t="n">
        <x:v>729</x:v>
      </x:c>
      <x:c r="B734" s="22" t="str">
        <x:v>Flightradar24</x:v>
      </x:c>
      <x:c r="C734" s="31" t="str">
        <x:v>U</x:v>
      </x:c>
      <x:c r="D734" s="22" t="str">
        <x:v>Unassessed</x:v>
      </x:c>
      <x:c r="E734" s="22" t="str">
        <x:v>FLIGHT TRACKER</x:v>
      </x:c>
      <x:c r="F734" s="22" t="str">
        <x:v>Aircraft observations</x:v>
      </x:c>
      <x:c r="G734" s="22" t="str">
        <x:v>Aircraft tracking does not establish that a particular person was on board.</x:v>
      </x:c>
      <x:c r="H734" s="22" t="str">
        <x:v>Verify publisher, source and current function before reliance</x:v>
      </x:c>
      <x:c r="I734" s="22" t="str">
        <x:v>Not checked</x:v>
      </x:c>
      <x:c r="J734" s="22" t="str">
        <x:v>Saved bookmark metadata only</x:v>
      </x:c>
      <x:c r="K734" s="22" t="str"/>
      <x:c r="L734" s="24" t="str"/>
      <x:c r="M734" s="24" t="str">
        <x:v>https://www.flightradar24.com/</x:v>
      </x:c>
      <x:c r="N734" s="22" t="str">
        <x:v>268409310</x:v>
      </x:c>
      <x:c r="O734" s="22" t="n">
        <x:v>1034</x:v>
      </x:c>
      <x:c r="P734" s="22" t="n">
        <x:v>5</x:v>
      </x:c>
      <x:c r="Q734" s="22" t="str"/>
      <x:c r="R734" s="22" t="n">
        <x:f>COUNTIF($M$6:$M$1177,M734)</x:f>
        <x:v>1</x:v>
      </x:c>
      <x:c r="S734" s="22" t="str">
        <x:v>Other / utility</x:v>
      </x:c>
      <x:c r="T734" s="22" t="str">
        <x:v>Not established</x:v>
      </x:c>
    </x:row>
    <x:row r="735" ht="48" customHeight="1">
      <x:c r="A735" s="22" t="n">
        <x:v>730</x:v>
      </x:c>
      <x:c r="B735" s="22" t="str">
        <x:v>Live Air Traffic Control</x:v>
      </x:c>
      <x:c r="C735" s="31" t="str">
        <x:v>U</x:v>
      </x:c>
      <x:c r="D735" s="22" t="str">
        <x:v>Unassessed</x:v>
      </x:c>
      <x:c r="E735" s="22" t="str">
        <x:v>FLIGHT TRACKER</x:v>
      </x:c>
      <x:c r="F735" s="22" t="str">
        <x:v>Aircraft observations</x:v>
      </x:c>
      <x:c r="G735" s="22" t="str">
        <x:v>Aircraft tracking does not establish that a particular person was on board.</x:v>
      </x:c>
      <x:c r="H735" s="22" t="str">
        <x:v>Verify publisher, source and current function before reliance</x:v>
      </x:c>
      <x:c r="I735" s="22" t="str">
        <x:v>Not checked</x:v>
      </x:c>
      <x:c r="J735" s="22" t="str">
        <x:v>Saved bookmark metadata only</x:v>
      </x:c>
      <x:c r="K735" s="22" t="str"/>
      <x:c r="L735" s="24" t="str"/>
      <x:c r="M735" s="24" t="str">
        <x:v>https://www.liveatc.net/</x:v>
      </x:c>
      <x:c r="N735" s="22" t="str">
        <x:v>268409360</x:v>
      </x:c>
      <x:c r="O735" s="22" t="n">
        <x:v>1034</x:v>
      </x:c>
      <x:c r="P735" s="22" t="n">
        <x:v>6</x:v>
      </x:c>
      <x:c r="Q735" s="22" t="str"/>
      <x:c r="R735" s="22" t="n">
        <x:f>COUNTIF($M$6:$M$1177,M735)</x:f>
        <x:v>1</x:v>
      </x:c>
      <x:c r="S735" s="22" t="str">
        <x:v>Other / utility</x:v>
      </x:c>
      <x:c r="T735" s="22" t="str">
        <x:v>Not established</x:v>
      </x:c>
    </x:row>
    <x:row r="736" ht="48" customHeight="1">
      <x:c r="A736" s="22" t="n">
        <x:v>731</x:v>
      </x:c>
      <x:c r="B736" s="22" t="str">
        <x:v>Planespotters.net</x:v>
      </x:c>
      <x:c r="C736" s="31" t="str">
        <x:v>U</x:v>
      </x:c>
      <x:c r="D736" s="22" t="str">
        <x:v>Unassessed</x:v>
      </x:c>
      <x:c r="E736" s="22" t="str">
        <x:v>FLIGHT TRACKER</x:v>
      </x:c>
      <x:c r="F736" s="22" t="str">
        <x:v>Aircraft observations</x:v>
      </x:c>
      <x:c r="G736" s="22" t="str">
        <x:v>Aircraft tracking does not establish that a particular person was on board.</x:v>
      </x:c>
      <x:c r="H736" s="22" t="str">
        <x:v>Verify publisher, source and current function before reliance</x:v>
      </x:c>
      <x:c r="I736" s="22" t="str">
        <x:v>Not checked</x:v>
      </x:c>
      <x:c r="J736" s="22" t="str">
        <x:v>Saved bookmark metadata only</x:v>
      </x:c>
      <x:c r="K736" s="22" t="str"/>
      <x:c r="L736" s="24" t="str"/>
      <x:c r="M736" s="24" t="str">
        <x:v>https://www.planespotters.net/</x:v>
      </x:c>
      <x:c r="N736" s="22" t="str">
        <x:v>268409359</x:v>
      </x:c>
      <x:c r="O736" s="22" t="n">
        <x:v>1034</x:v>
      </x:c>
      <x:c r="P736" s="22" t="n">
        <x:v>7</x:v>
      </x:c>
      <x:c r="Q736" s="22" t="str"/>
      <x:c r="R736" s="22" t="n">
        <x:f>COUNTIF($M$6:$M$1177,M736)</x:f>
        <x:v>1</x:v>
      </x:c>
      <x:c r="S736" s="22" t="str">
        <x:v>Other / utility</x:v>
      </x:c>
      <x:c r="T736" s="22" t="str">
        <x:v>Not established</x:v>
      </x:c>
    </x:row>
    <x:row r="737" ht="48" customHeight="1">
      <x:c r="A737" s="22" t="n">
        <x:v>732</x:v>
      </x:c>
      <x:c r="B737" s="22" t="str">
        <x:v>Skyscanner</x:v>
      </x:c>
      <x:c r="C737" s="31" t="str">
        <x:v>U</x:v>
      </x:c>
      <x:c r="D737" s="22" t="str">
        <x:v>Unassessed</x:v>
      </x:c>
      <x:c r="E737" s="22" t="str">
        <x:v>FLIGHT TRACKER</x:v>
      </x:c>
      <x:c r="F737" s="22" t="str">
        <x:v>Aircraft observations</x:v>
      </x:c>
      <x:c r="G737" s="22" t="str">
        <x:v>Aircraft tracking does not establish that a particular person was on board.</x:v>
      </x:c>
      <x:c r="H737" s="22" t="str">
        <x:v>Verify publisher, source and current function before reliance</x:v>
      </x:c>
      <x:c r="I737" s="22" t="str">
        <x:v>Not checked</x:v>
      </x:c>
      <x:c r="J737" s="22" t="str">
        <x:v>Saved bookmark metadata only</x:v>
      </x:c>
      <x:c r="K737" s="22" t="str"/>
      <x:c r="L737" s="24" t="str"/>
      <x:c r="M737" s="24" t="str">
        <x:v>https://www.skyscanner.com/</x:v>
      </x:c>
      <x:c r="N737" s="22" t="str">
        <x:v>286822842</x:v>
      </x:c>
      <x:c r="O737" s="22" t="n">
        <x:v>1034</x:v>
      </x:c>
      <x:c r="P737" s="22" t="n">
        <x:v>8</x:v>
      </x:c>
      <x:c r="Q737" s="22" t="str"/>
      <x:c r="R737" s="22" t="n">
        <x:f>COUNTIF($M$6:$M$1177,M737)</x:f>
        <x:v>1</x:v>
      </x:c>
      <x:c r="S737" s="22" t="str">
        <x:v>Other / utility</x:v>
      </x:c>
      <x:c r="T737" s="22" t="str">
        <x:v>Not established</x:v>
      </x:c>
    </x:row>
    <x:row r="738" ht="48" customHeight="1">
      <x:c r="A738" s="22" t="n">
        <x:v>733</x:v>
      </x:c>
      <x:c r="B738" s="22" t="str">
        <x:v>RadarBox</x:v>
      </x:c>
      <x:c r="C738" s="31" t="str">
        <x:v>U</x:v>
      </x:c>
      <x:c r="D738" s="22" t="str">
        <x:v>Unassessed</x:v>
      </x:c>
      <x:c r="E738" s="22" t="str">
        <x:v>FLIGHT TRACKER</x:v>
      </x:c>
      <x:c r="F738" s="22" t="str">
        <x:v>Aircraft observations</x:v>
      </x:c>
      <x:c r="G738" s="22" t="str">
        <x:v>Aircraft tracking does not establish that a particular person was on board.</x:v>
      </x:c>
      <x:c r="H738" s="22" t="str">
        <x:v>Verify publisher, source and current function before reliance</x:v>
      </x:c>
      <x:c r="I738" s="22" t="str">
        <x:v>Not checked</x:v>
      </x:c>
      <x:c r="J738" s="22" t="str">
        <x:v>Saved bookmark metadata only</x:v>
      </x:c>
      <x:c r="K738" s="22" t="str"/>
      <x:c r="L738" s="24" t="str"/>
      <x:c r="M738" s="24" t="str">
        <x:v>https://www.radarbox.com/</x:v>
      </x:c>
      <x:c r="N738" s="22" t="str">
        <x:v>294731382</x:v>
      </x:c>
      <x:c r="O738" s="22" t="n">
        <x:v>1034</x:v>
      </x:c>
      <x:c r="P738" s="22" t="n">
        <x:v>9</x:v>
      </x:c>
      <x:c r="Q738" s="22" t="str"/>
      <x:c r="R738" s="22" t="n">
        <x:f>COUNTIF($M$6:$M$1177,M738)</x:f>
        <x:v>1</x:v>
      </x:c>
      <x:c r="S738" s="22" t="str">
        <x:v>Other / utility</x:v>
      </x:c>
      <x:c r="T738" s="22" t="str">
        <x:v>Not established</x:v>
      </x:c>
    </x:row>
    <x:row r="739" ht="48" customHeight="1">
      <x:c r="A739" s="22" t="n">
        <x:v>734</x:v>
      </x:c>
      <x:c r="B739" s="22" t="str">
        <x:v>ICAO Civil and Military airspace SUASHP</x:v>
      </x:c>
      <x:c r="C739" s="31" t="str">
        <x:v>U</x:v>
      </x:c>
      <x:c r="D739" s="22" t="str">
        <x:v>Unassessed</x:v>
      </x:c>
      <x:c r="E739" s="22" t="str">
        <x:v>FLIGHT TRACKER</x:v>
      </x:c>
      <x:c r="F739" s="22" t="str">
        <x:v>Aircraft observations</x:v>
      </x:c>
      <x:c r="G739" s="22" t="str">
        <x:v>Aircraft tracking does not establish that a particular person was on board.</x:v>
      </x:c>
      <x:c r="H739" s="22" t="str">
        <x:v>Verify publisher, source and current function before reliance</x:v>
      </x:c>
      <x:c r="I739" s="22" t="str">
        <x:v>Not checked</x:v>
      </x:c>
      <x:c r="J739" s="22" t="str">
        <x:v>Saved bookmark metadata only</x:v>
      </x:c>
      <x:c r="K739" s="22" t="str"/>
      <x:c r="L739" s="24" t="str"/>
      <x:c r="M739" s="24" t="str">
        <x:v>https://www.arcgis.com/apps/webappviewer/index.html?id=5db021bcb221498f81be055b3e238bf8</x:v>
      </x:c>
      <x:c r="N739" s="22" t="str">
        <x:v>294298744</x:v>
      </x:c>
      <x:c r="O739" s="22" t="n">
        <x:v>1034</x:v>
      </x:c>
      <x:c r="P739" s="22" t="n">
        <x:v>10</x:v>
      </x:c>
      <x:c r="Q739" s="22" t="str"/>
      <x:c r="R739" s="22" t="n">
        <x:f>COUNTIF($M$6:$M$1177,M739)</x:f>
        <x:v>1</x:v>
      </x:c>
      <x:c r="S739" s="22" t="str">
        <x:v>Other / utility</x:v>
      </x:c>
      <x:c r="T739" s="22" t="str">
        <x:v>Not established</x:v>
      </x:c>
    </x:row>
    <x:row r="740" ht="48" customHeight="1">
      <x:c r="A740" s="22" t="n">
        <x:v>735</x:v>
      </x:c>
      <x:c r="B740" s="22" t="str">
        <x:v>Marine Traffic</x:v>
      </x:c>
      <x:c r="C740" s="31" t="str">
        <x:v>U</x:v>
      </x:c>
      <x:c r="D740" s="22" t="str">
        <x:v>Unassessed</x:v>
      </x:c>
      <x:c r="E740" s="22" t="str">
        <x:v>MARITIME</x:v>
      </x:c>
      <x:c r="F740" s="22" t="str">
        <x:v>Vessel observations</x:v>
      </x:c>
      <x:c r="G740" s="22" t="str">
        <x:v>A vessel transmission or registration is not proof of who was on board or in control.</x:v>
      </x:c>
      <x:c r="H740" s="22" t="str">
        <x:v>Verify publisher, source and current function before reliance</x:v>
      </x:c>
      <x:c r="I740" s="22" t="str">
        <x:v>Not checked</x:v>
      </x:c>
      <x:c r="J740" s="22" t="str">
        <x:v>Saved bookmark metadata only</x:v>
      </x:c>
      <x:c r="K740" s="22" t="str"/>
      <x:c r="L740" s="24" t="str"/>
      <x:c r="M740" s="24" t="str">
        <x:v>https://www.marinetraffic.com/</x:v>
      </x:c>
      <x:c r="N740" s="22" t="str">
        <x:v>290381886</x:v>
      </x:c>
      <x:c r="O740" s="22" t="n">
        <x:v>1034</x:v>
      </x:c>
      <x:c r="P740" s="22" t="n">
        <x:v>1</x:v>
      </x:c>
      <x:c r="Q740" s="22" t="str"/>
      <x:c r="R740" s="22" t="n">
        <x:f>COUNTIF($M$6:$M$1177,M740)</x:f>
        <x:v>1</x:v>
      </x:c>
      <x:c r="S740" s="22" t="str">
        <x:v>Other / utility</x:v>
      </x:c>
      <x:c r="T740" s="22" t="str">
        <x:v>Not established</x:v>
      </x:c>
    </x:row>
    <x:row r="741" ht="48" customHeight="1">
      <x:c r="A741" s="22" t="n">
        <x:v>736</x:v>
      </x:c>
      <x:c r="B741" s="22" t="str">
        <x:v>VesselFinder</x:v>
      </x:c>
      <x:c r="C741" s="31" t="str">
        <x:v>U</x:v>
      </x:c>
      <x:c r="D741" s="22" t="str">
        <x:v>Unassessed</x:v>
      </x:c>
      <x:c r="E741" s="22" t="str">
        <x:v>MARITIME</x:v>
      </x:c>
      <x:c r="F741" s="22" t="str">
        <x:v>Vessel observations</x:v>
      </x:c>
      <x:c r="G741" s="22" t="str">
        <x:v>A vessel transmission or registration is not proof of who was on board or in control.</x:v>
      </x:c>
      <x:c r="H741" s="22" t="str">
        <x:v>Verify publisher, source and current function before reliance</x:v>
      </x:c>
      <x:c r="I741" s="22" t="str">
        <x:v>Not checked</x:v>
      </x:c>
      <x:c r="J741" s="22" t="str">
        <x:v>Saved bookmark metadata only</x:v>
      </x:c>
      <x:c r="K741" s="22" t="str"/>
      <x:c r="L741" s="24" t="str"/>
      <x:c r="M741" s="24" t="str">
        <x:v>https://www.vesselfinder.com/</x:v>
      </x:c>
      <x:c r="N741" s="22" t="str">
        <x:v>290382071</x:v>
      </x:c>
      <x:c r="O741" s="22" t="n">
        <x:v>1035</x:v>
      </x:c>
      <x:c r="P741" s="22" t="n">
        <x:v>2</x:v>
      </x:c>
      <x:c r="Q741" s="22" t="str"/>
      <x:c r="R741" s="22" t="n">
        <x:f>COUNTIF($M$6:$M$1177,M741)</x:f>
        <x:v>1</x:v>
      </x:c>
      <x:c r="S741" s="22" t="str">
        <x:v>Other / utility</x:v>
      </x:c>
      <x:c r="T741" s="22" t="str">
        <x:v>Not established</x:v>
      </x:c>
    </x:row>
    <x:row r="742" ht="48" customHeight="1">
      <x:c r="A742" s="22" t="n">
        <x:v>737</x:v>
      </x:c>
      <x:c r="B742" s="22" t="str">
        <x:v>FlightAirMap</x:v>
      </x:c>
      <x:c r="C742" s="31" t="str">
        <x:v>U</x:v>
      </x:c>
      <x:c r="D742" s="22" t="str">
        <x:v>Unassessed</x:v>
      </x:c>
      <x:c r="E742" s="22" t="str">
        <x:v>MARITIME</x:v>
      </x:c>
      <x:c r="F742" s="22" t="str">
        <x:v>Vessel observations</x:v>
      </x:c>
      <x:c r="G742" s="22" t="str">
        <x:v>A vessel transmission or registration is not proof of who was on board or in control.</x:v>
      </x:c>
      <x:c r="H742" s="22" t="str">
        <x:v>Verify publisher, source and current function before reliance</x:v>
      </x:c>
      <x:c r="I742" s="22" t="str">
        <x:v>Not checked</x:v>
      </x:c>
      <x:c r="J742" s="22" t="str">
        <x:v>Saved bookmark metadata only</x:v>
      </x:c>
      <x:c r="K742" s="22" t="str"/>
      <x:c r="L742" s="24" t="str"/>
      <x:c r="M742" s="24" t="str">
        <x:v>https://www.flightairmap.com/</x:v>
      </x:c>
      <x:c r="N742" s="22" t="str">
        <x:v>305289680</x:v>
      </x:c>
      <x:c r="O742" s="22" t="n">
        <x:v>1035</x:v>
      </x:c>
      <x:c r="P742" s="22" t="n">
        <x:v>3</x:v>
      </x:c>
      <x:c r="Q742" s="22" t="str"/>
      <x:c r="R742" s="22" t="n">
        <x:f>COUNTIF($M$6:$M$1177,M742)</x:f>
        <x:v>2</x:v>
      </x:c>
      <x:c r="S742" s="22" t="str">
        <x:v>Other / utility</x:v>
      </x:c>
      <x:c r="T742" s="22" t="str">
        <x:v>Not established</x:v>
      </x:c>
    </x:row>
    <x:row r="743" ht="48" customHeight="1">
      <x:c r="A743" s="22" t="n">
        <x:v>738</x:v>
      </x:c>
      <x:c r="B743" s="22" t="str">
        <x:v>OSINT on the Ocean</x:v>
      </x:c>
      <x:c r="C743" s="31" t="str">
        <x:v>U</x:v>
      </x:c>
      <x:c r="D743" s="22" t="str">
        <x:v>Unassessed</x:v>
      </x:c>
      <x:c r="E743" s="22" t="str">
        <x:v>MARITIME</x:v>
      </x:c>
      <x:c r="F743" s="22" t="str">
        <x:v>Vessel observations</x:v>
      </x:c>
      <x:c r="G743" s="22" t="str">
        <x:v>A vessel transmission or registration is not proof of who was on board or in control.</x:v>
      </x:c>
      <x:c r="H743" s="22" t="str">
        <x:v>Verify publisher, source and current function before reliance</x:v>
      </x:c>
      <x:c r="I743" s="22" t="str">
        <x:v>Not checked</x:v>
      </x:c>
      <x:c r="J743" s="22" t="str">
        <x:v>Saved bookmark metadata only</x:v>
      </x:c>
      <x:c r="K743" s="22" t="str"/>
      <x:c r="L743" s="24" t="str"/>
      <x:c r="M743" s="24" t="str">
        <x:v>https://wondersmithrae.medium.com/osint-on-the-ocean-maritime-intelligence-gathering-techniques-2ee39e554fe1</x:v>
      </x:c>
      <x:c r="N743" s="22" t="str">
        <x:v>290382074</x:v>
      </x:c>
      <x:c r="O743" s="22" t="n">
        <x:v>1035</x:v>
      </x:c>
      <x:c r="P743" s="22" t="n">
        <x:v>4</x:v>
      </x:c>
      <x:c r="Q743" s="22" t="str"/>
      <x:c r="R743" s="22" t="n">
        <x:f>COUNTIF($M$6:$M$1177,M743)</x:f>
        <x:v>1</x:v>
      </x:c>
      <x:c r="S743" s="22" t="str">
        <x:v>Other / utility</x:v>
      </x:c>
      <x:c r="T743" s="22" t="str">
        <x:v>Not established</x:v>
      </x:c>
    </x:row>
    <x:row r="744" ht="48" customHeight="1">
      <x:c r="A744" s="22" t="n">
        <x:v>739</x:v>
      </x:c>
      <x:c r="B744" s="22" t="str">
        <x:v>ShipAIS.uk</x:v>
      </x:c>
      <x:c r="C744" s="31" t="str">
        <x:v>U</x:v>
      </x:c>
      <x:c r="D744" s="22" t="str">
        <x:v>Unassessed</x:v>
      </x:c>
      <x:c r="E744" s="22" t="str">
        <x:v>MARITIME</x:v>
      </x:c>
      <x:c r="F744" s="22" t="str">
        <x:v>Vessel observations</x:v>
      </x:c>
      <x:c r="G744" s="22" t="str">
        <x:v>A vessel transmission or registration is not proof of who was on board or in control.</x:v>
      </x:c>
      <x:c r="H744" s="22" t="str">
        <x:v>Verify publisher, source and current function before reliance</x:v>
      </x:c>
      <x:c r="I744" s="22" t="str">
        <x:v>Not checked</x:v>
      </x:c>
      <x:c r="J744" s="22" t="str">
        <x:v>Saved bookmark metadata only</x:v>
      </x:c>
      <x:c r="K744" s="22" t="str"/>
      <x:c r="L744" s="24" t="str"/>
      <x:c r="M744" s="24" t="str">
        <x:v>https://shipais.uk/</x:v>
      </x:c>
      <x:c r="N744" s="22" t="str">
        <x:v>311648257</x:v>
      </x:c>
      <x:c r="O744" s="22" t="n">
        <x:v>1035</x:v>
      </x:c>
      <x:c r="P744" s="22" t="n">
        <x:v>5</x:v>
      </x:c>
      <x:c r="Q744" s="22" t="str"/>
      <x:c r="R744" s="22" t="n">
        <x:f>COUNTIF($M$6:$M$1177,M744)</x:f>
        <x:v>1</x:v>
      </x:c>
      <x:c r="S744" s="22" t="str">
        <x:v>Other / utility</x:v>
      </x:c>
      <x:c r="T744" s="22" t="str">
        <x:v>Not established</x:v>
      </x:c>
    </x:row>
    <x:row r="745" ht="48" customHeight="1">
      <x:c r="A745" s="22" t="n">
        <x:v>740</x:v>
      </x:c>
      <x:c r="B745" s="22" t="str">
        <x:v>FleetMon</x:v>
      </x:c>
      <x:c r="C745" s="31" t="str">
        <x:v>U</x:v>
      </x:c>
      <x:c r="D745" s="22" t="str">
        <x:v>Unassessed</x:v>
      </x:c>
      <x:c r="E745" s="22" t="str">
        <x:v>MARITIME</x:v>
      </x:c>
      <x:c r="F745" s="22" t="str">
        <x:v>Vessel observations</x:v>
      </x:c>
      <x:c r="G745" s="22" t="str">
        <x:v>A vessel transmission or registration is not proof of who was on board or in control.</x:v>
      </x:c>
      <x:c r="H745" s="22" t="str">
        <x:v>Verify publisher, source and current function before reliance</x:v>
      </x:c>
      <x:c r="I745" s="22" t="str">
        <x:v>Not checked</x:v>
      </x:c>
      <x:c r="J745" s="22" t="str">
        <x:v>Saved bookmark metadata only</x:v>
      </x:c>
      <x:c r="K745" s="22" t="str"/>
      <x:c r="L745" s="24" t="str"/>
      <x:c r="M745" s="24" t="str">
        <x:v>https://www.fleetmon.com/</x:v>
      </x:c>
      <x:c r="N745" s="22" t="str">
        <x:v>311648258</x:v>
      </x:c>
      <x:c r="O745" s="22" t="n">
        <x:v>1035</x:v>
      </x:c>
      <x:c r="P745" s="22" t="n">
        <x:v>6</x:v>
      </x:c>
      <x:c r="Q745" s="22" t="str"/>
      <x:c r="R745" s="22" t="n">
        <x:f>COUNTIF($M$6:$M$1177,M745)</x:f>
        <x:v>1</x:v>
      </x:c>
      <x:c r="S745" s="22" t="str">
        <x:v>Other / utility</x:v>
      </x:c>
      <x:c r="T745" s="22" t="str">
        <x:v>Not established</x:v>
      </x:c>
    </x:row>
    <x:row r="746" ht="48" customHeight="1">
      <x:c r="A746" s="22" t="n">
        <x:v>741</x:v>
      </x:c>
      <x:c r="B746" s="22" t="str">
        <x:v>AIS Ships Map</x:v>
      </x:c>
      <x:c r="C746" s="31" t="str">
        <x:v>U</x:v>
      </x:c>
      <x:c r="D746" s="22" t="str">
        <x:v>Unassessed</x:v>
      </x:c>
      <x:c r="E746" s="22" t="str">
        <x:v>MARITIME</x:v>
      </x:c>
      <x:c r="F746" s="22" t="str">
        <x:v>Vessel observations</x:v>
      </x:c>
      <x:c r="G746" s="22" t="str">
        <x:v>A vessel transmission or registration is not proof of who was on board or in control.</x:v>
      </x:c>
      <x:c r="H746" s="22" t="str">
        <x:v>Verify publisher, source and current function before reliance</x:v>
      </x:c>
      <x:c r="I746" s="22" t="str">
        <x:v>Not checked</x:v>
      </x:c>
      <x:c r="J746" s="22" t="str">
        <x:v>Saved bookmark metadata only</x:v>
      </x:c>
      <x:c r="K746" s="22" t="str"/>
      <x:c r="L746" s="24" t="str"/>
      <x:c r="M746" s="24" t="str">
        <x:v>https://www.shipfinder.com/Monitor/Index</x:v>
      </x:c>
      <x:c r="N746" s="22" t="str">
        <x:v>311648259</x:v>
      </x:c>
      <x:c r="O746" s="22" t="n">
        <x:v>1035</x:v>
      </x:c>
      <x:c r="P746" s="22" t="n">
        <x:v>7</x:v>
      </x:c>
      <x:c r="Q746" s="22" t="str"/>
      <x:c r="R746" s="22" t="n">
        <x:f>COUNTIF($M$6:$M$1177,M746)</x:f>
        <x:v>1</x:v>
      </x:c>
      <x:c r="S746" s="22" t="str">
        <x:v>Other / utility</x:v>
      </x:c>
      <x:c r="T746" s="22" t="str">
        <x:v>Not established</x:v>
      </x:c>
    </x:row>
    <x:row r="747" ht="48" customHeight="1">
      <x:c r="A747" s="22" t="n">
        <x:v>742</x:v>
      </x:c>
      <x:c r="B747" s="22" t="str">
        <x:v>Ais.boatnerd.com</x:v>
      </x:c>
      <x:c r="C747" s="31" t="str">
        <x:v>U</x:v>
      </x:c>
      <x:c r="D747" s="22" t="str">
        <x:v>Unassessed</x:v>
      </x:c>
      <x:c r="E747" s="22" t="str">
        <x:v>MARITIME</x:v>
      </x:c>
      <x:c r="F747" s="22" t="str">
        <x:v>Vessel observations</x:v>
      </x:c>
      <x:c r="G747" s="22" t="str">
        <x:v>A vessel transmission or registration is not proof of who was on board or in control.</x:v>
      </x:c>
      <x:c r="H747" s="22" t="str">
        <x:v>Verify publisher, source and current function before reliance</x:v>
      </x:c>
      <x:c r="I747" s="22" t="str">
        <x:v>Not checked</x:v>
      </x:c>
      <x:c r="J747" s="22" t="str">
        <x:v>Saved bookmark metadata only</x:v>
      </x:c>
      <x:c r="K747" s="22" t="str"/>
      <x:c r="L747" s="24" t="str"/>
      <x:c r="M747" s="24" t="str">
        <x:v>https://ais.boatnerd.com/</x:v>
      </x:c>
      <x:c r="N747" s="22" t="str">
        <x:v>311648262</x:v>
      </x:c>
      <x:c r="O747" s="22" t="n">
        <x:v>1035</x:v>
      </x:c>
      <x:c r="P747" s="22" t="n">
        <x:v>8</x:v>
      </x:c>
      <x:c r="Q747" s="22" t="str"/>
      <x:c r="R747" s="22" t="n">
        <x:f>COUNTIF($M$6:$M$1177,M747)</x:f>
        <x:v>1</x:v>
      </x:c>
      <x:c r="S747" s="22" t="str">
        <x:v>Other / utility</x:v>
      </x:c>
      <x:c r="T747" s="22" t="str">
        <x:v>Not established</x:v>
      </x:c>
    </x:row>
    <x:row r="748" ht="48" customHeight="1">
      <x:c r="A748" s="22" t="n">
        <x:v>743</x:v>
      </x:c>
      <x:c r="B748" s="22" t="str">
        <x:v>Live Cruise Ship Tracker</x:v>
      </x:c>
      <x:c r="C748" s="31" t="str">
        <x:v>U</x:v>
      </x:c>
      <x:c r="D748" s="22" t="str">
        <x:v>Unassessed</x:v>
      </x:c>
      <x:c r="E748" s="22" t="str">
        <x:v>MARITIME</x:v>
      </x:c>
      <x:c r="F748" s="22" t="str">
        <x:v>Vessel observations</x:v>
      </x:c>
      <x:c r="G748" s="22" t="str">
        <x:v>A vessel transmission or registration is not proof of who was on board or in control.</x:v>
      </x:c>
      <x:c r="H748" s="22" t="str">
        <x:v>Verify publisher, source and current function before reliance</x:v>
      </x:c>
      <x:c r="I748" s="22" t="str">
        <x:v>Not checked</x:v>
      </x:c>
      <x:c r="J748" s="22" t="str">
        <x:v>Saved bookmark metadata only</x:v>
      </x:c>
      <x:c r="K748" s="22" t="str"/>
      <x:c r="L748" s="24" t="str"/>
      <x:c r="M748" s="24" t="str">
        <x:v>https://www.livecruiseshiptracker.com/</x:v>
      </x:c>
      <x:c r="N748" s="22" t="str">
        <x:v>311648263</x:v>
      </x:c>
      <x:c r="O748" s="22" t="n">
        <x:v>1035</x:v>
      </x:c>
      <x:c r="P748" s="22" t="n">
        <x:v>9</x:v>
      </x:c>
      <x:c r="Q748" s="22" t="str"/>
      <x:c r="R748" s="22" t="n">
        <x:f>COUNTIF($M$6:$M$1177,M748)</x:f>
        <x:v>1</x:v>
      </x:c>
      <x:c r="S748" s="22" t="str">
        <x:v>Other / utility</x:v>
      </x:c>
      <x:c r="T748" s="22" t="str">
        <x:v>Not established</x:v>
      </x:c>
    </x:row>
    <x:row r="749" ht="48" customHeight="1">
      <x:c r="A749" s="22" t="n">
        <x:v>744</x:v>
      </x:c>
      <x:c r="B749" s="22" t="str">
        <x:v>ShippingExplorer</x:v>
      </x:c>
      <x:c r="C749" s="31" t="str">
        <x:v>U</x:v>
      </x:c>
      <x:c r="D749" s="22" t="str">
        <x:v>Unassessed</x:v>
      </x:c>
      <x:c r="E749" s="22" t="str">
        <x:v>MARITIME</x:v>
      </x:c>
      <x:c r="F749" s="22" t="str">
        <x:v>Vessel observations</x:v>
      </x:c>
      <x:c r="G749" s="22" t="str">
        <x:v>A vessel transmission or registration is not proof of who was on board or in control.</x:v>
      </x:c>
      <x:c r="H749" s="22" t="str">
        <x:v>Verify publisher, source and current function before reliance</x:v>
      </x:c>
      <x:c r="I749" s="22" t="str">
        <x:v>Not checked</x:v>
      </x:c>
      <x:c r="J749" s="22" t="str">
        <x:v>Saved bookmark metadata only</x:v>
      </x:c>
      <x:c r="K749" s="22" t="str"/>
      <x:c r="L749" s="24" t="str"/>
      <x:c r="M749" s="24" t="str">
        <x:v>https://www.shippingexplorer.net/en/map</x:v>
      </x:c>
      <x:c r="N749" s="22" t="str">
        <x:v>311648266</x:v>
      </x:c>
      <x:c r="O749" s="22" t="n">
        <x:v>1035</x:v>
      </x:c>
      <x:c r="P749" s="22" t="n">
        <x:v>10</x:v>
      </x:c>
      <x:c r="Q749" s="22" t="str"/>
      <x:c r="R749" s="22" t="n">
        <x:f>COUNTIF($M$6:$M$1177,M749)</x:f>
        <x:v>1</x:v>
      </x:c>
      <x:c r="S749" s="22" t="str">
        <x:v>Other / utility</x:v>
      </x:c>
      <x:c r="T749" s="22" t="str">
        <x:v>Not established</x:v>
      </x:c>
    </x:row>
    <x:row r="750" ht="48" customHeight="1">
      <x:c r="A750" s="22" t="n">
        <x:v>745</x:v>
      </x:c>
      <x:c r="B750" s="22" t="str">
        <x:v>SUBMARINE TRACKER</x:v>
      </x:c>
      <x:c r="C750" s="31" t="str">
        <x:v>U</x:v>
      </x:c>
      <x:c r="D750" s="22" t="str">
        <x:v>Unassessed</x:v>
      </x:c>
      <x:c r="E750" s="22" t="str">
        <x:v>MARITIME</x:v>
      </x:c>
      <x:c r="F750" s="22" t="str">
        <x:v>Vessel observations</x:v>
      </x:c>
      <x:c r="G750" s="22" t="str">
        <x:v>A vessel transmission or registration is not proof of who was on board or in control.</x:v>
      </x:c>
      <x:c r="H750" s="22" t="str">
        <x:v>Verify publisher, source and current function before reliance</x:v>
      </x:c>
      <x:c r="I750" s="22" t="str">
        <x:v>Not checked</x:v>
      </x:c>
      <x:c r="J750" s="22" t="str">
        <x:v>Saved bookmark metadata only</x:v>
      </x:c>
      <x:c r="K750" s="22" t="str"/>
      <x:c r="L750" s="24" t="str"/>
      <x:c r="M750" s="24" t="str">
        <x:v>https://www.marinevesseltraffic.com/submarine-vessels-tracking-map</x:v>
      </x:c>
      <x:c r="N750" s="22" t="str">
        <x:v>311648268</x:v>
      </x:c>
      <x:c r="O750" s="22" t="n">
        <x:v>1035</x:v>
      </x:c>
      <x:c r="P750" s="22" t="n">
        <x:v>11</x:v>
      </x:c>
      <x:c r="Q750" s="22" t="str"/>
      <x:c r="R750" s="22" t="n">
        <x:f>COUNTIF($M$6:$M$1177,M750)</x:f>
        <x:v>1</x:v>
      </x:c>
      <x:c r="S750" s="22" t="str">
        <x:v>Other / utility</x:v>
      </x:c>
      <x:c r="T750" s="22" t="str">
        <x:v>Not established</x:v>
      </x:c>
    </x:row>
    <x:row r="751" ht="48" customHeight="1">
      <x:c r="A751" s="22" t="n">
        <x:v>746</x:v>
      </x:c>
      <x:c r="B751" s="22" t="str">
        <x:v>Maritime Awareness Project</x:v>
      </x:c>
      <x:c r="C751" s="31" t="str">
        <x:v>U</x:v>
      </x:c>
      <x:c r="D751" s="22" t="str">
        <x:v>Unassessed</x:v>
      </x:c>
      <x:c r="E751" s="22" t="str">
        <x:v>MARITIME</x:v>
      </x:c>
      <x:c r="F751" s="22" t="str">
        <x:v>Vessel observations</x:v>
      </x:c>
      <x:c r="G751" s="22" t="str">
        <x:v>A vessel transmission or registration is not proof of who was on board or in control.</x:v>
      </x:c>
      <x:c r="H751" s="22" t="str">
        <x:v>Verify publisher, source and current function before reliance</x:v>
      </x:c>
      <x:c r="I751" s="22" t="str">
        <x:v>Not checked</x:v>
      </x:c>
      <x:c r="J751" s="22" t="str">
        <x:v>Saved bookmark metadata only</x:v>
      </x:c>
      <x:c r="K751" s="22" t="str"/>
      <x:c r="L751" s="24" t="str"/>
      <x:c r="M751" s="24" t="str">
        <x:v>https://map.nbr.org/interactivemap/</x:v>
      </x:c>
      <x:c r="N751" s="22" t="str">
        <x:v>311648269</x:v>
      </x:c>
      <x:c r="O751" s="22" t="n">
        <x:v>1035</x:v>
      </x:c>
      <x:c r="P751" s="22" t="n">
        <x:v>12</x:v>
      </x:c>
      <x:c r="Q751" s="22" t="str"/>
      <x:c r="R751" s="22" t="n">
        <x:f>COUNTIF($M$6:$M$1177,M751)</x:f>
        <x:v>1</x:v>
      </x:c>
      <x:c r="S751" s="22" t="str">
        <x:v>Other / utility</x:v>
      </x:c>
      <x:c r="T751" s="22" t="str">
        <x:v>Not established</x:v>
      </x:c>
    </x:row>
    <x:row r="752" ht="48" customHeight="1">
      <x:c r="A752" s="22" t="n">
        <x:v>747</x:v>
      </x:c>
      <x:c r="B752" s="22" t="str">
        <x:v>Shipping Database</x:v>
      </x:c>
      <x:c r="C752" s="31" t="str">
        <x:v>U</x:v>
      </x:c>
      <x:c r="D752" s="22" t="str">
        <x:v>Unassessed</x:v>
      </x:c>
      <x:c r="E752" s="22" t="str">
        <x:v>MARITIME</x:v>
      </x:c>
      <x:c r="F752" s="22" t="str">
        <x:v>Vessel observations</x:v>
      </x:c>
      <x:c r="G752" s="22" t="str">
        <x:v>A vessel transmission or registration is not proof of who was on board or in control.</x:v>
      </x:c>
      <x:c r="H752" s="22" t="str">
        <x:v>Verify publisher, source and current function before reliance</x:v>
      </x:c>
      <x:c r="I752" s="22" t="str">
        <x:v>Not checked</x:v>
      </x:c>
      <x:c r="J752" s="22" t="str">
        <x:v>Saved bookmark metadata only</x:v>
      </x:c>
      <x:c r="K752" s="22" t="str"/>
      <x:c r="L752" s="24" t="str"/>
      <x:c r="M752" s="24" t="str">
        <x:v>https://theshippingdatabase.com/</x:v>
      </x:c>
      <x:c r="N752" s="22" t="str">
        <x:v>311648270</x:v>
      </x:c>
      <x:c r="O752" s="22" t="n">
        <x:v>1035</x:v>
      </x:c>
      <x:c r="P752" s="22" t="n">
        <x:v>13</x:v>
      </x:c>
      <x:c r="Q752" s="22" t="str"/>
      <x:c r="R752" s="22" t="n">
        <x:f>COUNTIF($M$6:$M$1177,M752)</x:f>
        <x:v>1</x:v>
      </x:c>
      <x:c r="S752" s="22" t="str">
        <x:v>Other / utility</x:v>
      </x:c>
      <x:c r="T752" s="22" t="str">
        <x:v>Not established</x:v>
      </x:c>
    </x:row>
    <x:row r="753" ht="48" customHeight="1">
      <x:c r="A753" s="22" t="n">
        <x:v>748</x:v>
      </x:c>
      <x:c r="B753" s="22" t="str">
        <x:v>Crewlist.org.uk</x:v>
      </x:c>
      <x:c r="C753" s="31" t="str">
        <x:v>U</x:v>
      </x:c>
      <x:c r="D753" s="22" t="str">
        <x:v>Unassessed</x:v>
      </x:c>
      <x:c r="E753" s="22" t="str">
        <x:v>MARITIME</x:v>
      </x:c>
      <x:c r="F753" s="22" t="str">
        <x:v>Vessel observations</x:v>
      </x:c>
      <x:c r="G753" s="22" t="str">
        <x:v>A vessel transmission or registration is not proof of who was on board or in control.</x:v>
      </x:c>
      <x:c r="H753" s="22" t="str">
        <x:v>Verify publisher, source and current function before reliance</x:v>
      </x:c>
      <x:c r="I753" s="22" t="str">
        <x:v>Not checked</x:v>
      </x:c>
      <x:c r="J753" s="22" t="str">
        <x:v>Saved bookmark metadata only</x:v>
      </x:c>
      <x:c r="K753" s="22" t="str"/>
      <x:c r="L753" s="24" t="str"/>
      <x:c r="M753" s="24" t="str">
        <x:v>https://www.crewlist.org.uk/#Data</x:v>
      </x:c>
      <x:c r="N753" s="22" t="str">
        <x:v>311648271</x:v>
      </x:c>
      <x:c r="O753" s="22" t="n">
        <x:v>1035</x:v>
      </x:c>
      <x:c r="P753" s="22" t="n">
        <x:v>14</x:v>
      </x:c>
      <x:c r="Q753" s="22" t="str"/>
      <x:c r="R753" s="22" t="n">
        <x:f>COUNTIF($M$6:$M$1177,M753)</x:f>
        <x:v>1</x:v>
      </x:c>
      <x:c r="S753" s="22" t="str">
        <x:v>Other / utility</x:v>
      </x:c>
      <x:c r="T753" s="22" t="str">
        <x:v>Not established</x:v>
      </x:c>
    </x:row>
    <x:row r="754" ht="48" customHeight="1">
      <x:c r="A754" s="22" t="n">
        <x:v>749</x:v>
      </x:c>
      <x:c r="B754" s="22" t="str">
        <x:v>Live Piracy Map</x:v>
      </x:c>
      <x:c r="C754" s="31" t="str">
        <x:v>U</x:v>
      </x:c>
      <x:c r="D754" s="22" t="str">
        <x:v>Unassessed</x:v>
      </x:c>
      <x:c r="E754" s="22" t="str">
        <x:v>MARITIME</x:v>
      </x:c>
      <x:c r="F754" s="22" t="str">
        <x:v>Vessel observations</x:v>
      </x:c>
      <x:c r="G754" s="22" t="str">
        <x:v>A vessel transmission or registration is not proof of who was on board or in control.</x:v>
      </x:c>
      <x:c r="H754" s="22" t="str">
        <x:v>Verify publisher, source and current function before reliance</x:v>
      </x:c>
      <x:c r="I754" s="22" t="str">
        <x:v>Not checked</x:v>
      </x:c>
      <x:c r="J754" s="22" t="str">
        <x:v>Saved bookmark metadata only</x:v>
      </x:c>
      <x:c r="K754" s="22" t="str"/>
      <x:c r="L754" s="24" t="str"/>
      <x:c r="M754" s="24" t="str">
        <x:v>https://www.icc-ccs.org/piracy-reporting-centre/live-piracy-map</x:v>
      </x:c>
      <x:c r="N754" s="22" t="str">
        <x:v>311648273</x:v>
      </x:c>
      <x:c r="O754" s="22" t="n">
        <x:v>1035</x:v>
      </x:c>
      <x:c r="P754" s="22" t="n">
        <x:v>15</x:v>
      </x:c>
      <x:c r="Q754" s="22" t="str"/>
      <x:c r="R754" s="22" t="n">
        <x:f>COUNTIF($M$6:$M$1177,M754)</x:f>
        <x:v>1</x:v>
      </x:c>
      <x:c r="S754" s="22" t="str">
        <x:v>Other / utility</x:v>
      </x:c>
      <x:c r="T754" s="22" t="str">
        <x:v>Not established</x:v>
      </x:c>
    </x:row>
    <x:row r="755" ht="48" customHeight="1">
      <x:c r="A755" s="22" t="n">
        <x:v>750</x:v>
      </x:c>
      <x:c r="B755" s="22" t="str">
        <x:v>Military Ship Tracker</x:v>
      </x:c>
      <x:c r="C755" s="31" t="str">
        <x:v>U</x:v>
      </x:c>
      <x:c r="D755" s="22" t="str">
        <x:v>Unassessed</x:v>
      </x:c>
      <x:c r="E755" s="22" t="str">
        <x:v>MARITIME</x:v>
      </x:c>
      <x:c r="F755" s="22" t="str">
        <x:v>Vessel observations</x:v>
      </x:c>
      <x:c r="G755" s="22" t="str">
        <x:v>A vessel transmission or registration is not proof of who was on board or in control.</x:v>
      </x:c>
      <x:c r="H755" s="22" t="str">
        <x:v>Verify publisher, source and current function before reliance</x:v>
      </x:c>
      <x:c r="I755" s="22" t="str">
        <x:v>Not checked</x:v>
      </x:c>
      <x:c r="J755" s="22" t="str">
        <x:v>Saved bookmark metadata only</x:v>
      </x:c>
      <x:c r="K755" s="22" t="str"/>
      <x:c r="L755" s="24" t="str"/>
      <x:c r="M755" s="24" t="str">
        <x:v>https://www.marinevesseltraffic.com/2013/02/military-ship-track.html</x:v>
      </x:c>
      <x:c r="N755" s="22" t="str">
        <x:v>311648274</x:v>
      </x:c>
      <x:c r="O755" s="22" t="n">
        <x:v>1035</x:v>
      </x:c>
      <x:c r="P755" s="22" t="n">
        <x:v>16</x:v>
      </x:c>
      <x:c r="Q755" s="22" t="str"/>
      <x:c r="R755" s="22" t="n">
        <x:f>COUNTIF($M$6:$M$1177,M755)</x:f>
        <x:v>1</x:v>
      </x:c>
      <x:c r="S755" s="22" t="str">
        <x:v>Other / utility</x:v>
      </x:c>
      <x:c r="T755" s="22" t="str">
        <x:v>Not established</x:v>
      </x:c>
    </x:row>
    <x:row r="756" ht="48" customHeight="1">
      <x:c r="A756" s="22" t="n">
        <x:v>751</x:v>
      </x:c>
      <x:c r="B756" s="22" t="str">
        <x:v>Container Tracking</x:v>
      </x:c>
      <x:c r="C756" s="31" t="str">
        <x:v>U</x:v>
      </x:c>
      <x:c r="D756" s="22" t="str">
        <x:v>Unassessed</x:v>
      </x:c>
      <x:c r="E756" s="22" t="str">
        <x:v>MARITIME</x:v>
      </x:c>
      <x:c r="F756" s="22" t="str">
        <x:v>Vessel observations</x:v>
      </x:c>
      <x:c r="G756" s="22" t="str">
        <x:v>A vessel transmission or registration is not proof of who was on board or in control.</x:v>
      </x:c>
      <x:c r="H756" s="22" t="str">
        <x:v>Verify publisher, source and current function before reliance</x:v>
      </x:c>
      <x:c r="I756" s="22" t="str">
        <x:v>Not checked</x:v>
      </x:c>
      <x:c r="J756" s="22" t="str">
        <x:v>Saved bookmark metadata only</x:v>
      </x:c>
      <x:c r="K756" s="22" t="str"/>
      <x:c r="L756" s="24" t="str"/>
      <x:c r="M756" s="24" t="str">
        <x:v>http://container-tracking.org/</x:v>
      </x:c>
      <x:c r="N756" s="22" t="str">
        <x:v>311648276</x:v>
      </x:c>
      <x:c r="O756" s="22" t="n">
        <x:v>1035</x:v>
      </x:c>
      <x:c r="P756" s="22" t="n">
        <x:v>17</x:v>
      </x:c>
      <x:c r="Q756" s="22" t="str"/>
      <x:c r="R756" s="22" t="n">
        <x:f>COUNTIF($M$6:$M$1177,M756)</x:f>
        <x:v>1</x:v>
      </x:c>
      <x:c r="S756" s="22" t="str">
        <x:v>Other / utility</x:v>
      </x:c>
      <x:c r="T756" s="22" t="str">
        <x:v>Not established</x:v>
      </x:c>
    </x:row>
    <x:row r="757" ht="48" customHeight="1">
      <x:c r="A757" s="22" t="n">
        <x:v>752</x:v>
      </x:c>
      <x:c r="B757" s="22" t="str">
        <x:v>Container tracking</x:v>
      </x:c>
      <x:c r="C757" s="31" t="str">
        <x:v>U</x:v>
      </x:c>
      <x:c r="D757" s="22" t="str">
        <x:v>Unassessed</x:v>
      </x:c>
      <x:c r="E757" s="22" t="str">
        <x:v>MARITIME</x:v>
      </x:c>
      <x:c r="F757" s="22" t="str">
        <x:v>Vessel observations</x:v>
      </x:c>
      <x:c r="G757" s="22" t="str">
        <x:v>A vessel transmission or registration is not proof of who was on board or in control.</x:v>
      </x:c>
      <x:c r="H757" s="22" t="str">
        <x:v>Verify publisher, source and current function before reliance</x:v>
      </x:c>
      <x:c r="I757" s="22" t="str">
        <x:v>Not checked</x:v>
      </x:c>
      <x:c r="J757" s="22" t="str">
        <x:v>Saved bookmark metadata only</x:v>
      </x:c>
      <x:c r="K757" s="22" t="str"/>
      <x:c r="L757" s="24" t="str"/>
      <x:c r="M757" s="24" t="str">
        <x:v>https://www.track-trace.com/container</x:v>
      </x:c>
      <x:c r="N757" s="22" t="str">
        <x:v>311648277</x:v>
      </x:c>
      <x:c r="O757" s="22" t="n">
        <x:v>1035</x:v>
      </x:c>
      <x:c r="P757" s="22" t="n">
        <x:v>18</x:v>
      </x:c>
      <x:c r="Q757" s="22" t="str"/>
      <x:c r="R757" s="22" t="n">
        <x:f>COUNTIF($M$6:$M$1177,M757)</x:f>
        <x:v>1</x:v>
      </x:c>
      <x:c r="S757" s="22" t="str">
        <x:v>Other / utility</x:v>
      </x:c>
      <x:c r="T757" s="22" t="str">
        <x:v>Not established</x:v>
      </x:c>
    </x:row>
    <x:row r="758" ht="48" customHeight="1">
      <x:c r="A758" s="22" t="n">
        <x:v>753</x:v>
      </x:c>
      <x:c r="B758" s="22" t="str">
        <x:v>Maersk Tracking</x:v>
      </x:c>
      <x:c r="C758" s="31" t="str">
        <x:v>U</x:v>
      </x:c>
      <x:c r="D758" s="22" t="str">
        <x:v>Unassessed</x:v>
      </x:c>
      <x:c r="E758" s="22" t="str">
        <x:v>MARITIME</x:v>
      </x:c>
      <x:c r="F758" s="22" t="str">
        <x:v>Vessel observations</x:v>
      </x:c>
      <x:c r="G758" s="22" t="str">
        <x:v>A vessel transmission or registration is not proof of who was on board or in control.</x:v>
      </x:c>
      <x:c r="H758" s="22" t="str">
        <x:v>Verify publisher, source and current function before reliance</x:v>
      </x:c>
      <x:c r="I758" s="22" t="str">
        <x:v>Not checked</x:v>
      </x:c>
      <x:c r="J758" s="22" t="str">
        <x:v>Saved bookmark metadata only</x:v>
      </x:c>
      <x:c r="K758" s="22" t="str"/>
      <x:c r="L758" s="24" t="str"/>
      <x:c r="M758" s="24" t="str">
        <x:v>https://www.maersk.com/tracking/</x:v>
      </x:c>
      <x:c r="N758" s="22" t="str">
        <x:v>311648281</x:v>
      </x:c>
      <x:c r="O758" s="22" t="n">
        <x:v>1035</x:v>
      </x:c>
      <x:c r="P758" s="22" t="n">
        <x:v>19</x:v>
      </x:c>
      <x:c r="Q758" s="22" t="str"/>
      <x:c r="R758" s="22" t="n">
        <x:f>COUNTIF($M$6:$M$1177,M758)</x:f>
        <x:v>1</x:v>
      </x:c>
      <x:c r="S758" s="22" t="str">
        <x:v>Other / utility</x:v>
      </x:c>
      <x:c r="T758" s="22" t="str">
        <x:v>Not established</x:v>
      </x:c>
    </x:row>
    <x:row r="759" ht="48" customHeight="1">
      <x:c r="A759" s="22" t="n">
        <x:v>754</x:v>
      </x:c>
      <x:c r="B759" s="22" t="str">
        <x:v>DorkSearch</x:v>
      </x:c>
      <x:c r="C759" s="27" t="str">
        <x:v>N/A</x:v>
      </x:c>
      <x:c r="D759" s="22" t="str">
        <x:v>Utility classification</x:v>
      </x:c>
      <x:c r="E759" s="22" t="str">
        <x:v>DORKING</x:v>
      </x:c>
      <x:c r="F759" s="22" t="str">
        <x:v>Search-query construction</x:v>
      </x:c>
      <x:c r="G759" s="22" t="str">
        <x:v>A generated query does not authenticate its results or grant permission to access restricted data.</x:v>
      </x:c>
      <x:c r="H759" s="22" t="str">
        <x:v>Use as a utility only; functionality not audited</x:v>
      </x:c>
      <x:c r="I759" s="22" t="str">
        <x:v>Not checked</x:v>
      </x:c>
      <x:c r="J759" s="22" t="str">
        <x:v>Saved bookmark metadata only</x:v>
      </x:c>
      <x:c r="K759" s="22" t="str"/>
      <x:c r="L759" s="24" t="str"/>
      <x:c r="M759" s="24" t="str">
        <x:v>https://dorksearch.com/</x:v>
      </x:c>
      <x:c r="N759" s="22" t="str">
        <x:v>318586620</x:v>
      </x:c>
      <x:c r="O759" s="22" t="n">
        <x:v>1035</x:v>
      </x:c>
      <x:c r="P759" s="22" t="n">
        <x:v>1</x:v>
      </x:c>
      <x:c r="Q759" s="22" t="str"/>
      <x:c r="R759" s="22" t="n">
        <x:f>COUNTIF($M$6:$M$1177,M759)</x:f>
        <x:v>1</x:v>
      </x:c>
      <x:c r="S759" s="22" t="str">
        <x:v>Other / utility</x:v>
      </x:c>
      <x:c r="T759" s="22" t="str">
        <x:v>Scope only</x:v>
      </x:c>
    </x:row>
    <x:row r="760" ht="48" customHeight="1">
      <x:c r="A760" s="22" t="n">
        <x:v>755</x:v>
      </x:c>
      <x:c r="B760" s="22" t="str">
        <x:v>Google Dork Cheatsheet</x:v>
      </x:c>
      <x:c r="C760" s="27" t="str">
        <x:v>N/A</x:v>
      </x:c>
      <x:c r="D760" s="22" t="str">
        <x:v>Utility classification</x:v>
      </x:c>
      <x:c r="E760" s="22" t="str">
        <x:v>DORKING</x:v>
      </x:c>
      <x:c r="F760" s="22" t="str">
        <x:v>Search-query construction</x:v>
      </x:c>
      <x:c r="G760" s="22" t="str">
        <x:v>A generated query does not authenticate its results or grant permission to access restricted data.</x:v>
      </x:c>
      <x:c r="H760" s="22" t="str">
        <x:v>Use as a utility only; functionality not audited</x:v>
      </x:c>
      <x:c r="I760" s="22" t="str">
        <x:v>Not checked</x:v>
      </x:c>
      <x:c r="J760" s="22" t="str">
        <x:v>Saved bookmark metadata only</x:v>
      </x:c>
      <x:c r="K760" s="22" t="str"/>
      <x:c r="L760" s="24" t="str"/>
      <x:c r="M760" s="24" t="str">
        <x:v>https://github.com/robyfirnandoyusuf/Google-Dork-Cheatsheet</x:v>
      </x:c>
      <x:c r="N760" s="22" t="str">
        <x:v>268408644</x:v>
      </x:c>
      <x:c r="O760" s="22" t="n">
        <x:v>1035</x:v>
      </x:c>
      <x:c r="P760" s="22" t="n">
        <x:v>2</x:v>
      </x:c>
      <x:c r="Q760" s="22" t="str"/>
      <x:c r="R760" s="22" t="n">
        <x:f>COUNTIF($M$6:$M$1177,M760)</x:f>
        <x:v>1</x:v>
      </x:c>
      <x:c r="S760" s="22" t="str">
        <x:v>Other / utility</x:v>
      </x:c>
      <x:c r="T760" s="22" t="str">
        <x:v>Scope only</x:v>
      </x:c>
    </x:row>
    <x:row r="761" ht="48" customHeight="1">
      <x:c r="A761" s="22" t="n">
        <x:v>756</x:v>
      </x:c>
      <x:c r="B761" s="22" t="str">
        <x:v>Google Hacking Database</x:v>
      </x:c>
      <x:c r="C761" s="27" t="str">
        <x:v>N/A</x:v>
      </x:c>
      <x:c r="D761" s="22" t="str">
        <x:v>Utility classification</x:v>
      </x:c>
      <x:c r="E761" s="22" t="str">
        <x:v>DORKING</x:v>
      </x:c>
      <x:c r="F761" s="22" t="str">
        <x:v>Search-query construction</x:v>
      </x:c>
      <x:c r="G761" s="22" t="str">
        <x:v>A generated query does not authenticate its results or grant permission to access restricted data.</x:v>
      </x:c>
      <x:c r="H761" s="22" t="str">
        <x:v>Use as a utility only; functionality not audited</x:v>
      </x:c>
      <x:c r="I761" s="22" t="str">
        <x:v>Not checked</x:v>
      </x:c>
      <x:c r="J761" s="22" t="str">
        <x:v>Saved bookmark metadata only</x:v>
      </x:c>
      <x:c r="K761" s="22" t="str"/>
      <x:c r="L761" s="24" t="str"/>
      <x:c r="M761" s="24" t="str">
        <x:v>https://www.exploit-db.com/google-hacking-database</x:v>
      </x:c>
      <x:c r="N761" s="22" t="str">
        <x:v>268644223</x:v>
      </x:c>
      <x:c r="O761" s="22" t="n">
        <x:v>1035</x:v>
      </x:c>
      <x:c r="P761" s="22" t="n">
        <x:v>3</x:v>
      </x:c>
      <x:c r="Q761" s="22" t="str"/>
      <x:c r="R761" s="22" t="n">
        <x:f>COUNTIF($M$6:$M$1177,M761)</x:f>
        <x:v>1</x:v>
      </x:c>
      <x:c r="S761" s="22" t="str">
        <x:v>Other / utility</x:v>
      </x:c>
      <x:c r="T761" s="22" t="str">
        <x:v>Scope only</x:v>
      </x:c>
    </x:row>
    <x:row r="762" ht="48" customHeight="1">
      <x:c r="A762" s="22" t="n">
        <x:v>757</x:v>
      </x:c>
      <x:c r="B762" s="22" t="str">
        <x:v>theHarvester</x:v>
      </x:c>
      <x:c r="C762" s="27" t="str">
        <x:v>N/A</x:v>
      </x:c>
      <x:c r="D762" s="22" t="str">
        <x:v>Utility classification</x:v>
      </x:c>
      <x:c r="E762" s="22" t="str">
        <x:v>DORKING</x:v>
      </x:c>
      <x:c r="F762" s="22" t="str">
        <x:v>Search-query construction</x:v>
      </x:c>
      <x:c r="G762" s="22" t="str">
        <x:v>A generated query does not authenticate its results or grant permission to access restricted data.</x:v>
      </x:c>
      <x:c r="H762" s="22" t="str">
        <x:v>Use as a utility only; functionality not audited</x:v>
      </x:c>
      <x:c r="I762" s="22" t="str">
        <x:v>Not checked</x:v>
      </x:c>
      <x:c r="J762" s="22" t="str">
        <x:v>Saved bookmark metadata only</x:v>
      </x:c>
      <x:c r="K762" s="22" t="str"/>
      <x:c r="L762" s="24" t="str"/>
      <x:c r="M762" s="24" t="str">
        <x:v>https://pypi.org/project/theHarvester/</x:v>
      </x:c>
      <x:c r="N762" s="22" t="str">
        <x:v>309553713</x:v>
      </x:c>
      <x:c r="O762" s="22" t="n">
        <x:v>1035</x:v>
      </x:c>
      <x:c r="P762" s="22" t="n">
        <x:v>4</x:v>
      </x:c>
      <x:c r="Q762" s="22" t="str"/>
      <x:c r="R762" s="22" t="n">
        <x:f>COUNTIF($M$6:$M$1177,M762)</x:f>
        <x:v>2</x:v>
      </x:c>
      <x:c r="S762" s="22" t="str">
        <x:v>Other / utility</x:v>
      </x:c>
      <x:c r="T762" s="22" t="str">
        <x:v>Scope only</x:v>
      </x:c>
    </x:row>
    <x:row r="763" ht="48" customHeight="1">
      <x:c r="A763" s="22" t="n">
        <x:v>758</x:v>
      </x:c>
      <x:c r="B763" s="22" t="str">
        <x:v>metagoofil</x:v>
      </x:c>
      <x:c r="C763" s="27" t="str">
        <x:v>N/A</x:v>
      </x:c>
      <x:c r="D763" s="22" t="str">
        <x:v>Utility classification</x:v>
      </x:c>
      <x:c r="E763" s="22" t="str">
        <x:v>DORKING</x:v>
      </x:c>
      <x:c r="F763" s="22" t="str">
        <x:v>Search-query construction</x:v>
      </x:c>
      <x:c r="G763" s="22" t="str">
        <x:v>A generated query does not authenticate its results or grant permission to access restricted data.</x:v>
      </x:c>
      <x:c r="H763" s="22" t="str">
        <x:v>Use as a utility only; functionality not audited</x:v>
      </x:c>
      <x:c r="I763" s="22" t="str">
        <x:v>Not checked</x:v>
      </x:c>
      <x:c r="J763" s="22" t="str">
        <x:v>Saved bookmark metadata only</x:v>
      </x:c>
      <x:c r="K763" s="22" t="str"/>
      <x:c r="L763" s="24" t="str"/>
      <x:c r="M763" s="24" t="str">
        <x:v>https://github.com/opsdisk/metagoofil</x:v>
      </x:c>
      <x:c r="N763" s="22" t="str">
        <x:v>309553758</x:v>
      </x:c>
      <x:c r="O763" s="22" t="n">
        <x:v>1035</x:v>
      </x:c>
      <x:c r="P763" s="22" t="n">
        <x:v>5</x:v>
      </x:c>
      <x:c r="Q763" s="22" t="str"/>
      <x:c r="R763" s="22" t="n">
        <x:f>COUNTIF($M$6:$M$1177,M763)</x:f>
        <x:v>1</x:v>
      </x:c>
      <x:c r="S763" s="22" t="str">
        <x:v>Other / utility</x:v>
      </x:c>
      <x:c r="T763" s="22" t="str">
        <x:v>Scope only</x:v>
      </x:c>
    </x:row>
    <x:row r="764" ht="48" customHeight="1">
      <x:c r="A764" s="22" t="n">
        <x:v>759</x:v>
      </x:c>
      <x:c r="B764" s="22" t="str">
        <x:v>webdork</x:v>
      </x:c>
      <x:c r="C764" s="27" t="str">
        <x:v>N/A</x:v>
      </x:c>
      <x:c r="D764" s="22" t="str">
        <x:v>Utility classification</x:v>
      </x:c>
      <x:c r="E764" s="22" t="str">
        <x:v>DORKING</x:v>
      </x:c>
      <x:c r="F764" s="22" t="str">
        <x:v>Search-query construction</x:v>
      </x:c>
      <x:c r="G764" s="22" t="str">
        <x:v>A generated query does not authenticate its results or grant permission to access restricted data.</x:v>
      </x:c>
      <x:c r="H764" s="22" t="str">
        <x:v>Use as a utility only; functionality not audited</x:v>
      </x:c>
      <x:c r="I764" s="22" t="str">
        <x:v>Not checked</x:v>
      </x:c>
      <x:c r="J764" s="22" t="str">
        <x:v>Saved bookmark metadata only</x:v>
      </x:c>
      <x:c r="K764" s="22" t="str"/>
      <x:c r="L764" s="24" t="str"/>
      <x:c r="M764" s="24" t="str">
        <x:v>https://github.com/HACKE-RC/webdork</x:v>
      </x:c>
      <x:c r="N764" s="22" t="str">
        <x:v>309553714</x:v>
      </x:c>
      <x:c r="O764" s="22" t="n">
        <x:v>1036</x:v>
      </x:c>
      <x:c r="P764" s="22" t="n">
        <x:v>6</x:v>
      </x:c>
      <x:c r="Q764" s="22" t="str"/>
      <x:c r="R764" s="22" t="n">
        <x:f>COUNTIF($M$6:$M$1177,M764)</x:f>
        <x:v>1</x:v>
      </x:c>
      <x:c r="S764" s="22" t="str">
        <x:v>Other / utility</x:v>
      </x:c>
      <x:c r="T764" s="22" t="str">
        <x:v>Scope only</x:v>
      </x:c>
    </x:row>
    <x:row r="765" ht="48" customHeight="1">
      <x:c r="A765" s="22" t="n">
        <x:v>760</x:v>
      </x:c>
      <x:c r="B765" s="22" t="str">
        <x:v>ATSCAN</x:v>
      </x:c>
      <x:c r="C765" s="27" t="str">
        <x:v>N/A</x:v>
      </x:c>
      <x:c r="D765" s="22" t="str">
        <x:v>Utility classification</x:v>
      </x:c>
      <x:c r="E765" s="22" t="str">
        <x:v>DORKING</x:v>
      </x:c>
      <x:c r="F765" s="22" t="str">
        <x:v>Search-query construction</x:v>
      </x:c>
      <x:c r="G765" s="22" t="str">
        <x:v>A generated query does not authenticate its results or grant permission to access restricted data.</x:v>
      </x:c>
      <x:c r="H765" s="22" t="str">
        <x:v>Use as a utility only; functionality not audited</x:v>
      </x:c>
      <x:c r="I765" s="22" t="str">
        <x:v>Not checked</x:v>
      </x:c>
      <x:c r="J765" s="22" t="str">
        <x:v>Saved bookmark metadata only</x:v>
      </x:c>
      <x:c r="K765" s="22" t="str"/>
      <x:c r="L765" s="24" t="str"/>
      <x:c r="M765" s="24" t="str">
        <x:v>https://github.com/AlisamTechnology/ATSCAN</x:v>
      </x:c>
      <x:c r="N765" s="22" t="str">
        <x:v>309553743</x:v>
      </x:c>
      <x:c r="O765" s="22" t="n">
        <x:v>1037</x:v>
      </x:c>
      <x:c r="P765" s="22" t="n">
        <x:v>7</x:v>
      </x:c>
      <x:c r="Q765" s="22" t="str"/>
      <x:c r="R765" s="22" t="n">
        <x:f>COUNTIF($M$6:$M$1177,M765)</x:f>
        <x:v>1</x:v>
      </x:c>
      <x:c r="S765" s="22" t="str">
        <x:v>Other / utility</x:v>
      </x:c>
      <x:c r="T765" s="22" t="str">
        <x:v>Scope only</x:v>
      </x:c>
    </x:row>
    <x:row r="766" ht="48" customHeight="1">
      <x:c r="A766" s="22" t="n">
        <x:v>761</x:v>
      </x:c>
      <x:c r="B766" s="22" t="str">
        <x:v>pagodo</x:v>
      </x:c>
      <x:c r="C766" s="27" t="str">
        <x:v>N/A</x:v>
      </x:c>
      <x:c r="D766" s="22" t="str">
        <x:v>Utility classification</x:v>
      </x:c>
      <x:c r="E766" s="22" t="str">
        <x:v>DORKING</x:v>
      </x:c>
      <x:c r="F766" s="22" t="str">
        <x:v>Search-query construction</x:v>
      </x:c>
      <x:c r="G766" s="22" t="str">
        <x:v>A generated query does not authenticate its results or grant permission to access restricted data.</x:v>
      </x:c>
      <x:c r="H766" s="22" t="str">
        <x:v>Use as a utility only; functionality not audited</x:v>
      </x:c>
      <x:c r="I766" s="22" t="str">
        <x:v>Not checked</x:v>
      </x:c>
      <x:c r="J766" s="22" t="str">
        <x:v>Saved bookmark metadata only</x:v>
      </x:c>
      <x:c r="K766" s="22" t="str"/>
      <x:c r="L766" s="24" t="str"/>
      <x:c r="M766" s="24" t="str">
        <x:v>https://github.com/opsdisk/pagodo</x:v>
      </x:c>
      <x:c r="N766" s="22" t="str">
        <x:v>309553749</x:v>
      </x:c>
      <x:c r="O766" s="22" t="n">
        <x:v>1037</x:v>
      </x:c>
      <x:c r="P766" s="22" t="n">
        <x:v>8</x:v>
      </x:c>
      <x:c r="Q766" s="22" t="str"/>
      <x:c r="R766" s="22" t="n">
        <x:f>COUNTIF($M$6:$M$1177,M766)</x:f>
        <x:v>1</x:v>
      </x:c>
      <x:c r="S766" s="22" t="str">
        <x:v>Other / utility</x:v>
      </x:c>
      <x:c r="T766" s="22" t="str">
        <x:v>Scope only</x:v>
      </x:c>
    </x:row>
    <x:row r="767" ht="54" customHeight="1">
      <x:c r="A767" s="22" t="n">
        <x:v>762</x:v>
      </x:c>
      <x:c r="B767" s="22" t="str">
        <x:v>FilePhish</x:v>
      </x:c>
      <x:c r="C767" s="43" t="str">
        <x:v>C-P</x:v>
      </x:c>
      <x:c r="D767" s="22" t="str">
        <x:v>Provisional</x:v>
      </x:c>
      <x:c r="E767" s="22" t="str">
        <x:v>OPEN DIRECTORY</x:v>
      </x:c>
      <x:c r="F767" s="22" t="str">
        <x:v>File / directory discovery</x:v>
      </x:c>
      <x:c r="G767" s="22" t="str">
        <x:v>Provisional ceiling from saved search/discovery context only. Verify the original page, account attribution and date; no result accuracy test.</x:v>
      </x:c>
      <x:c r="H767" s="22" t="str">
        <x:v>Lead only; inspect original content before attribution</x:v>
      </x:c>
      <x:c r="I767" s="22" t="str">
        <x:v>Not checked</x:v>
      </x:c>
      <x:c r="J767" s="22" t="str">
        <x:v>Saved bookmark metadata only</x:v>
      </x:c>
      <x:c r="K767" s="22" t="str"/>
      <x:c r="L767" s="24" t="str"/>
      <x:c r="M767" s="24" t="str">
        <x:v>https://cartographia.github.io/FilePhish/</x:v>
      </x:c>
      <x:c r="N767" s="22" t="str">
        <x:v>303525641</x:v>
      </x:c>
      <x:c r="O767" s="22" t="n">
        <x:v>1038</x:v>
      </x:c>
      <x:c r="P767" s="22" t="n">
        <x:v>1</x:v>
      </x:c>
      <x:c r="Q767" s="22" t="str"/>
      <x:c r="R767" s="22" t="n">
        <x:f>COUNTIF($M$6:$M$1177,M767)</x:f>
        <x:v>1</x:v>
      </x:c>
      <x:c r="S767" s="22" t="str">
        <x:v>Supporting discovery</x:v>
      </x:c>
      <x:c r="T767" s="22" t="str">
        <x:v>Low</x:v>
      </x:c>
    </x:row>
    <x:row r="768" ht="54" customHeight="1">
      <x:c r="A768" s="22" t="n">
        <x:v>763</x:v>
      </x:c>
      <x:c r="B768" s="22" t="str">
        <x:v>Open Directory Finder</x:v>
      </x:c>
      <x:c r="C768" s="43" t="str">
        <x:v>C-P</x:v>
      </x:c>
      <x:c r="D768" s="22" t="str">
        <x:v>Provisional</x:v>
      </x:c>
      <x:c r="E768" s="22" t="str">
        <x:v>OPEN DIRECTORY</x:v>
      </x:c>
      <x:c r="F768" s="22" t="str">
        <x:v>File / directory discovery</x:v>
      </x:c>
      <x:c r="G768" s="22" t="str">
        <x:v>Provisional ceiling from saved search/discovery context only. Verify the original page, account attribution and date; no result accuracy test.</x:v>
      </x:c>
      <x:c r="H768" s="22" t="str">
        <x:v>Lead only; inspect original content before attribution</x:v>
      </x:c>
      <x:c r="I768" s="22" t="str">
        <x:v>Not checked</x:v>
      </x:c>
      <x:c r="J768" s="22" t="str">
        <x:v>Saved bookmark metadata only</x:v>
      </x:c>
      <x:c r="K768" s="22" t="str"/>
      <x:c r="L768" s="24" t="str"/>
      <x:c r="M768" s="24" t="str">
        <x:v>https://odfinder.github.io/</x:v>
      </x:c>
      <x:c r="N768" s="22" t="str">
        <x:v>268644088</x:v>
      </x:c>
      <x:c r="O768" s="22" t="n">
        <x:v>1038</x:v>
      </x:c>
      <x:c r="P768" s="22" t="n">
        <x:v>2</x:v>
      </x:c>
      <x:c r="Q768" s="22" t="str"/>
      <x:c r="R768" s="22" t="n">
        <x:f>COUNTIF($M$6:$M$1177,M768)</x:f>
        <x:v>1</x:v>
      </x:c>
      <x:c r="S768" s="22" t="str">
        <x:v>Supporting discovery</x:v>
      </x:c>
      <x:c r="T768" s="22" t="str">
        <x:v>Low</x:v>
      </x:c>
    </x:row>
    <x:row r="769" ht="54" customHeight="1">
      <x:c r="A769" s="22" t="n">
        <x:v>764</x:v>
      </x:c>
      <x:c r="B769" s="22" t="str">
        <x:v>Filetype search tool</x:v>
      </x:c>
      <x:c r="C769" s="43" t="str">
        <x:v>C-P</x:v>
      </x:c>
      <x:c r="D769" s="22" t="str">
        <x:v>Provisional</x:v>
      </x:c>
      <x:c r="E769" s="22" t="str">
        <x:v>OPEN DIRECTORY</x:v>
      </x:c>
      <x:c r="F769" s="22" t="str">
        <x:v>File / directory discovery</x:v>
      </x:c>
      <x:c r="G769" s="22" t="str">
        <x:v>Provisional ceiling from saved search/discovery context only. Verify the original page, account attribution and date; no result accuracy test.</x:v>
      </x:c>
      <x:c r="H769" s="22" t="str">
        <x:v>Lead only; inspect original content before attribution</x:v>
      </x:c>
      <x:c r="I769" s="22" t="str">
        <x:v>Not checked</x:v>
      </x:c>
      <x:c r="J769" s="22" t="str">
        <x:v>Saved bookmark metadata only</x:v>
      </x:c>
      <x:c r="K769" s="22" t="str"/>
      <x:c r="L769" s="24" t="str"/>
      <x:c r="M769" s="24" t="str">
        <x:v>https://www.aware-online.com/en/osint-tools/filetype-search-tool/</x:v>
      </x:c>
      <x:c r="N769" s="22" t="str">
        <x:v>268503467</x:v>
      </x:c>
      <x:c r="O769" s="22" t="n">
        <x:v>1038</x:v>
      </x:c>
      <x:c r="P769" s="22" t="n">
        <x:v>3</x:v>
      </x:c>
      <x:c r="Q769" s="22" t="str"/>
      <x:c r="R769" s="22" t="n">
        <x:f>COUNTIF($M$6:$M$1177,M769)</x:f>
        <x:v>1</x:v>
      </x:c>
      <x:c r="S769" s="22" t="str">
        <x:v>Supporting discovery</x:v>
      </x:c>
      <x:c r="T769" s="22" t="str">
        <x:v>Low</x:v>
      </x:c>
    </x:row>
    <x:row r="770" ht="54" customHeight="1">
      <x:c r="A770" s="22" t="n">
        <x:v>765</x:v>
      </x:c>
      <x:c r="B770" s="22" t="str">
        <x:v>Opendirsearch.abifog.com</x:v>
      </x:c>
      <x:c r="C770" s="43" t="str">
        <x:v>C-P</x:v>
      </x:c>
      <x:c r="D770" s="22" t="str">
        <x:v>Provisional</x:v>
      </x:c>
      <x:c r="E770" s="22" t="str">
        <x:v>OPEN DIRECTORY</x:v>
      </x:c>
      <x:c r="F770" s="22" t="str">
        <x:v>File / directory discovery</x:v>
      </x:c>
      <x:c r="G770" s="22" t="str">
        <x:v>Provisional ceiling from saved search/discovery context only. Verify the original page, account attribution and date; no result accuracy test.</x:v>
      </x:c>
      <x:c r="H770" s="22" t="str">
        <x:v>Lead only; inspect original content before attribution</x:v>
      </x:c>
      <x:c r="I770" s="22" t="str">
        <x:v>Not checked</x:v>
      </x:c>
      <x:c r="J770" s="22" t="str">
        <x:v>Saved bookmark metadata only</x:v>
      </x:c>
      <x:c r="K770" s="22" t="str"/>
      <x:c r="L770" s="24" t="str"/>
      <x:c r="M770" s="24" t="str">
        <x:v>https://opendirsearch.abifog.com/</x:v>
      </x:c>
      <x:c r="N770" s="22" t="str">
        <x:v>268644161</x:v>
      </x:c>
      <x:c r="O770" s="22" t="n">
        <x:v>1038</x:v>
      </x:c>
      <x:c r="P770" s="22" t="n">
        <x:v>4</x:v>
      </x:c>
      <x:c r="Q770" s="22" t="str"/>
      <x:c r="R770" s="22" t="n">
        <x:f>COUNTIF($M$6:$M$1177,M770)</x:f>
        <x:v>1</x:v>
      </x:c>
      <x:c r="S770" s="22" t="str">
        <x:v>Supporting discovery</x:v>
      </x:c>
      <x:c r="T770" s="22" t="str">
        <x:v>Low</x:v>
      </x:c>
    </x:row>
    <x:row r="771" ht="54" customHeight="1">
      <x:c r="A771" s="22" t="n">
        <x:v>766</x:v>
      </x:c>
      <x:c r="B771" s="22" t="str">
        <x:v>Archive-it.org</x:v>
      </x:c>
      <x:c r="C771" s="43" t="str">
        <x:v>C-P</x:v>
      </x:c>
      <x:c r="D771" s="22" t="str">
        <x:v>Provisional</x:v>
      </x:c>
      <x:c r="E771" s="22" t="str">
        <x:v>OPEN DIRECTORY</x:v>
      </x:c>
      <x:c r="F771" s="22" t="str">
        <x:v>File / directory discovery</x:v>
      </x:c>
      <x:c r="G771" s="22" t="str">
        <x:v>Provisional ceiling from saved search/discovery context only. Verify the original page, account attribution and date; no result accuracy test.</x:v>
      </x:c>
      <x:c r="H771" s="22" t="str">
        <x:v>Lead only; inspect original content before attribution</x:v>
      </x:c>
      <x:c r="I771" s="22" t="str">
        <x:v>Not checked</x:v>
      </x:c>
      <x:c r="J771" s="22" t="str">
        <x:v>Saved bookmark metadata only</x:v>
      </x:c>
      <x:c r="K771" s="22" t="str"/>
      <x:c r="L771" s="24" t="str"/>
      <x:c r="M771" s="24" t="str">
        <x:v>https://archive-it.org/</x:v>
      </x:c>
      <x:c r="N771" s="22" t="str">
        <x:v>268514125</x:v>
      </x:c>
      <x:c r="O771" s="22" t="n">
        <x:v>1038</x:v>
      </x:c>
      <x:c r="P771" s="22" t="n">
        <x:v>5</x:v>
      </x:c>
      <x:c r="Q771" s="22" t="str"/>
      <x:c r="R771" s="22" t="n">
        <x:f>COUNTIF($M$6:$M$1177,M771)</x:f>
        <x:v>1</x:v>
      </x:c>
      <x:c r="S771" s="22" t="str">
        <x:v>Supporting discovery</x:v>
      </x:c>
      <x:c r="T771" s="22" t="str">
        <x:v>Low</x:v>
      </x:c>
    </x:row>
    <x:row r="772" ht="54" customHeight="1">
      <x:c r="A772" s="22" t="n">
        <x:v>767</x:v>
      </x:c>
      <x:c r="B772" s="22" t="str">
        <x:v>Odcrawler.xyz</x:v>
      </x:c>
      <x:c r="C772" s="43" t="str">
        <x:v>C-P</x:v>
      </x:c>
      <x:c r="D772" s="22" t="str">
        <x:v>Provisional</x:v>
      </x:c>
      <x:c r="E772" s="22" t="str">
        <x:v>OPEN DIRECTORY</x:v>
      </x:c>
      <x:c r="F772" s="22" t="str">
        <x:v>File / directory discovery</x:v>
      </x:c>
      <x:c r="G772" s="22" t="str">
        <x:v>Provisional ceiling from saved search/discovery context only. Verify the original page, account attribution and date; no result accuracy test.</x:v>
      </x:c>
      <x:c r="H772" s="22" t="str">
        <x:v>Lead only; inspect original content before attribution</x:v>
      </x:c>
      <x:c r="I772" s="22" t="str">
        <x:v>Not checked</x:v>
      </x:c>
      <x:c r="J772" s="22" t="str">
        <x:v>Saved bookmark metadata only</x:v>
      </x:c>
      <x:c r="K772" s="22" t="str"/>
      <x:c r="L772" s="24" t="str"/>
      <x:c r="M772" s="24" t="str">
        <x:v>https://odcrawler.xyz/</x:v>
      </x:c>
      <x:c r="N772" s="22" t="str">
        <x:v>268644167</x:v>
      </x:c>
      <x:c r="O772" s="22" t="n">
        <x:v>1038</x:v>
      </x:c>
      <x:c r="P772" s="22" t="n">
        <x:v>6</x:v>
      </x:c>
      <x:c r="Q772" s="22" t="str"/>
      <x:c r="R772" s="22" t="n">
        <x:f>COUNTIF($M$6:$M$1177,M772)</x:f>
        <x:v>1</x:v>
      </x:c>
      <x:c r="S772" s="22" t="str">
        <x:v>Supporting discovery</x:v>
      </x:c>
      <x:c r="T772" s="22" t="str">
        <x:v>Low</x:v>
      </x:c>
    </x:row>
    <x:row r="773" ht="48" customHeight="1">
      <x:c r="A773" s="22" t="n">
        <x:v>768</x:v>
      </x:c>
      <x:c r="B773" s="22" t="str">
        <x:v>Google Docs CSE</x:v>
      </x:c>
      <x:c r="C773" s="43" t="str">
        <x:v>C-P</x:v>
      </x:c>
      <x:c r="D773" s="22" t="str">
        <x:v>Provisional</x:v>
      </x:c>
      <x:c r="E773" s="22" t="str">
        <x:v>OPEN DIRECTORY</x:v>
      </x:c>
      <x:c r="F773" s="22" t="str">
        <x:v>Custom-search discovery only</x:v>
      </x:c>
      <x:c r="G773" s="22" t="str">
        <x:v>The saved URL identifies a custom search. This engine's configuration, coverage and query results were not tested.</x:v>
      </x:c>
      <x:c r="H773" s="22" t="str">
        <x:v>Open and verify the original result; do not count the search as corroboration</x:v>
      </x:c>
      <x:c r="I773" s="22" t="str">
        <x:v>Not checked</x:v>
      </x:c>
      <x:c r="J773" s="22" t="str">
        <x:v>Saved bookmark metadata only</x:v>
      </x:c>
      <x:c r="K773" s="22" t="str"/>
      <x:c r="L773" s="24" t="str"/>
      <x:c r="M773" s="24" t="str">
        <x:v>https://cse.google.com/cse/publicurl?cx=013991603413798772546:rse-4irjrn8#gsc.tab=0</x:v>
      </x:c>
      <x:c r="N773" s="22" t="str">
        <x:v>291699255</x:v>
      </x:c>
      <x:c r="O773" s="22" t="n">
        <x:v>1038</x:v>
      </x:c>
      <x:c r="P773" s="22" t="n">
        <x:v>7</x:v>
      </x:c>
      <x:c r="Q773" s="22" t="str"/>
      <x:c r="R773" s="22" t="n">
        <x:f>COUNTIF($M$6:$M$1177,M773)</x:f>
        <x:v>1</x:v>
      </x:c>
      <x:c r="S773" s="22" t="str">
        <x:v>Supporting discovery</x:v>
      </x:c>
      <x:c r="T773" s="22" t="str">
        <x:v>Low</x:v>
      </x:c>
    </x:row>
    <x:row r="774" ht="48" customHeight="1">
      <x:c r="A774" s="22" t="n">
        <x:v>769</x:v>
      </x:c>
      <x:c r="B774" s="22" t="str">
        <x:v>Documents Search Engine</x:v>
      </x:c>
      <x:c r="C774" s="43" t="str">
        <x:v>C-P</x:v>
      </x:c>
      <x:c r="D774" s="22" t="str">
        <x:v>Provisional</x:v>
      </x:c>
      <x:c r="E774" s="22" t="str">
        <x:v>OPEN DIRECTORY</x:v>
      </x:c>
      <x:c r="F774" s="22" t="str">
        <x:v>Custom-search discovery only</x:v>
      </x:c>
      <x:c r="G774" s="22" t="str">
        <x:v>The saved URL identifies a custom search. This engine's configuration, coverage and query results were not tested.</x:v>
      </x:c>
      <x:c r="H774" s="22" t="str">
        <x:v>Open and verify the original result; do not count the search as corroboration</x:v>
      </x:c>
      <x:c r="I774" s="22" t="str">
        <x:v>Not checked</x:v>
      </x:c>
      <x:c r="J774" s="22" t="str">
        <x:v>Saved bookmark metadata only</x:v>
      </x:c>
      <x:c r="K774" s="22" t="str"/>
      <x:c r="L774" s="24" t="str"/>
      <x:c r="M774" s="24" t="str">
        <x:v>https://cse.google.com/cse?cx=e6756edc507bcfa91</x:v>
      </x:c>
      <x:c r="N774" s="22" t="str">
        <x:v>286819915</x:v>
      </x:c>
      <x:c r="O774" s="22" t="n">
        <x:v>1038</x:v>
      </x:c>
      <x:c r="P774" s="22" t="n">
        <x:v>8</x:v>
      </x:c>
      <x:c r="Q774" s="22" t="str"/>
      <x:c r="R774" s="22" t="n">
        <x:f>COUNTIF($M$6:$M$1177,M774)</x:f>
        <x:v>1</x:v>
      </x:c>
      <x:c r="S774" s="22" t="str">
        <x:v>Supporting discovery</x:v>
      </x:c>
      <x:c r="T774" s="22" t="str">
        <x:v>Low</x:v>
      </x:c>
    </x:row>
    <x:row r="775" ht="48" customHeight="1">
      <x:c r="A775" s="22" t="n">
        <x:v>770</x:v>
      </x:c>
      <x:c r="B775" s="22" t="str">
        <x:v>Cybersec Documents Search Engine</x:v>
      </x:c>
      <x:c r="C775" s="43" t="str">
        <x:v>C-P</x:v>
      </x:c>
      <x:c r="D775" s="22" t="str">
        <x:v>Provisional</x:v>
      </x:c>
      <x:c r="E775" s="22" t="str">
        <x:v>OPEN DIRECTORY</x:v>
      </x:c>
      <x:c r="F775" s="22" t="str">
        <x:v>Custom-search discovery only</x:v>
      </x:c>
      <x:c r="G775" s="22" t="str">
        <x:v>The saved URL identifies a custom search. This engine's configuration, coverage and query results were not tested.</x:v>
      </x:c>
      <x:c r="H775" s="22" t="str">
        <x:v>Open and verify the original result; do not count the search as corroboration</x:v>
      </x:c>
      <x:c r="I775" s="22" t="str">
        <x:v>Not checked</x:v>
      </x:c>
      <x:c r="J775" s="22" t="str">
        <x:v>Saved bookmark metadata only</x:v>
      </x:c>
      <x:c r="K775" s="22" t="str"/>
      <x:c r="L775" s="24" t="str"/>
      <x:c r="M775" s="24" t="str">
        <x:v>https://cse.google.com/cse?cx=013991603413798772546:ekjmizm8vus#gsc.tab=0</x:v>
      </x:c>
      <x:c r="N775" s="22" t="str">
        <x:v>286996620</x:v>
      </x:c>
      <x:c r="O775" s="22" t="n">
        <x:v>1038</x:v>
      </x:c>
      <x:c r="P775" s="22" t="n">
        <x:v>9</x:v>
      </x:c>
      <x:c r="Q775" s="22" t="str"/>
      <x:c r="R775" s="22" t="n">
        <x:f>COUNTIF($M$6:$M$1177,M775)</x:f>
        <x:v>1</x:v>
      </x:c>
      <x:c r="S775" s="22" t="str">
        <x:v>Supporting discovery</x:v>
      </x:c>
      <x:c r="T775" s="22" t="str">
        <x:v>Low</x:v>
      </x:c>
    </x:row>
    <x:row r="776" ht="48" customHeight="1">
      <x:c r="A776" s="22" t="n">
        <x:v>771</x:v>
      </x:c>
      <x:c r="B776" s="22" t="str">
        <x:v>GoogleDrive Search Engine</x:v>
      </x:c>
      <x:c r="C776" s="43" t="str">
        <x:v>C-P</x:v>
      </x:c>
      <x:c r="D776" s="22" t="str">
        <x:v>Provisional</x:v>
      </x:c>
      <x:c r="E776" s="22" t="str">
        <x:v>OPEN DIRECTORY</x:v>
      </x:c>
      <x:c r="F776" s="22" t="str">
        <x:v>Custom-search discovery only</x:v>
      </x:c>
      <x:c r="G776" s="22" t="str">
        <x:v>The saved URL identifies a custom search. This engine's configuration, coverage and query results were not tested.</x:v>
      </x:c>
      <x:c r="H776" s="22" t="str">
        <x:v>Open and verify the original result; do not count the search as corroboration</x:v>
      </x:c>
      <x:c r="I776" s="22" t="str">
        <x:v>Not checked</x:v>
      </x:c>
      <x:c r="J776" s="22" t="str">
        <x:v>Saved bookmark metadata only</x:v>
      </x:c>
      <x:c r="K776" s="22" t="str"/>
      <x:c r="L776" s="24" t="str"/>
      <x:c r="M776" s="24" t="str">
        <x:v>https://cse.google.com/cse?cx=c64ba311eb8c31896</x:v>
      </x:c>
      <x:c r="N776" s="22" t="str">
        <x:v>286819936</x:v>
      </x:c>
      <x:c r="O776" s="22" t="n">
        <x:v>1038</x:v>
      </x:c>
      <x:c r="P776" s="22" t="n">
        <x:v>10</x:v>
      </x:c>
      <x:c r="Q776" s="22" t="str"/>
      <x:c r="R776" s="22" t="n">
        <x:f>COUNTIF($M$6:$M$1177,M776)</x:f>
        <x:v>1</x:v>
      </x:c>
      <x:c r="S776" s="22" t="str">
        <x:v>Supporting discovery</x:v>
      </x:c>
      <x:c r="T776" s="22" t="str">
        <x:v>Low</x:v>
      </x:c>
    </x:row>
    <x:row r="777" ht="48" customHeight="1">
      <x:c r="A777" s="22" t="n">
        <x:v>772</x:v>
      </x:c>
      <x:c r="B777" s="22" t="str">
        <x:v>SlideShare Search Engine</x:v>
      </x:c>
      <x:c r="C777" s="43" t="str">
        <x:v>C-P</x:v>
      </x:c>
      <x:c r="D777" s="22" t="str">
        <x:v>Provisional</x:v>
      </x:c>
      <x:c r="E777" s="22" t="str">
        <x:v>OPEN DIRECTORY</x:v>
      </x:c>
      <x:c r="F777" s="22" t="str">
        <x:v>Custom-search discovery only</x:v>
      </x:c>
      <x:c r="G777" s="22" t="str">
        <x:v>The saved URL identifies a custom search. This engine's configuration, coverage and query results were not tested.</x:v>
      </x:c>
      <x:c r="H777" s="22" t="str">
        <x:v>Open and verify the original result; do not count the search as corroboration</x:v>
      </x:c>
      <x:c r="I777" s="22" t="str">
        <x:v>Not checked</x:v>
      </x:c>
      <x:c r="J777" s="22" t="str">
        <x:v>Saved bookmark metadata only</x:v>
      </x:c>
      <x:c r="K777" s="22" t="str"/>
      <x:c r="L777" s="24" t="str"/>
      <x:c r="M777" s="24" t="str">
        <x:v>https://cse.google.com/cse?cx=465eeeb114c7f523f</x:v>
      </x:c>
      <x:c r="N777" s="22" t="str">
        <x:v>286819932</x:v>
      </x:c>
      <x:c r="O777" s="22" t="n">
        <x:v>1038</x:v>
      </x:c>
      <x:c r="P777" s="22" t="n">
        <x:v>11</x:v>
      </x:c>
      <x:c r="Q777" s="22" t="str"/>
      <x:c r="R777" s="22" t="n">
        <x:f>COUNTIF($M$6:$M$1177,M777)</x:f>
        <x:v>1</x:v>
      </x:c>
      <x:c r="S777" s="22" t="str">
        <x:v>Supporting discovery</x:v>
      </x:c>
      <x:c r="T777" s="22" t="str">
        <x:v>Low</x:v>
      </x:c>
    </x:row>
    <x:row r="778" ht="54" customHeight="1">
      <x:c r="A778" s="22" t="n">
        <x:v>773</x:v>
      </x:c>
      <x:c r="B778" s="22" t="str">
        <x:v>Document Search</x:v>
      </x:c>
      <x:c r="C778" s="43" t="str">
        <x:v>C-P</x:v>
      </x:c>
      <x:c r="D778" s="22" t="str">
        <x:v>Provisional</x:v>
      </x:c>
      <x:c r="E778" s="22" t="str">
        <x:v>OPEN DIRECTORY</x:v>
      </x:c>
      <x:c r="F778" s="22" t="str">
        <x:v>File / directory discovery</x:v>
      </x:c>
      <x:c r="G778" s="22" t="str">
        <x:v>Provisional ceiling from saved search/discovery context only. Verify the original page, account attribution and date; no result accuracy test.</x:v>
      </x:c>
      <x:c r="H778" s="22" t="str">
        <x:v>Lead only; inspect original content before attribution</x:v>
      </x:c>
      <x:c r="I778" s="22" t="str">
        <x:v>Not checked</x:v>
      </x:c>
      <x:c r="J778" s="22" t="str">
        <x:v>Saved bookmark metadata only</x:v>
      </x:c>
      <x:c r="K778" s="22" t="str"/>
      <x:c r="L778" s="24" t="str"/>
      <x:c r="M778" s="24" t="str">
        <x:v>https://one-plus.github.io/DocumentSearch</x:v>
      </x:c>
      <x:c r="N778" s="22" t="str">
        <x:v>286013823</x:v>
      </x:c>
      <x:c r="O778" s="22" t="n">
        <x:v>1038</x:v>
      </x:c>
      <x:c r="P778" s="22" t="n">
        <x:v>12</x:v>
      </x:c>
      <x:c r="Q778" s="22" t="str"/>
      <x:c r="R778" s="22" t="n">
        <x:f>COUNTIF($M$6:$M$1177,M778)</x:f>
        <x:v>1</x:v>
      </x:c>
      <x:c r="S778" s="22" t="str">
        <x:v>Supporting discovery</x:v>
      </x:c>
      <x:c r="T778" s="22" t="str">
        <x:v>Low</x:v>
      </x:c>
    </x:row>
    <x:row r="779" ht="54" customHeight="1">
      <x:c r="A779" s="22" t="n">
        <x:v>774</x:v>
      </x:c>
      <x:c r="B779" s="22" t="str">
        <x:v>FONETASK</x:v>
      </x:c>
      <x:c r="C779" s="43" t="str">
        <x:v>C-P</x:v>
      </x:c>
      <x:c r="D779" s="22" t="str">
        <x:v>Provisional</x:v>
      </x:c>
      <x:c r="E779" s="22" t="str">
        <x:v>OPEN DIRECTORY</x:v>
      </x:c>
      <x:c r="F779" s="22" t="str">
        <x:v>File / directory discovery</x:v>
      </x:c>
      <x:c r="G779" s="22" t="str">
        <x:v>Provisional ceiling from saved search/discovery context only. Verify the original page, account attribution and date; no result accuracy test.</x:v>
      </x:c>
      <x:c r="H779" s="22" t="str">
        <x:v>Lead only; inspect original content before attribution</x:v>
      </x:c>
      <x:c r="I779" s="22" t="str">
        <x:v>Not checked</x:v>
      </x:c>
      <x:c r="J779" s="22" t="str">
        <x:v>Saved bookmark metadata only</x:v>
      </x:c>
      <x:c r="K779" s="22" t="str"/>
      <x:c r="L779" s="24" t="str"/>
      <x:c r="M779" s="24" t="str">
        <x:v>http://fonetask.com/</x:v>
      </x:c>
      <x:c r="N779" s="22" t="str">
        <x:v>268644087</x:v>
      </x:c>
      <x:c r="O779" s="22" t="n">
        <x:v>1038</x:v>
      </x:c>
      <x:c r="P779" s="22" t="n">
        <x:v>13</x:v>
      </x:c>
      <x:c r="Q779" s="22" t="str"/>
      <x:c r="R779" s="22" t="n">
        <x:f>COUNTIF($M$6:$M$1177,M779)</x:f>
        <x:v>1</x:v>
      </x:c>
      <x:c r="S779" s="22" t="str">
        <x:v>Supporting discovery</x:v>
      </x:c>
      <x:c r="T779" s="22" t="str">
        <x:v>Low</x:v>
      </x:c>
    </x:row>
    <x:row r="780" ht="54" customHeight="1">
      <x:c r="A780" s="22" t="n">
        <x:v>775</x:v>
      </x:c>
      <x:c r="B780" s="22" t="str">
        <x:v>Web archive search tool</x:v>
      </x:c>
      <x:c r="C780" s="43" t="str">
        <x:v>C-P</x:v>
      </x:c>
      <x:c r="D780" s="22" t="str">
        <x:v>Provisional</x:v>
      </x:c>
      <x:c r="E780" s="22" t="str">
        <x:v>OPEN DIRECTORY</x:v>
      </x:c>
      <x:c r="F780" s="22" t="str">
        <x:v>File / directory discovery</x:v>
      </x:c>
      <x:c r="G780" s="22" t="str">
        <x:v>Provisional ceiling from saved search/discovery context only. Verify the original page, account attribution and date; no result accuracy test.</x:v>
      </x:c>
      <x:c r="H780" s="22" t="str">
        <x:v>Lead only; inspect original content before attribution</x:v>
      </x:c>
      <x:c r="I780" s="22" t="str">
        <x:v>Not checked</x:v>
      </x:c>
      <x:c r="J780" s="22" t="str">
        <x:v>Saved bookmark metadata only</x:v>
      </x:c>
      <x:c r="K780" s="22" t="str"/>
      <x:c r="L780" s="24" t="str"/>
      <x:c r="M780" s="24" t="str">
        <x:v>https://www.aware-online.com/osint-tools/web-archive-search-tool/</x:v>
      </x:c>
      <x:c r="N780" s="22" t="str">
        <x:v>268503548</x:v>
      </x:c>
      <x:c r="O780" s="22" t="n">
        <x:v>1038</x:v>
      </x:c>
      <x:c r="P780" s="22" t="n">
        <x:v>14</x:v>
      </x:c>
      <x:c r="Q780" s="22" t="str"/>
      <x:c r="R780" s="22" t="n">
        <x:f>COUNTIF($M$6:$M$1177,M780)</x:f>
        <x:v>1</x:v>
      </x:c>
      <x:c r="S780" s="22" t="str">
        <x:v>Supporting discovery</x:v>
      </x:c>
      <x:c r="T780" s="22" t="str">
        <x:v>Low</x:v>
      </x:c>
    </x:row>
    <x:row r="781" ht="54" customHeight="1">
      <x:c r="A781" s="22" t="n">
        <x:v>776</x:v>
      </x:c>
      <x:c r="B781" s="22" t="str">
        <x:v>Pdfsearch.io</x:v>
      </x:c>
      <x:c r="C781" s="43" t="str">
        <x:v>C-P</x:v>
      </x:c>
      <x:c r="D781" s="22" t="str">
        <x:v>Provisional</x:v>
      </x:c>
      <x:c r="E781" s="22" t="str">
        <x:v>OPEN DIRECTORY</x:v>
      </x:c>
      <x:c r="F781" s="22" t="str">
        <x:v>File / directory discovery</x:v>
      </x:c>
      <x:c r="G781" s="22" t="str">
        <x:v>Provisional ceiling from saved search/discovery context only. Verify the original page, account attribution and date; no result accuracy test.</x:v>
      </x:c>
      <x:c r="H781" s="22" t="str">
        <x:v>Lead only; inspect original content before attribution</x:v>
      </x:c>
      <x:c r="I781" s="22" t="str">
        <x:v>Not checked</x:v>
      </x:c>
      <x:c r="J781" s="22" t="str">
        <x:v>Saved bookmark metadata only</x:v>
      </x:c>
      <x:c r="K781" s="22" t="str"/>
      <x:c r="L781" s="24" t="str"/>
      <x:c r="M781" s="24" t="str">
        <x:v>https://www.pdfsearch.io/</x:v>
      </x:c>
      <x:c r="N781" s="22" t="str">
        <x:v>268644039</x:v>
      </x:c>
      <x:c r="O781" s="22" t="n">
        <x:v>1038</x:v>
      </x:c>
      <x:c r="P781" s="22" t="n">
        <x:v>15</x:v>
      </x:c>
      <x:c r="Q781" s="22" t="str"/>
      <x:c r="R781" s="22" t="n">
        <x:f>COUNTIF($M$6:$M$1177,M781)</x:f>
        <x:v>1</x:v>
      </x:c>
      <x:c r="S781" s="22" t="str">
        <x:v>Supporting discovery</x:v>
      </x:c>
      <x:c r="T781" s="22" t="str">
        <x:v>Low</x:v>
      </x:c>
    </x:row>
    <x:row r="782" ht="54" customHeight="1">
      <x:c r="A782" s="22" t="n">
        <x:v>777</x:v>
      </x:c>
      <x:c r="B782" s="22" t="str">
        <x:v>awesome-public-datasets</x:v>
      </x:c>
      <x:c r="C782" s="43" t="str">
        <x:v>C-P</x:v>
      </x:c>
      <x:c r="D782" s="22" t="str">
        <x:v>Provisional</x:v>
      </x:c>
      <x:c r="E782" s="22" t="str">
        <x:v>OPEN DIRECTORY</x:v>
      </x:c>
      <x:c r="F782" s="22" t="str">
        <x:v>File / directory discovery</x:v>
      </x:c>
      <x:c r="G782" s="22" t="str">
        <x:v>Provisional ceiling from saved search/discovery context only. Verify the original page, account attribution and date; no result accuracy test.</x:v>
      </x:c>
      <x:c r="H782" s="22" t="str">
        <x:v>Lead only; inspect original content before attribution</x:v>
      </x:c>
      <x:c r="I782" s="22" t="str">
        <x:v>Not checked</x:v>
      </x:c>
      <x:c r="J782" s="22" t="str">
        <x:v>Saved bookmark metadata only</x:v>
      </x:c>
      <x:c r="K782" s="22" t="str"/>
      <x:c r="L782" s="24" t="str"/>
      <x:c r="M782" s="24" t="str">
        <x:v>https://github.com/awesomedata/awesome-public-datasets</x:v>
      </x:c>
      <x:c r="N782" s="22" t="str">
        <x:v>286870454</x:v>
      </x:c>
      <x:c r="O782" s="22" t="n">
        <x:v>1038</x:v>
      </x:c>
      <x:c r="P782" s="22" t="n">
        <x:v>16</x:v>
      </x:c>
      <x:c r="Q782" s="22" t="str"/>
      <x:c r="R782" s="22" t="n">
        <x:f>COUNTIF($M$6:$M$1177,M782)</x:f>
        <x:v>1</x:v>
      </x:c>
      <x:c r="S782" s="22" t="str">
        <x:v>Supporting discovery</x:v>
      </x:c>
      <x:c r="T782" s="22" t="str">
        <x:v>Low</x:v>
      </x:c>
    </x:row>
    <x:row r="783" ht="54" customHeight="1">
      <x:c r="A783" s="22" t="n">
        <x:v>778</x:v>
      </x:c>
      <x:c r="B783" s="22" t="str">
        <x:v>Drivesearch.kwebpia.net</x:v>
      </x:c>
      <x:c r="C783" s="43" t="str">
        <x:v>C-P</x:v>
      </x:c>
      <x:c r="D783" s="22" t="str">
        <x:v>Provisional</x:v>
      </x:c>
      <x:c r="E783" s="22" t="str">
        <x:v>OPEN DIRECTORY</x:v>
      </x:c>
      <x:c r="F783" s="22" t="str">
        <x:v>File / directory discovery</x:v>
      </x:c>
      <x:c r="G783" s="22" t="str">
        <x:v>Provisional ceiling from saved search/discovery context only. Verify the original page, account attribution and date; no result accuracy test.</x:v>
      </x:c>
      <x:c r="H783" s="22" t="str">
        <x:v>Lead only; inspect original content before attribution</x:v>
      </x:c>
      <x:c r="I783" s="22" t="str">
        <x:v>Not checked</x:v>
      </x:c>
      <x:c r="J783" s="22" t="str">
        <x:v>Saved bookmark metadata only</x:v>
      </x:c>
      <x:c r="K783" s="22" t="str"/>
      <x:c r="L783" s="24" t="str"/>
      <x:c r="M783" s="24" t="str">
        <x:v>http://drivesearch.kwebpia.net/</x:v>
      </x:c>
      <x:c r="N783" s="22" t="str">
        <x:v>286996473</x:v>
      </x:c>
      <x:c r="O783" s="22" t="n">
        <x:v>1038</x:v>
      </x:c>
      <x:c r="P783" s="22" t="n">
        <x:v>17</x:v>
      </x:c>
      <x:c r="Q783" s="22" t="str"/>
      <x:c r="R783" s="22" t="n">
        <x:f>COUNTIF($M$6:$M$1177,M783)</x:f>
        <x:v>1</x:v>
      </x:c>
      <x:c r="S783" s="22" t="str">
        <x:v>Supporting discovery</x:v>
      </x:c>
      <x:c r="T783" s="22" t="str">
        <x:v>Low</x:v>
      </x:c>
    </x:row>
    <x:row r="784" ht="54" customHeight="1">
      <x:c r="A784" s="22" t="n">
        <x:v>779</x:v>
      </x:c>
      <x:c r="B784" s="22" t="str">
        <x:v>Filepursuit.com</x:v>
      </x:c>
      <x:c r="C784" s="43" t="str">
        <x:v>C-P</x:v>
      </x:c>
      <x:c r="D784" s="22" t="str">
        <x:v>Provisional</x:v>
      </x:c>
      <x:c r="E784" s="22" t="str">
        <x:v>OPEN DIRECTORY</x:v>
      </x:c>
      <x:c r="F784" s="22" t="str">
        <x:v>File / directory discovery</x:v>
      </x:c>
      <x:c r="G784" s="22" t="str">
        <x:v>Provisional ceiling from saved search/discovery context only. Verify the original page, account attribution and date; no result accuracy test.</x:v>
      </x:c>
      <x:c r="H784" s="22" t="str">
        <x:v>Lead only; inspect original content before attribution</x:v>
      </x:c>
      <x:c r="I784" s="22" t="str">
        <x:v>Not checked</x:v>
      </x:c>
      <x:c r="J784" s="22" t="str">
        <x:v>Saved bookmark metadata only</x:v>
      </x:c>
      <x:c r="K784" s="22" t="str"/>
      <x:c r="L784" s="24" t="str"/>
      <x:c r="M784" s="24" t="str">
        <x:v>https://filepursuit.com/</x:v>
      </x:c>
      <x:c r="N784" s="22" t="str">
        <x:v>297340661</x:v>
      </x:c>
      <x:c r="O784" s="22" t="n">
        <x:v>1038</x:v>
      </x:c>
      <x:c r="P784" s="22" t="n">
        <x:v>18</x:v>
      </x:c>
      <x:c r="Q784" s="22" t="str"/>
      <x:c r="R784" s="22" t="n">
        <x:f>COUNTIF($M$6:$M$1177,M784)</x:f>
        <x:v>1</x:v>
      </x:c>
      <x:c r="S784" s="22" t="str">
        <x:v>Supporting discovery</x:v>
      </x:c>
      <x:c r="T784" s="22" t="str">
        <x:v>Low</x:v>
      </x:c>
    </x:row>
    <x:row r="785" ht="54" customHeight="1">
      <x:c r="A785" s="22" t="n">
        <x:v>780</x:v>
      </x:c>
      <x:c r="B785" s="22" t="str">
        <x:v>Filechef.com</x:v>
      </x:c>
      <x:c r="C785" s="43" t="str">
        <x:v>C-P</x:v>
      </x:c>
      <x:c r="D785" s="22" t="str">
        <x:v>Provisional</x:v>
      </x:c>
      <x:c r="E785" s="22" t="str">
        <x:v>OPEN DIRECTORY</x:v>
      </x:c>
      <x:c r="F785" s="22" t="str">
        <x:v>File / directory discovery</x:v>
      </x:c>
      <x:c r="G785" s="22" t="str">
        <x:v>Provisional ceiling from saved search/discovery context only. Verify the original page, account attribution and date; no result accuracy test.</x:v>
      </x:c>
      <x:c r="H785" s="22" t="str">
        <x:v>Lead only; inspect original content before attribution</x:v>
      </x:c>
      <x:c r="I785" s="22" t="str">
        <x:v>Not checked</x:v>
      </x:c>
      <x:c r="J785" s="22" t="str">
        <x:v>Saved bookmark metadata only</x:v>
      </x:c>
      <x:c r="K785" s="22" t="str"/>
      <x:c r="L785" s="24" t="str"/>
      <x:c r="M785" s="24" t="str">
        <x:v>https://www.filechef.com/</x:v>
      </x:c>
      <x:c r="N785" s="22" t="str">
        <x:v>297340663</x:v>
      </x:c>
      <x:c r="O785" s="22" t="n">
        <x:v>1038</x:v>
      </x:c>
      <x:c r="P785" s="22" t="n">
        <x:v>19</x:v>
      </x:c>
      <x:c r="Q785" s="22" t="str"/>
      <x:c r="R785" s="22" t="n">
        <x:f>COUNTIF($M$6:$M$1177,M785)</x:f>
        <x:v>1</x:v>
      </x:c>
      <x:c r="S785" s="22" t="str">
        <x:v>Supporting discovery</x:v>
      </x:c>
      <x:c r="T785" s="22" t="str">
        <x:v>Low</x:v>
      </x:c>
    </x:row>
    <x:row r="786" ht="54" customHeight="1">
      <x:c r="A786" s="22" t="n">
        <x:v>781</x:v>
      </x:c>
      <x:c r="B786" s="22" t="str">
        <x:v>Open Directory Search</x:v>
      </x:c>
      <x:c r="C786" s="43" t="str">
        <x:v>C-P</x:v>
      </x:c>
      <x:c r="D786" s="22" t="str">
        <x:v>Provisional</x:v>
      </x:c>
      <x:c r="E786" s="22" t="str">
        <x:v>OPEN DIRECTORY</x:v>
      </x:c>
      <x:c r="F786" s="22" t="str">
        <x:v>File / directory discovery</x:v>
      </x:c>
      <x:c r="G786" s="22" t="str">
        <x:v>Provisional ceiling from saved search/discovery context only. Verify the original page, account attribution and date; no result accuracy test.</x:v>
      </x:c>
      <x:c r="H786" s="22" t="str">
        <x:v>Lead only; inspect original content before attribution</x:v>
      </x:c>
      <x:c r="I786" s="22" t="str">
        <x:v>Not checked</x:v>
      </x:c>
      <x:c r="J786" s="22" t="str">
        <x:v>Saved bookmark metadata only</x:v>
      </x:c>
      <x:c r="K786" s="22" t="str"/>
      <x:c r="L786" s="24" t="str"/>
      <x:c r="M786" s="24" t="str">
        <x:v>http://eyeofjustice.com/od/</x:v>
      </x:c>
      <x:c r="N786" s="22" t="str">
        <x:v>297340680</x:v>
      </x:c>
      <x:c r="O786" s="22" t="n">
        <x:v>1038</x:v>
      </x:c>
      <x:c r="P786" s="22" t="n">
        <x:v>20</x:v>
      </x:c>
      <x:c r="Q786" s="22" t="str"/>
      <x:c r="R786" s="22" t="n">
        <x:f>COUNTIF($M$6:$M$1177,M786)</x:f>
        <x:v>1</x:v>
      </x:c>
      <x:c r="S786" s="22" t="str">
        <x:v>Supporting discovery</x:v>
      </x:c>
      <x:c r="T786" s="22" t="str">
        <x:v>Low</x:v>
      </x:c>
    </x:row>
    <x:row r="787" ht="54" customHeight="1">
      <x:c r="A787" s="22" t="n">
        <x:v>782</x:v>
      </x:c>
      <x:c r="B787" s="22" t="str">
        <x:v>Mamont's open FTP Index</x:v>
      </x:c>
      <x:c r="C787" s="43" t="str">
        <x:v>C-P</x:v>
      </x:c>
      <x:c r="D787" s="22" t="str">
        <x:v>Provisional</x:v>
      </x:c>
      <x:c r="E787" s="22" t="str">
        <x:v>OPEN DIRECTORY</x:v>
      </x:c>
      <x:c r="F787" s="22" t="str">
        <x:v>File / directory discovery</x:v>
      </x:c>
      <x:c r="G787" s="22" t="str">
        <x:v>Provisional ceiling from saved search/discovery context only. Verify the original page, account attribution and date; no result accuracy test.</x:v>
      </x:c>
      <x:c r="H787" s="22" t="str">
        <x:v>Lead only; inspect original content before attribution</x:v>
      </x:c>
      <x:c r="I787" s="22" t="str">
        <x:v>Not checked</x:v>
      </x:c>
      <x:c r="J787" s="22" t="str">
        <x:v>Saved bookmark metadata only</x:v>
      </x:c>
      <x:c r="K787" s="22" t="str"/>
      <x:c r="L787" s="24" t="str"/>
      <x:c r="M787" s="24" t="str">
        <x:v>https://www.mmnt.net/</x:v>
      </x:c>
      <x:c r="N787" s="22" t="str">
        <x:v>297340719</x:v>
      </x:c>
      <x:c r="O787" s="22" t="n">
        <x:v>1038</x:v>
      </x:c>
      <x:c r="P787" s="22" t="n">
        <x:v>21</x:v>
      </x:c>
      <x:c r="Q787" s="22" t="str"/>
      <x:c r="R787" s="22" t="n">
        <x:f>COUNTIF($M$6:$M$1177,M787)</x:f>
        <x:v>1</x:v>
      </x:c>
      <x:c r="S787" s="22" t="str">
        <x:v>Supporting discovery</x:v>
      </x:c>
      <x:c r="T787" s="22" t="str">
        <x:v>Low</x:v>
      </x:c>
    </x:row>
    <x:row r="788" ht="54" customHeight="1">
      <x:c r="A788" s="22" t="n">
        <x:v>783</x:v>
      </x:c>
      <x:c r="B788" s="22" t="str">
        <x:v>LENDX</x:v>
      </x:c>
      <x:c r="C788" s="43" t="str">
        <x:v>C-P</x:v>
      </x:c>
      <x:c r="D788" s="22" t="str">
        <x:v>Provisional</x:v>
      </x:c>
      <x:c r="E788" s="22" t="str">
        <x:v>OPEN DIRECTORY</x:v>
      </x:c>
      <x:c r="F788" s="22" t="str">
        <x:v>File / directory discovery</x:v>
      </x:c>
      <x:c r="G788" s="22" t="str">
        <x:v>Provisional ceiling from saved search/discovery context only. Verify the original page, account attribution and date; no result accuracy test.</x:v>
      </x:c>
      <x:c r="H788" s="22" t="str">
        <x:v>Lead only; inspect original content before attribution</x:v>
      </x:c>
      <x:c r="I788" s="22" t="str">
        <x:v>Not checked</x:v>
      </x:c>
      <x:c r="J788" s="22" t="str">
        <x:v>Saved bookmark metadata only</x:v>
      </x:c>
      <x:c r="K788" s="22" t="str"/>
      <x:c r="L788" s="24" t="str"/>
      <x:c r="M788" s="24" t="str">
        <x:v>http://lendx.org/</x:v>
      </x:c>
      <x:c r="N788" s="22" t="str">
        <x:v>297340878</x:v>
      </x:c>
      <x:c r="O788" s="22" t="n">
        <x:v>1038</x:v>
      </x:c>
      <x:c r="P788" s="22" t="n">
        <x:v>22</x:v>
      </x:c>
      <x:c r="Q788" s="22" t="str"/>
      <x:c r="R788" s="22" t="n">
        <x:f>COUNTIF($M$6:$M$1177,M788)</x:f>
        <x:v>1</x:v>
      </x:c>
      <x:c r="S788" s="22" t="str">
        <x:v>Supporting discovery</x:v>
      </x:c>
      <x:c r="T788" s="22" t="str">
        <x:v>Low</x:v>
      </x:c>
    </x:row>
    <x:row r="789" ht="54" customHeight="1">
      <x:c r="A789" s="22" t="n">
        <x:v>784</x:v>
      </x:c>
      <x:c r="B789" s="22" t="str">
        <x:v>Direct Download Almost Anything</x:v>
      </x:c>
      <x:c r="C789" s="43" t="str">
        <x:v>C-P</x:v>
      </x:c>
      <x:c r="D789" s="22" t="str">
        <x:v>Provisional</x:v>
      </x:c>
      <x:c r="E789" s="22" t="str">
        <x:v>OPEN DIRECTORY</x:v>
      </x:c>
      <x:c r="F789" s="22" t="str">
        <x:v>File / directory discovery</x:v>
      </x:c>
      <x:c r="G789" s="22" t="str">
        <x:v>Provisional ceiling from saved search/discovery context only. Verify the original page, account attribution and date; no result accuracy test.</x:v>
      </x:c>
      <x:c r="H789" s="22" t="str">
        <x:v>Lead only; inspect original content before attribution</x:v>
      </x:c>
      <x:c r="I789" s="22" t="str">
        <x:v>Not checked</x:v>
      </x:c>
      <x:c r="J789" s="22" t="str">
        <x:v>Saved bookmark metadata only</x:v>
      </x:c>
      <x:c r="K789" s="22" t="str"/>
      <x:c r="L789" s="24" t="str"/>
      <x:c r="M789" s="24" t="str">
        <x:v>https://ewasion.github.io/opendirectory-finder/</x:v>
      </x:c>
      <x:c r="N789" s="22" t="str">
        <x:v>268644164</x:v>
      </x:c>
      <x:c r="O789" s="22" t="n">
        <x:v>1038</x:v>
      </x:c>
      <x:c r="P789" s="22" t="n">
        <x:v>23</x:v>
      </x:c>
      <x:c r="Q789" s="22" t="str"/>
      <x:c r="R789" s="22" t="n">
        <x:f>COUNTIF($M$6:$M$1177,M789)</x:f>
        <x:v>1</x:v>
      </x:c>
      <x:c r="S789" s="22" t="str">
        <x:v>Supporting discovery</x:v>
      </x:c>
      <x:c r="T789" s="22" t="str">
        <x:v>Low</x:v>
      </x:c>
    </x:row>
    <x:row r="790" ht="48" customHeight="1">
      <x:c r="A790" s="22" t="n">
        <x:v>785</x:v>
      </x:c>
      <x:c r="B790" s="22" t="str">
        <x:v>Data Sets - OH SHINT</x:v>
      </x:c>
      <x:c r="C790" s="31" t="str">
        <x:v>U</x:v>
      </x:c>
      <x:c r="D790" s="22" t="str">
        <x:v>Unassessed</x:v>
      </x:c>
      <x:c r="E790" s="22" t="str">
        <x:v>DATASET</x:v>
      </x:c>
      <x:c r="F790" s="22" t="str">
        <x:v>Dataset discovery</x:v>
      </x:c>
      <x:c r="G790" s="22" t="str">
        <x:v>Read the source methodology, collection dates, exclusions and record-level provenance.</x:v>
      </x:c>
      <x:c r="H790" s="22" t="str">
        <x:v>Verify publisher, source and current function before reliance</x:v>
      </x:c>
      <x:c r="I790" s="22" t="str">
        <x:v>Not checked</x:v>
      </x:c>
      <x:c r="J790" s="22" t="str">
        <x:v>Saved bookmark metadata only</x:v>
      </x:c>
      <x:c r="K790" s="22" t="str"/>
      <x:c r="L790" s="24" t="str"/>
      <x:c r="M790" s="24" t="str">
        <x:v>https://ohshint.gitbook.io/oh-shint-its-a-blog/osint-web-resources/data-sets</x:v>
      </x:c>
      <x:c r="N790" s="22" t="str">
        <x:v>309553657</x:v>
      </x:c>
      <x:c r="O790" s="22" t="n">
        <x:v>1038</x:v>
      </x:c>
      <x:c r="P790" s="22" t="n">
        <x:v>1</x:v>
      </x:c>
      <x:c r="Q790" s="22" t="str"/>
      <x:c r="R790" s="22" t="n">
        <x:f>COUNTIF($M$6:$M$1177,M790)</x:f>
        <x:v>1</x:v>
      </x:c>
      <x:c r="S790" s="22" t="str">
        <x:v>Other / utility</x:v>
      </x:c>
      <x:c r="T790" s="22" t="str">
        <x:v>Not established</x:v>
      </x:c>
    </x:row>
    <x:row r="791" ht="48" customHeight="1">
      <x:c r="A791" s="22" t="n">
        <x:v>786</x:v>
      </x:c>
      <x:c r="B791" s="22" t="str">
        <x:v>Datasetsearch.research.google.com</x:v>
      </x:c>
      <x:c r="C791" s="31" t="str">
        <x:v>U</x:v>
      </x:c>
      <x:c r="D791" s="22" t="str">
        <x:v>Unassessed</x:v>
      </x:c>
      <x:c r="E791" s="22" t="str">
        <x:v>DATASET</x:v>
      </x:c>
      <x:c r="F791" s="22" t="str">
        <x:v>Dataset discovery</x:v>
      </x:c>
      <x:c r="G791" s="22" t="str">
        <x:v>Read the source methodology, collection dates, exclusions and record-level provenance.</x:v>
      </x:c>
      <x:c r="H791" s="22" t="str">
        <x:v>Verify publisher, source and current function before reliance</x:v>
      </x:c>
      <x:c r="I791" s="22" t="str">
        <x:v>Not checked</x:v>
      </x:c>
      <x:c r="J791" s="22" t="str">
        <x:v>Saved bookmark metadata only</x:v>
      </x:c>
      <x:c r="K791" s="22" t="str"/>
      <x:c r="L791" s="24" t="str"/>
      <x:c r="M791" s="24" t="str">
        <x:v>https://datasetsearch.research.google.com/</x:v>
      </x:c>
      <x:c r="N791" s="22" t="str">
        <x:v>268511465</x:v>
      </x:c>
      <x:c r="O791" s="22" t="n">
        <x:v>1038</x:v>
      </x:c>
      <x:c r="P791" s="22" t="n">
        <x:v>2</x:v>
      </x:c>
      <x:c r="Q791" s="22" t="str"/>
      <x:c r="R791" s="22" t="n">
        <x:f>COUNTIF($M$6:$M$1177,M791)</x:f>
        <x:v>1</x:v>
      </x:c>
      <x:c r="S791" s="22" t="str">
        <x:v>Other / utility</x:v>
      </x:c>
      <x:c r="T791" s="22" t="str">
        <x:v>Not established</x:v>
      </x:c>
    </x:row>
    <x:row r="792" ht="48" customHeight="1">
      <x:c r="A792" s="22" t="n">
        <x:v>787</x:v>
      </x:c>
      <x:c r="B792" s="22" t="str">
        <x:v>Kaggle</x:v>
      </x:c>
      <x:c r="C792" s="31" t="str">
        <x:v>U</x:v>
      </x:c>
      <x:c r="D792" s="22" t="str">
        <x:v>Unassessed</x:v>
      </x:c>
      <x:c r="E792" s="22" t="str">
        <x:v>DATASET</x:v>
      </x:c>
      <x:c r="F792" s="22" t="str">
        <x:v>Dataset discovery</x:v>
      </x:c>
      <x:c r="G792" s="22" t="str">
        <x:v>Read the source methodology, collection dates, exclusions and record-level provenance.</x:v>
      </x:c>
      <x:c r="H792" s="22" t="str">
        <x:v>Verify publisher, source and current function before reliance</x:v>
      </x:c>
      <x:c r="I792" s="22" t="str">
        <x:v>Not checked</x:v>
      </x:c>
      <x:c r="J792" s="22" t="str">
        <x:v>Saved bookmark metadata only</x:v>
      </x:c>
      <x:c r="K792" s="22" t="str"/>
      <x:c r="L792" s="24" t="str"/>
      <x:c r="M792" s="24" t="str">
        <x:v>https://www.kaggle.com/search?q=</x:v>
      </x:c>
      <x:c r="N792" s="22" t="str">
        <x:v>286870277</x:v>
      </x:c>
      <x:c r="O792" s="22" t="n">
        <x:v>1038</x:v>
      </x:c>
      <x:c r="P792" s="22" t="n">
        <x:v>3</x:v>
      </x:c>
      <x:c r="Q792" s="22" t="str"/>
      <x:c r="R792" s="22" t="n">
        <x:f>COUNTIF($M$6:$M$1177,M792)</x:f>
        <x:v>1</x:v>
      </x:c>
      <x:c r="S792" s="22" t="str">
        <x:v>Other / utility</x:v>
      </x:c>
      <x:c r="T792" s="22" t="str">
        <x:v>Not established</x:v>
      </x:c>
    </x:row>
    <x:row r="793" ht="48" customHeight="1">
      <x:c r="A793" s="22" t="n">
        <x:v>788</x:v>
      </x:c>
      <x:c r="B793" s="22" t="str">
        <x:v>Databasd</x:v>
      </x:c>
      <x:c r="C793" s="31" t="str">
        <x:v>U</x:v>
      </x:c>
      <x:c r="D793" s="22" t="str">
        <x:v>Unassessed</x:v>
      </x:c>
      <x:c r="E793" s="22" t="str">
        <x:v>DATASET</x:v>
      </x:c>
      <x:c r="F793" s="22" t="str">
        <x:v>Dataset discovery</x:v>
      </x:c>
      <x:c r="G793" s="22" t="str">
        <x:v>Read the source methodology, collection dates, exclusions and record-level provenance.</x:v>
      </x:c>
      <x:c r="H793" s="22" t="str">
        <x:v>Verify publisher, source and current function before reliance</x:v>
      </x:c>
      <x:c r="I793" s="22" t="str">
        <x:v>Not checked</x:v>
      </x:c>
      <x:c r="J793" s="22" t="str">
        <x:v>Saved bookmark metadata only</x:v>
      </x:c>
      <x:c r="K793" s="22" t="str"/>
      <x:c r="L793" s="24" t="str"/>
      <x:c r="M793" s="24" t="str">
        <x:v>https://databasd.com/</x:v>
      </x:c>
      <x:c r="N793" s="22" t="str">
        <x:v>268511496</x:v>
      </x:c>
      <x:c r="O793" s="22" t="n">
        <x:v>1038</x:v>
      </x:c>
      <x:c r="P793" s="22" t="n">
        <x:v>4</x:v>
      </x:c>
      <x:c r="Q793" s="22" t="str"/>
      <x:c r="R793" s="22" t="n">
        <x:f>COUNTIF($M$6:$M$1177,M793)</x:f>
        <x:v>1</x:v>
      </x:c>
      <x:c r="S793" s="22" t="str">
        <x:v>Other / utility</x:v>
      </x:c>
      <x:c r="T793" s="22" t="str">
        <x:v>Not established</x:v>
      </x:c>
    </x:row>
    <x:row r="794" ht="48" customHeight="1">
      <x:c r="A794" s="22" t="n">
        <x:v>789</x:v>
      </x:c>
      <x:c r="B794" s="22" t="str">
        <x:v>Data.gov</x:v>
      </x:c>
      <x:c r="C794" s="31" t="str">
        <x:v>U</x:v>
      </x:c>
      <x:c r="D794" s="22" t="str">
        <x:v>Unassessed</x:v>
      </x:c>
      <x:c r="E794" s="22" t="str">
        <x:v>DATASET</x:v>
      </x:c>
      <x:c r="F794" s="22" t="str">
        <x:v>Dataset discovery</x:v>
      </x:c>
      <x:c r="G794" s="22" t="str">
        <x:v>Read the source methodology, collection dates, exclusions and record-level provenance.</x:v>
      </x:c>
      <x:c r="H794" s="22" t="str">
        <x:v>Verify publisher, source and current function before reliance</x:v>
      </x:c>
      <x:c r="I794" s="22" t="str">
        <x:v>Not checked</x:v>
      </x:c>
      <x:c r="J794" s="22" t="str">
        <x:v>Saved bookmark metadata only</x:v>
      </x:c>
      <x:c r="K794" s="22" t="str"/>
      <x:c r="L794" s="24" t="str"/>
      <x:c r="M794" s="24" t="str">
        <x:v>https://www.data.gov/</x:v>
      </x:c>
      <x:c r="N794" s="22" t="str">
        <x:v>286870405</x:v>
      </x:c>
      <x:c r="O794" s="22" t="n">
        <x:v>1038</x:v>
      </x:c>
      <x:c r="P794" s="22" t="n">
        <x:v>5</x:v>
      </x:c>
      <x:c r="Q794" s="22" t="str"/>
      <x:c r="R794" s="22" t="n">
        <x:f>COUNTIF($M$6:$M$1177,M794)</x:f>
        <x:v>1</x:v>
      </x:c>
      <x:c r="S794" s="22" t="str">
        <x:v>Other / utility</x:v>
      </x:c>
      <x:c r="T794" s="22" t="str">
        <x:v>Not established</x:v>
      </x:c>
    </x:row>
    <x:row r="795" ht="48" customHeight="1">
      <x:c r="A795" s="22" t="n">
        <x:v>790</x:v>
      </x:c>
      <x:c r="B795" s="22" t="str">
        <x:v>data.world</x:v>
      </x:c>
      <x:c r="C795" s="31" t="str">
        <x:v>U</x:v>
      </x:c>
      <x:c r="D795" s="22" t="str">
        <x:v>Unassessed</x:v>
      </x:c>
      <x:c r="E795" s="22" t="str">
        <x:v>DATASET</x:v>
      </x:c>
      <x:c r="F795" s="22" t="str">
        <x:v>Dataset discovery</x:v>
      </x:c>
      <x:c r="G795" s="22" t="str">
        <x:v>Read the source methodology, collection dates, exclusions and record-level provenance.</x:v>
      </x:c>
      <x:c r="H795" s="22" t="str">
        <x:v>Verify publisher, source and current function before reliance</x:v>
      </x:c>
      <x:c r="I795" s="22" t="str">
        <x:v>Not checked</x:v>
      </x:c>
      <x:c r="J795" s="22" t="str">
        <x:v>Saved bookmark metadata only</x:v>
      </x:c>
      <x:c r="K795" s="22" t="str"/>
      <x:c r="L795" s="24" t="str"/>
      <x:c r="M795" s="24" t="str">
        <x:v>https://data.world/</x:v>
      </x:c>
      <x:c r="N795" s="22" t="str">
        <x:v>286870271</x:v>
      </x:c>
      <x:c r="O795" s="22" t="n">
        <x:v>1038</x:v>
      </x:c>
      <x:c r="P795" s="22" t="n">
        <x:v>6</x:v>
      </x:c>
      <x:c r="Q795" s="22" t="str"/>
      <x:c r="R795" s="22" t="n">
        <x:f>COUNTIF($M$6:$M$1177,M795)</x:f>
        <x:v>1</x:v>
      </x:c>
      <x:c r="S795" s="22" t="str">
        <x:v>Other / utility</x:v>
      </x:c>
      <x:c r="T795" s="22" t="str">
        <x:v>Not established</x:v>
      </x:c>
    </x:row>
    <x:row r="796" ht="48" customHeight="1">
      <x:c r="A796" s="22" t="n">
        <x:v>791</x:v>
      </x:c>
      <x:c r="B796" s="22" t="str">
        <x:v>BigQuery public datasets</x:v>
      </x:c>
      <x:c r="C796" s="31" t="str">
        <x:v>U</x:v>
      </x:c>
      <x:c r="D796" s="22" t="str">
        <x:v>Unassessed</x:v>
      </x:c>
      <x:c r="E796" s="22" t="str">
        <x:v>DATASET</x:v>
      </x:c>
      <x:c r="F796" s="22" t="str">
        <x:v>Dataset discovery</x:v>
      </x:c>
      <x:c r="G796" s="22" t="str">
        <x:v>Read the source methodology, collection dates, exclusions and record-level provenance.</x:v>
      </x:c>
      <x:c r="H796" s="22" t="str">
        <x:v>Verify publisher, source and current function before reliance</x:v>
      </x:c>
      <x:c r="I796" s="22" t="str">
        <x:v>Not checked</x:v>
      </x:c>
      <x:c r="J796" s="22" t="str">
        <x:v>Saved bookmark metadata only</x:v>
      </x:c>
      <x:c r="K796" s="22" t="str"/>
      <x:c r="L796" s="24" t="str"/>
      <x:c r="M796" s="24" t="str">
        <x:v>https://cloud.google.com/bigquery/public-data/</x:v>
      </x:c>
      <x:c r="N796" s="22" t="str">
        <x:v>286870287</x:v>
      </x:c>
      <x:c r="O796" s="22" t="n">
        <x:v>1038</x:v>
      </x:c>
      <x:c r="P796" s="22" t="n">
        <x:v>7</x:v>
      </x:c>
      <x:c r="Q796" s="22" t="str"/>
      <x:c r="R796" s="22" t="n">
        <x:f>COUNTIF($M$6:$M$1177,M796)</x:f>
        <x:v>1</x:v>
      </x:c>
      <x:c r="S796" s="22" t="str">
        <x:v>Other / utility</x:v>
      </x:c>
      <x:c r="T796" s="22" t="str">
        <x:v>Not established</x:v>
      </x:c>
    </x:row>
    <x:row r="797" ht="48" customHeight="1">
      <x:c r="A797" s="22" t="n">
        <x:v>792</x:v>
      </x:c>
      <x:c r="B797" s="22" t="str">
        <x:v>Ariadne2.isti.cnr.it</x:v>
      </x:c>
      <x:c r="C797" s="31" t="str">
        <x:v>U</x:v>
      </x:c>
      <x:c r="D797" s="22" t="str">
        <x:v>Unassessed</x:v>
      </x:c>
      <x:c r="E797" s="22" t="str">
        <x:v>DATASET</x:v>
      </x:c>
      <x:c r="F797" s="22" t="str">
        <x:v>Dataset discovery</x:v>
      </x:c>
      <x:c r="G797" s="22" t="str">
        <x:v>Read the source methodology, collection dates, exclusions and record-level provenance.</x:v>
      </x:c>
      <x:c r="H797" s="22" t="str">
        <x:v>Verify publisher, source and current function before reliance</x:v>
      </x:c>
      <x:c r="I797" s="22" t="str">
        <x:v>Not checked</x:v>
      </x:c>
      <x:c r="J797" s="22" t="str">
        <x:v>Saved bookmark metadata only</x:v>
      </x:c>
      <x:c r="K797" s="22" t="str"/>
      <x:c r="L797" s="24" t="str"/>
      <x:c r="M797" s="24" t="str">
        <x:v>http://ariadne2.isti.cnr.it/</x:v>
      </x:c>
      <x:c r="N797" s="22" t="str">
        <x:v>268507953</x:v>
      </x:c>
      <x:c r="O797" s="22" t="n">
        <x:v>1038</x:v>
      </x:c>
      <x:c r="P797" s="22" t="n">
        <x:v>8</x:v>
      </x:c>
      <x:c r="Q797" s="22" t="str"/>
      <x:c r="R797" s="22" t="n">
        <x:f>COUNTIF($M$6:$M$1177,M797)</x:f>
        <x:v>1</x:v>
      </x:c>
      <x:c r="S797" s="22" t="str">
        <x:v>Other / utility</x:v>
      </x:c>
      <x:c r="T797" s="22" t="str">
        <x:v>Not established</x:v>
      </x:c>
    </x:row>
    <x:row r="798" ht="48" customHeight="1">
      <x:c r="A798" s="22" t="n">
        <x:v>793</x:v>
      </x:c>
      <x:c r="B798" s="22" t="str">
        <x:v>DSC Data Science Search Engine</x:v>
      </x:c>
      <x:c r="C798" s="31" t="str">
        <x:v>U</x:v>
      </x:c>
      <x:c r="D798" s="22" t="str">
        <x:v>Unassessed</x:v>
      </x:c>
      <x:c r="E798" s="22" t="str">
        <x:v>DATASET</x:v>
      </x:c>
      <x:c r="F798" s="22" t="str">
        <x:v>Dataset discovery</x:v>
      </x:c>
      <x:c r="G798" s="22" t="str">
        <x:v>Read the source methodology, collection dates, exclusions and record-level provenance.</x:v>
      </x:c>
      <x:c r="H798" s="22" t="str">
        <x:v>Verify publisher, source and current function before reliance</x:v>
      </x:c>
      <x:c r="I798" s="22" t="str">
        <x:v>Not checked</x:v>
      </x:c>
      <x:c r="J798" s="22" t="str">
        <x:v>Saved bookmark metadata only</x:v>
      </x:c>
      <x:c r="K798" s="22" t="str"/>
      <x:c r="L798" s="24" t="str"/>
      <x:c r="M798" s="24" t="str">
        <x:v>https://www.datasciencecentral.com/page/search</x:v>
      </x:c>
      <x:c r="N798" s="22" t="str">
        <x:v>268644171</x:v>
      </x:c>
      <x:c r="O798" s="22" t="n">
        <x:v>1038</x:v>
      </x:c>
      <x:c r="P798" s="22" t="n">
        <x:v>9</x:v>
      </x:c>
      <x:c r="Q798" s="22" t="str"/>
      <x:c r="R798" s="22" t="n">
        <x:f>COUNTIF($M$6:$M$1177,M798)</x:f>
        <x:v>1</x:v>
      </x:c>
      <x:c r="S798" s="22" t="str">
        <x:v>Other / utility</x:v>
      </x:c>
      <x:c r="T798" s="22" t="str">
        <x:v>Not established</x:v>
      </x:c>
    </x:row>
    <x:row r="799" ht="48" customHeight="1">
      <x:c r="A799" s="22" t="n">
        <x:v>794</x:v>
      </x:c>
      <x:c r="B799" s="22" t="str">
        <x:v>Datasetlist.com</x:v>
      </x:c>
      <x:c r="C799" s="31" t="str">
        <x:v>U</x:v>
      </x:c>
      <x:c r="D799" s="22" t="str">
        <x:v>Unassessed</x:v>
      </x:c>
      <x:c r="E799" s="22" t="str">
        <x:v>DATASET</x:v>
      </x:c>
      <x:c r="F799" s="22" t="str">
        <x:v>Dataset discovery</x:v>
      </x:c>
      <x:c r="G799" s="22" t="str">
        <x:v>Read the source methodology, collection dates, exclusions and record-level provenance.</x:v>
      </x:c>
      <x:c r="H799" s="22" t="str">
        <x:v>Verify publisher, source and current function before reliance</x:v>
      </x:c>
      <x:c r="I799" s="22" t="str">
        <x:v>Not checked</x:v>
      </x:c>
      <x:c r="J799" s="22" t="str">
        <x:v>Saved bookmark metadata only</x:v>
      </x:c>
      <x:c r="K799" s="22" t="str"/>
      <x:c r="L799" s="24" t="str"/>
      <x:c r="M799" s="24" t="str">
        <x:v>https://www.datasetlist.com/</x:v>
      </x:c>
      <x:c r="N799" s="22" t="str">
        <x:v>268511462</x:v>
      </x:c>
      <x:c r="O799" s="22" t="n">
        <x:v>1038</x:v>
      </x:c>
      <x:c r="P799" s="22" t="n">
        <x:v>10</x:v>
      </x:c>
      <x:c r="Q799" s="22" t="str"/>
      <x:c r="R799" s="22" t="n">
        <x:f>COUNTIF($M$6:$M$1177,M799)</x:f>
        <x:v>1</x:v>
      </x:c>
      <x:c r="S799" s="22" t="str">
        <x:v>Other / utility</x:v>
      </x:c>
      <x:c r="T799" s="22" t="str">
        <x:v>Not established</x:v>
      </x:c>
    </x:row>
    <x:row r="800" ht="48" customHeight="1">
      <x:c r="A800" s="22" t="n">
        <x:v>795</x:v>
      </x:c>
      <x:c r="B800" s="22" t="str">
        <x:v>Search Datasets</x:v>
      </x:c>
      <x:c r="C800" s="31" t="str">
        <x:v>U</x:v>
      </x:c>
      <x:c r="D800" s="22" t="str">
        <x:v>Unassessed</x:v>
      </x:c>
      <x:c r="E800" s="22" t="str">
        <x:v>DATASET</x:v>
      </x:c>
      <x:c r="F800" s="22" t="str">
        <x:v>Dataset discovery</x:v>
      </x:c>
      <x:c r="G800" s="22" t="str">
        <x:v>Read the source methodology, collection dates, exclusions and record-level provenance.</x:v>
      </x:c>
      <x:c r="H800" s="22" t="str">
        <x:v>Verify publisher, source and current function before reliance</x:v>
      </x:c>
      <x:c r="I800" s="22" t="str">
        <x:v>Not checked</x:v>
      </x:c>
      <x:c r="J800" s="22" t="str">
        <x:v>Saved bookmark metadata only</x:v>
      </x:c>
      <x:c r="K800" s="22" t="str"/>
      <x:c r="L800" s="24" t="str"/>
      <x:c r="M800" s="24" t="str">
        <x:v>https://datahub.io/search</x:v>
      </x:c>
      <x:c r="N800" s="22" t="str">
        <x:v>268511455</x:v>
      </x:c>
      <x:c r="O800" s="22" t="n">
        <x:v>1038</x:v>
      </x:c>
      <x:c r="P800" s="22" t="n">
        <x:v>11</x:v>
      </x:c>
      <x:c r="Q800" s="22" t="str"/>
      <x:c r="R800" s="22" t="n">
        <x:f>COUNTIF($M$6:$M$1177,M800)</x:f>
        <x:v>1</x:v>
      </x:c>
      <x:c r="S800" s="22" t="str">
        <x:v>Other / utility</x:v>
      </x:c>
      <x:c r="T800" s="22" t="str">
        <x:v>Not established</x:v>
      </x:c>
    </x:row>
    <x:row r="801" ht="48" customHeight="1">
      <x:c r="A801" s="22" t="n">
        <x:v>796</x:v>
      </x:c>
      <x:c r="B801" s="22" t="str">
        <x:v>OpenData by Socrata</x:v>
      </x:c>
      <x:c r="C801" s="31" t="str">
        <x:v>U</x:v>
      </x:c>
      <x:c r="D801" s="22" t="str">
        <x:v>Unassessed</x:v>
      </x:c>
      <x:c r="E801" s="22" t="str">
        <x:v>DATASET</x:v>
      </x:c>
      <x:c r="F801" s="22" t="str">
        <x:v>Dataset discovery</x:v>
      </x:c>
      <x:c r="G801" s="22" t="str">
        <x:v>Read the source methodology, collection dates, exclusions and record-level provenance.</x:v>
      </x:c>
      <x:c r="H801" s="22" t="str">
        <x:v>Verify publisher, source and current function before reliance</x:v>
      </x:c>
      <x:c r="I801" s="22" t="str">
        <x:v>Not checked</x:v>
      </x:c>
      <x:c r="J801" s="22" t="str">
        <x:v>Saved bookmark metadata only</x:v>
      </x:c>
      <x:c r="K801" s="22" t="str"/>
      <x:c r="L801" s="24" t="str"/>
      <x:c r="M801" s="24" t="str">
        <x:v>https://opendata.socrata.com/</x:v>
      </x:c>
      <x:c r="N801" s="22" t="str">
        <x:v>286870343</x:v>
      </x:c>
      <x:c r="O801" s="22" t="n">
        <x:v>1038</x:v>
      </x:c>
      <x:c r="P801" s="22" t="n">
        <x:v>12</x:v>
      </x:c>
      <x:c r="Q801" s="22" t="str"/>
      <x:c r="R801" s="22" t="n">
        <x:f>COUNTIF($M$6:$M$1177,M801)</x:f>
        <x:v>1</x:v>
      </x:c>
      <x:c r="S801" s="22" t="str">
        <x:v>Other / utility</x:v>
      </x:c>
      <x:c r="T801" s="22" t="str">
        <x:v>Not established</x:v>
      </x:c>
    </x:row>
    <x:row r="802" ht="48" customHeight="1">
      <x:c r="A802" s="22" t="n">
        <x:v>797</x:v>
      </x:c>
      <x:c r="B802" s="22" t="str">
        <x:v>Opensanctions.org</x:v>
      </x:c>
      <x:c r="C802" s="31" t="str">
        <x:v>U</x:v>
      </x:c>
      <x:c r="D802" s="22" t="str">
        <x:v>Unassessed</x:v>
      </x:c>
      <x:c r="E802" s="22" t="str">
        <x:v>DATASET</x:v>
      </x:c>
      <x:c r="F802" s="22" t="str">
        <x:v>Dataset discovery</x:v>
      </x:c>
      <x:c r="G802" s="22" t="str">
        <x:v>Read the source methodology, collection dates, exclusions and record-level provenance.</x:v>
      </x:c>
      <x:c r="H802" s="22" t="str">
        <x:v>Verify publisher, source and current function before reliance</x:v>
      </x:c>
      <x:c r="I802" s="22" t="str">
        <x:v>Not checked</x:v>
      </x:c>
      <x:c r="J802" s="22" t="str">
        <x:v>Saved bookmark metadata only</x:v>
      </x:c>
      <x:c r="K802" s="22" t="str"/>
      <x:c r="L802" s="24" t="str"/>
      <x:c r="M802" s="24" t="str">
        <x:v>https://opensanctions.org/</x:v>
      </x:c>
      <x:c r="N802" s="22" t="str">
        <x:v>290382389</x:v>
      </x:c>
      <x:c r="O802" s="22" t="n">
        <x:v>1038</x:v>
      </x:c>
      <x:c r="P802" s="22" t="n">
        <x:v>13</x:v>
      </x:c>
      <x:c r="Q802" s="22" t="str"/>
      <x:c r="R802" s="22" t="n">
        <x:f>COUNTIF($M$6:$M$1177,M802)</x:f>
        <x:v>1</x:v>
      </x:c>
      <x:c r="S802" s="22" t="str">
        <x:v>Other / utility</x:v>
      </x:c>
      <x:c r="T802" s="22" t="str">
        <x:v>Not established</x:v>
      </x:c>
    </x:row>
    <x:row r="803" ht="48" customHeight="1">
      <x:c r="A803" s="22" t="n">
        <x:v>798</x:v>
      </x:c>
      <x:c r="B803" s="22" t="str">
        <x:v>FiveThirtyEight</x:v>
      </x:c>
      <x:c r="C803" s="31" t="str">
        <x:v>U</x:v>
      </x:c>
      <x:c r="D803" s="22" t="str">
        <x:v>Unassessed</x:v>
      </x:c>
      <x:c r="E803" s="22" t="str">
        <x:v>DATASET</x:v>
      </x:c>
      <x:c r="F803" s="22" t="str">
        <x:v>Dataset discovery</x:v>
      </x:c>
      <x:c r="G803" s="22" t="str">
        <x:v>Read the source methodology, collection dates, exclusions and record-level provenance.</x:v>
      </x:c>
      <x:c r="H803" s="22" t="str">
        <x:v>Verify publisher, source and current function before reliance</x:v>
      </x:c>
      <x:c r="I803" s="22" t="str">
        <x:v>Not checked</x:v>
      </x:c>
      <x:c r="J803" s="22" t="str">
        <x:v>Saved bookmark metadata only</x:v>
      </x:c>
      <x:c r="K803" s="22" t="str"/>
      <x:c r="L803" s="24" t="str"/>
      <x:c r="M803" s="24" t="str">
        <x:v>https://fivethirtyeight.com/?s=</x:v>
      </x:c>
      <x:c r="N803" s="22" t="str">
        <x:v>286870217</x:v>
      </x:c>
      <x:c r="O803" s="22" t="n">
        <x:v>1038</x:v>
      </x:c>
      <x:c r="P803" s="22" t="n">
        <x:v>14</x:v>
      </x:c>
      <x:c r="Q803" s="22" t="str"/>
      <x:c r="R803" s="22" t="n">
        <x:f>COUNTIF($M$6:$M$1177,M803)</x:f>
        <x:v>1</x:v>
      </x:c>
      <x:c r="S803" s="22" t="str">
        <x:v>Other / utility</x:v>
      </x:c>
      <x:c r="T803" s="22" t="str">
        <x:v>Not established</x:v>
      </x:c>
    </x:row>
    <x:row r="804" ht="48" customHeight="1">
      <x:c r="A804" s="22" t="n">
        <x:v>799</x:v>
      </x:c>
      <x:c r="B804" s="22" t="str">
        <x:v>Pastes Search Engine</x:v>
      </x:c>
      <x:c r="C804" s="43" t="str">
        <x:v>C-P</x:v>
      </x:c>
      <x:c r="D804" s="22" t="str">
        <x:v>Provisional</x:v>
      </x:c>
      <x:c r="E804" s="22" t="str">
        <x:v>SOURCE CODES</x:v>
      </x:c>
      <x:c r="F804" s="22" t="str">
        <x:v>Custom-search discovery only</x:v>
      </x:c>
      <x:c r="G804" s="22" t="str">
        <x:v>The saved URL identifies a custom search. This engine's configuration, coverage and query results were not tested.</x:v>
      </x:c>
      <x:c r="H804" s="22" t="str">
        <x:v>Open and verify the original result; do not count the search as corroboration</x:v>
      </x:c>
      <x:c r="I804" s="22" t="str">
        <x:v>Not checked</x:v>
      </x:c>
      <x:c r="J804" s="22" t="str">
        <x:v>Saved bookmark metadata only</x:v>
      </x:c>
      <x:c r="K804" s="22" t="str"/>
      <x:c r="L804" s="24" t="str"/>
      <x:c r="M804" s="24" t="str">
        <x:v>https://cse.google.com/cse?cx=661713d0371832a02</x:v>
      </x:c>
      <x:c r="N804" s="22" t="str">
        <x:v>286994175</x:v>
      </x:c>
      <x:c r="O804" s="22" t="n">
        <x:v>1038</x:v>
      </x:c>
      <x:c r="P804" s="22" t="n">
        <x:v>1</x:v>
      </x:c>
      <x:c r="Q804" s="22" t="str"/>
      <x:c r="R804" s="22" t="n">
        <x:f>COUNTIF($M$6:$M$1177,M804)</x:f>
        <x:v>1</x:v>
      </x:c>
      <x:c r="S804" s="22" t="str">
        <x:v>Supporting discovery</x:v>
      </x:c>
      <x:c r="T804" s="22" t="str">
        <x:v>Low</x:v>
      </x:c>
    </x:row>
    <x:row r="805" ht="48" customHeight="1">
      <x:c r="A805" s="22" t="n">
        <x:v>800</x:v>
      </x:c>
      <x:c r="B805" s="22" t="str">
        <x:v>Pastes Search Engine 2</x:v>
      </x:c>
      <x:c r="C805" s="43" t="str">
        <x:v>C-P</x:v>
      </x:c>
      <x:c r="D805" s="22" t="str">
        <x:v>Provisional</x:v>
      </x:c>
      <x:c r="E805" s="22" t="str">
        <x:v>SOURCE CODES</x:v>
      </x:c>
      <x:c r="F805" s="22" t="str">
        <x:v>Custom-search discovery only</x:v>
      </x:c>
      <x:c r="G805" s="22" t="str">
        <x:v>The saved URL identifies a custom search. This engine's configuration, coverage and query results were not tested.</x:v>
      </x:c>
      <x:c r="H805" s="22" t="str">
        <x:v>Open and verify the original result; do not count the search as corroboration</x:v>
      </x:c>
      <x:c r="I805" s="22" t="str">
        <x:v>Not checked</x:v>
      </x:c>
      <x:c r="J805" s="22" t="str">
        <x:v>Saved bookmark metadata only</x:v>
      </x:c>
      <x:c r="K805" s="22" t="str"/>
      <x:c r="L805" s="24" t="str"/>
      <x:c r="M805" s="24" t="str">
        <x:v>https://cse.google.com/cse?cx=006896442834264595052:fawrl1rug9e</x:v>
      </x:c>
      <x:c r="N805" s="22" t="str">
        <x:v>286996482</x:v>
      </x:c>
      <x:c r="O805" s="22" t="n">
        <x:v>1038</x:v>
      </x:c>
      <x:c r="P805" s="22" t="n">
        <x:v>2</x:v>
      </x:c>
      <x:c r="Q805" s="22" t="str"/>
      <x:c r="R805" s="22" t="n">
        <x:f>COUNTIF($M$6:$M$1177,M805)</x:f>
        <x:v>1</x:v>
      </x:c>
      <x:c r="S805" s="22" t="str">
        <x:v>Supporting discovery</x:v>
      </x:c>
      <x:c r="T805" s="22" t="str">
        <x:v>Low</x:v>
      </x:c>
    </x:row>
    <x:row r="806" ht="48" customHeight="1">
      <x:c r="A806" s="22" t="n">
        <x:v>801</x:v>
      </x:c>
      <x:c r="B806" s="22" t="str">
        <x:v>GitHub Search Engine</x:v>
      </x:c>
      <x:c r="C806" s="43" t="str">
        <x:v>C-P</x:v>
      </x:c>
      <x:c r="D806" s="22" t="str">
        <x:v>Provisional</x:v>
      </x:c>
      <x:c r="E806" s="22" t="str">
        <x:v>SOURCE CODES</x:v>
      </x:c>
      <x:c r="F806" s="22" t="str">
        <x:v>Custom-search discovery only</x:v>
      </x:c>
      <x:c r="G806" s="22" t="str">
        <x:v>The saved URL identifies a custom search. This engine's configuration, coverage and query results were not tested.</x:v>
      </x:c>
      <x:c r="H806" s="22" t="str">
        <x:v>Open and verify the original result; do not count the search as corroboration</x:v>
      </x:c>
      <x:c r="I806" s="22" t="str">
        <x:v>Not checked</x:v>
      </x:c>
      <x:c r="J806" s="22" t="str">
        <x:v>Saved bookmark metadata only</x:v>
      </x:c>
      <x:c r="K806" s="22" t="str"/>
      <x:c r="L806" s="24" t="str"/>
      <x:c r="M806" s="24" t="str">
        <x:v>https://cse.google.com/cse?cx=1b053c8ec746d6611</x:v>
      </x:c>
      <x:c r="N806" s="22" t="str">
        <x:v>286819877</x:v>
      </x:c>
      <x:c r="O806" s="22" t="n">
        <x:v>1038</x:v>
      </x:c>
      <x:c r="P806" s="22" t="n">
        <x:v>3</x:v>
      </x:c>
      <x:c r="Q806" s="22" t="str"/>
      <x:c r="R806" s="22" t="n">
        <x:f>COUNTIF($M$6:$M$1177,M806)</x:f>
        <x:v>1</x:v>
      </x:c>
      <x:c r="S806" s="22" t="str">
        <x:v>Supporting discovery</x:v>
      </x:c>
      <x:c r="T806" s="22" t="str">
        <x:v>Low</x:v>
      </x:c>
    </x:row>
    <x:row r="807" ht="54" customHeight="1">
      <x:c r="A807" s="22" t="n">
        <x:v>802</x:v>
      </x:c>
      <x:c r="B807" s="22" t="str">
        <x:v>Source Code Search Engine</x:v>
      </x:c>
      <x:c r="C807" s="43" t="str">
        <x:v>C-P</x:v>
      </x:c>
      <x:c r="D807" s="22" t="str">
        <x:v>Provisional</x:v>
      </x:c>
      <x:c r="E807" s="22" t="str">
        <x:v>SOURCE CODES</x:v>
      </x:c>
      <x:c r="F807" s="22" t="str">
        <x:v>Source-code / repository discovery</x:v>
      </x:c>
      <x:c r="G807" s="22" t="str">
        <x:v>Provisional ceiling from saved search/discovery context only. Verify the original page, account attribution and date; no result accuracy test.</x:v>
      </x:c>
      <x:c r="H807" s="22" t="str">
        <x:v>Lead only; inspect original content before attribution</x:v>
      </x:c>
      <x:c r="I807" s="22" t="str">
        <x:v>Not checked</x:v>
      </x:c>
      <x:c r="J807" s="22" t="str">
        <x:v>Saved bookmark metadata only</x:v>
      </x:c>
      <x:c r="K807" s="22" t="str"/>
      <x:c r="L807" s="24" t="str"/>
      <x:c r="M807" s="24" t="str">
        <x:v>https://publicwww.com/</x:v>
      </x:c>
      <x:c r="N807" s="22" t="str">
        <x:v>286014489</x:v>
      </x:c>
      <x:c r="O807" s="22" t="n">
        <x:v>1038</x:v>
      </x:c>
      <x:c r="P807" s="22" t="n">
        <x:v>4</x:v>
      </x:c>
      <x:c r="Q807" s="22" t="str"/>
      <x:c r="R807" s="22" t="n">
        <x:f>COUNTIF($M$6:$M$1177,M807)</x:f>
        <x:v>1</x:v>
      </x:c>
      <x:c r="S807" s="22" t="str">
        <x:v>Supporting discovery</x:v>
      </x:c>
      <x:c r="T807" s="22" t="str">
        <x:v>Low</x:v>
      </x:c>
    </x:row>
    <x:row r="808" ht="54" customHeight="1">
      <x:c r="A808" s="22" t="n">
        <x:v>803</x:v>
      </x:c>
      <x:c r="B808" s="22" t="str">
        <x:v>Google to search profiles on GitHub</x:v>
      </x:c>
      <x:c r="C808" s="43" t="str">
        <x:v>C-P</x:v>
      </x:c>
      <x:c r="D808" s="22" t="str">
        <x:v>Provisional</x:v>
      </x:c>
      <x:c r="E808" s="22" t="str">
        <x:v>SOURCE CODES</x:v>
      </x:c>
      <x:c r="F808" s="22" t="str">
        <x:v>Source-code / repository discovery</x:v>
      </x:c>
      <x:c r="G808" s="22" t="str">
        <x:v>Provisional ceiling from saved search/discovery context only. Verify the original page, account attribution and date; no result accuracy test.</x:v>
      </x:c>
      <x:c r="H808" s="22" t="str">
        <x:v>Lead only; inspect original content before attribution</x:v>
      </x:c>
      <x:c r="I808" s="22" t="str">
        <x:v>Not checked</x:v>
      </x:c>
      <x:c r="J808" s="22" t="str">
        <x:v>Saved bookmark metadata only</x:v>
      </x:c>
      <x:c r="K808" s="22" t="str"/>
      <x:c r="L808" s="24" t="str"/>
      <x:c r="M808" s="24" t="str">
        <x:v>https://recruitin.net/github.php</x:v>
      </x:c>
      <x:c r="N808" s="22" t="str">
        <x:v>291679026</x:v>
      </x:c>
      <x:c r="O808" s="22" t="n">
        <x:v>1038</x:v>
      </x:c>
      <x:c r="P808" s="22" t="n">
        <x:v>5</x:v>
      </x:c>
      <x:c r="Q808" s="22" t="str"/>
      <x:c r="R808" s="22" t="n">
        <x:f>COUNTIF($M$6:$M$1177,M808)</x:f>
        <x:v>1</x:v>
      </x:c>
      <x:c r="S808" s="22" t="str">
        <x:v>Supporting discovery</x:v>
      </x:c>
      <x:c r="T808" s="22" t="str">
        <x:v>Low</x:v>
      </x:c>
    </x:row>
    <x:row r="809" ht="54" customHeight="1">
      <x:c r="A809" s="22" t="n">
        <x:v>804</x:v>
      </x:c>
      <x:c r="B809" s="22" t="str">
        <x:v>Grep.app</x:v>
      </x:c>
      <x:c r="C809" s="43" t="str">
        <x:v>C-P</x:v>
      </x:c>
      <x:c r="D809" s="22" t="str">
        <x:v>Provisional</x:v>
      </x:c>
      <x:c r="E809" s="22" t="str">
        <x:v>SOURCE CODES</x:v>
      </x:c>
      <x:c r="F809" s="22" t="str">
        <x:v>Source-code / repository discovery</x:v>
      </x:c>
      <x:c r="G809" s="22" t="str">
        <x:v>Provisional ceiling from saved search/discovery context only. Verify the original page, account attribution and date; no result accuracy test.</x:v>
      </x:c>
      <x:c r="H809" s="22" t="str">
        <x:v>Lead only; inspect original content before attribution</x:v>
      </x:c>
      <x:c r="I809" s="22" t="str">
        <x:v>Not checked</x:v>
      </x:c>
      <x:c r="J809" s="22" t="str">
        <x:v>Saved bookmark metadata only</x:v>
      </x:c>
      <x:c r="K809" s="22" t="str"/>
      <x:c r="L809" s="24" t="str"/>
      <x:c r="M809" s="24" t="str">
        <x:v>https://grep.app/</x:v>
      </x:c>
      <x:c r="N809" s="22" t="str">
        <x:v>286644127</x:v>
      </x:c>
      <x:c r="O809" s="22" t="n">
        <x:v>1038</x:v>
      </x:c>
      <x:c r="P809" s="22" t="n">
        <x:v>6</x:v>
      </x:c>
      <x:c r="Q809" s="22" t="str"/>
      <x:c r="R809" s="22" t="n">
        <x:f>COUNTIF($M$6:$M$1177,M809)</x:f>
        <x:v>1</x:v>
      </x:c>
      <x:c r="S809" s="22" t="str">
        <x:v>Supporting discovery</x:v>
      </x:c>
      <x:c r="T809" s="22" t="str">
        <x:v>Low</x:v>
      </x:c>
    </x:row>
    <x:row r="810" ht="54" customHeight="1">
      <x:c r="A810" s="22" t="n">
        <x:v>805</x:v>
      </x:c>
      <x:c r="B810" s="22" t="str">
        <x:v>NerdyData</x:v>
      </x:c>
      <x:c r="C810" s="43" t="str">
        <x:v>C-P</x:v>
      </x:c>
      <x:c r="D810" s="22" t="str">
        <x:v>Provisional</x:v>
      </x:c>
      <x:c r="E810" s="22" t="str">
        <x:v>SOURCE CODES</x:v>
      </x:c>
      <x:c r="F810" s="22" t="str">
        <x:v>Source-code / repository discovery</x:v>
      </x:c>
      <x:c r="G810" s="22" t="str">
        <x:v>Provisional ceiling from saved search/discovery context only. Verify the original page, account attribution and date; no result accuracy test.</x:v>
      </x:c>
      <x:c r="H810" s="22" t="str">
        <x:v>Lead only; inspect original content before attribution</x:v>
      </x:c>
      <x:c r="I810" s="22" t="str">
        <x:v>Not checked</x:v>
      </x:c>
      <x:c r="J810" s="22" t="str">
        <x:v>Saved bookmark metadata only</x:v>
      </x:c>
      <x:c r="K810" s="22" t="str"/>
      <x:c r="L810" s="24" t="str"/>
      <x:c r="M810" s="24" t="str">
        <x:v>https://www.nerdydata.com/</x:v>
      </x:c>
      <x:c r="N810" s="22" t="str">
        <x:v>286644158</x:v>
      </x:c>
      <x:c r="O810" s="22" t="n">
        <x:v>1039</x:v>
      </x:c>
      <x:c r="P810" s="22" t="n">
        <x:v>7</x:v>
      </x:c>
      <x:c r="Q810" s="22" t="str"/>
      <x:c r="R810" s="22" t="n">
        <x:f>COUNTIF($M$6:$M$1177,M810)</x:f>
        <x:v>1</x:v>
      </x:c>
      <x:c r="S810" s="22" t="str">
        <x:v>Supporting discovery</x:v>
      </x:c>
      <x:c r="T810" s="22" t="str">
        <x:v>Low</x:v>
      </x:c>
    </x:row>
    <x:row r="811" ht="54" customHeight="1">
      <x:c r="A811" s="22" t="n">
        <x:v>806</x:v>
      </x:c>
      <x:c r="B811" s="22" t="str">
        <x:v>Paste Search</x:v>
      </x:c>
      <x:c r="C811" s="43" t="str">
        <x:v>C-P</x:v>
      </x:c>
      <x:c r="D811" s="22" t="str">
        <x:v>Provisional</x:v>
      </x:c>
      <x:c r="E811" s="22" t="str">
        <x:v>SOURCE CODES</x:v>
      </x:c>
      <x:c r="F811" s="22" t="str">
        <x:v>Source-code / repository discovery</x:v>
      </x:c>
      <x:c r="G811" s="22" t="str">
        <x:v>Provisional ceiling from saved search/discovery context only. Verify the original page, account attribution and date; no result accuracy test.</x:v>
      </x:c>
      <x:c r="H811" s="22" t="str">
        <x:v>Lead only; inspect original content before attribution</x:v>
      </x:c>
      <x:c r="I811" s="22" t="str">
        <x:v>Not checked</x:v>
      </x:c>
      <x:c r="J811" s="22" t="str">
        <x:v>Saved bookmark metadata only</x:v>
      </x:c>
      <x:c r="K811" s="22" t="str"/>
      <x:c r="L811" s="24" t="str"/>
      <x:c r="M811" s="24" t="str">
        <x:v>https://psbdmp.ws/</x:v>
      </x:c>
      <x:c r="N811" s="22" t="str">
        <x:v>286014493</x:v>
      </x:c>
      <x:c r="O811" s="22" t="n">
        <x:v>1039</x:v>
      </x:c>
      <x:c r="P811" s="22" t="n">
        <x:v>8</x:v>
      </x:c>
      <x:c r="Q811" s="22" t="str"/>
      <x:c r="R811" s="22" t="n">
        <x:f>COUNTIF($M$6:$M$1177,M811)</x:f>
        <x:v>1</x:v>
      </x:c>
      <x:c r="S811" s="22" t="str">
        <x:v>Supporting discovery</x:v>
      </x:c>
      <x:c r="T811" s="22" t="str">
        <x:v>Low</x:v>
      </x:c>
    </x:row>
    <x:row r="812" ht="54" customHeight="1">
      <x:c r="A812" s="22" t="n">
        <x:v>807</x:v>
      </x:c>
      <x:c r="B812" s="22" t="str">
        <x:v>GitHub Code Search</x:v>
      </x:c>
      <x:c r="C812" s="43" t="str">
        <x:v>C-P</x:v>
      </x:c>
      <x:c r="D812" s="22" t="str">
        <x:v>Provisional</x:v>
      </x:c>
      <x:c r="E812" s="22" t="str">
        <x:v>SOURCE CODES</x:v>
      </x:c>
      <x:c r="F812" s="22" t="str">
        <x:v>Source-code / repository discovery</x:v>
      </x:c>
      <x:c r="G812" s="22" t="str">
        <x:v>Provisional ceiling from saved search/discovery context only. Verify the original page, account attribution and date; no result accuracy test.</x:v>
      </x:c>
      <x:c r="H812" s="22" t="str">
        <x:v>Lead only; inspect original content before attribution</x:v>
      </x:c>
      <x:c r="I812" s="22" t="str">
        <x:v>Not checked</x:v>
      </x:c>
      <x:c r="J812" s="22" t="str">
        <x:v>Saved bookmark metadata only</x:v>
      </x:c>
      <x:c r="K812" s="22" t="str"/>
      <x:c r="L812" s="24" t="str"/>
      <x:c r="M812" s="24" t="str">
        <x:v>https://github.com/search</x:v>
      </x:c>
      <x:c r="N812" s="22" t="str">
        <x:v>268384151</x:v>
      </x:c>
      <x:c r="O812" s="22" t="n">
        <x:v>1039</x:v>
      </x:c>
      <x:c r="P812" s="22" t="n">
        <x:v>9</x:v>
      </x:c>
      <x:c r="Q812" s="22" t="str"/>
      <x:c r="R812" s="22" t="n">
        <x:f>COUNTIF($M$6:$M$1177,M812)</x:f>
        <x:v>1</x:v>
      </x:c>
      <x:c r="S812" s="22" t="str">
        <x:v>Supporting discovery</x:v>
      </x:c>
      <x:c r="T812" s="22" t="str">
        <x:v>Low</x:v>
      </x:c>
    </x:row>
    <x:row r="813" ht="54" customHeight="1">
      <x:c r="A813" s="22" t="n">
        <x:v>808</x:v>
      </x:c>
      <x:c r="B813" s="22" t="str">
        <x:v>Bitbucket Repo Search</x:v>
      </x:c>
      <x:c r="C813" s="43" t="str">
        <x:v>C-P</x:v>
      </x:c>
      <x:c r="D813" s="22" t="str">
        <x:v>Provisional</x:v>
      </x:c>
      <x:c r="E813" s="22" t="str">
        <x:v>SOURCE CODES</x:v>
      </x:c>
      <x:c r="F813" s="22" t="str">
        <x:v>Source-code / repository discovery</x:v>
      </x:c>
      <x:c r="G813" s="22" t="str">
        <x:v>Provisional ceiling from saved search/discovery context only. Verify the original page, account attribution and date; no result accuracy test.</x:v>
      </x:c>
      <x:c r="H813" s="22" t="str">
        <x:v>Lead only; inspect original content before attribution</x:v>
      </x:c>
      <x:c r="I813" s="22" t="str">
        <x:v>Not checked</x:v>
      </x:c>
      <x:c r="J813" s="22" t="str">
        <x:v>Saved bookmark metadata only</x:v>
      </x:c>
      <x:c r="K813" s="22" t="str"/>
      <x:c r="L813" s="24" t="str"/>
      <x:c r="M813" s="24" t="str">
        <x:v>https://bitbucket.org/repo/all/</x:v>
      </x:c>
      <x:c r="N813" s="22" t="str">
        <x:v>268396171</x:v>
      </x:c>
      <x:c r="O813" s="22" t="n">
        <x:v>1039</x:v>
      </x:c>
      <x:c r="P813" s="22" t="n">
        <x:v>10</x:v>
      </x:c>
      <x:c r="Q813" s="22" t="str"/>
      <x:c r="R813" s="22" t="n">
        <x:f>COUNTIF($M$6:$M$1177,M813)</x:f>
        <x:v>1</x:v>
      </x:c>
      <x:c r="S813" s="22" t="str">
        <x:v>Supporting discovery</x:v>
      </x:c>
      <x:c r="T813" s="22" t="str">
        <x:v>Low</x:v>
      </x:c>
    </x:row>
    <x:row r="814" ht="54" customHeight="1">
      <x:c r="A814" s="22" t="n">
        <x:v>809</x:v>
      </x:c>
      <x:c r="B814" s="22" t="str">
        <x:v>Shhgit</x:v>
      </x:c>
      <x:c r="C814" s="43" t="str">
        <x:v>C-P</x:v>
      </x:c>
      <x:c r="D814" s="22" t="str">
        <x:v>Provisional</x:v>
      </x:c>
      <x:c r="E814" s="22" t="str">
        <x:v>SOURCE CODES</x:v>
      </x:c>
      <x:c r="F814" s="22" t="str">
        <x:v>Source-code / repository discovery</x:v>
      </x:c>
      <x:c r="G814" s="22" t="str">
        <x:v>Provisional ceiling from saved search/discovery context only. Verify the original page, account attribution and date; no result accuracy test.</x:v>
      </x:c>
      <x:c r="H814" s="22" t="str">
        <x:v>Lead only; inspect original content before attribution</x:v>
      </x:c>
      <x:c r="I814" s="22" t="str">
        <x:v>Not checked</x:v>
      </x:c>
      <x:c r="J814" s="22" t="str">
        <x:v>Saved bookmark metadata only</x:v>
      </x:c>
      <x:c r="K814" s="22" t="str"/>
      <x:c r="L814" s="24" t="str"/>
      <x:c r="M814" s="24" t="str">
        <x:v>https://github.com/eth0izzle/shhgit</x:v>
      </x:c>
      <x:c r="N814" s="22" t="str">
        <x:v>268384156</x:v>
      </x:c>
      <x:c r="O814" s="22" t="n">
        <x:v>1039</x:v>
      </x:c>
      <x:c r="P814" s="22" t="n">
        <x:v>11</x:v>
      </x:c>
      <x:c r="Q814" s="22" t="str"/>
      <x:c r="R814" s="22" t="n">
        <x:f>COUNTIF($M$6:$M$1177,M814)</x:f>
        <x:v>1</x:v>
      </x:c>
      <x:c r="S814" s="22" t="str">
        <x:v>Supporting discovery</x:v>
      </x:c>
      <x:c r="T814" s="22" t="str">
        <x:v>Low</x:v>
      </x:c>
    </x:row>
    <x:row r="815" ht="54" customHeight="1">
      <x:c r="A815" s="22" t="n">
        <x:v>810</x:v>
      </x:c>
      <x:c r="B815" s="22" t="str">
        <x:v>git-hound</x:v>
      </x:c>
      <x:c r="C815" s="43" t="str">
        <x:v>C-P</x:v>
      </x:c>
      <x:c r="D815" s="22" t="str">
        <x:v>Provisional</x:v>
      </x:c>
      <x:c r="E815" s="22" t="str">
        <x:v>SOURCE CODES</x:v>
      </x:c>
      <x:c r="F815" s="22" t="str">
        <x:v>Source-code / repository discovery</x:v>
      </x:c>
      <x:c r="G815" s="22" t="str">
        <x:v>Provisional ceiling from saved search/discovery context only. Verify the original page, account attribution and date; no result accuracy test.</x:v>
      </x:c>
      <x:c r="H815" s="22" t="str">
        <x:v>Lead only; inspect original content before attribution</x:v>
      </x:c>
      <x:c r="I815" s="22" t="str">
        <x:v>Not checked</x:v>
      </x:c>
      <x:c r="J815" s="22" t="str">
        <x:v>Saved bookmark metadata only</x:v>
      </x:c>
      <x:c r="K815" s="22" t="str"/>
      <x:c r="L815" s="24" t="str"/>
      <x:c r="M815" s="24" t="str">
        <x:v>https://github.com/tillson/git-hound</x:v>
      </x:c>
      <x:c r="N815" s="22" t="str">
        <x:v>289970262</x:v>
      </x:c>
      <x:c r="O815" s="22" t="n">
        <x:v>1040</x:v>
      </x:c>
      <x:c r="P815" s="22" t="n">
        <x:v>12</x:v>
      </x:c>
      <x:c r="Q815" s="22" t="str"/>
      <x:c r="R815" s="22" t="n">
        <x:f>COUNTIF($M$6:$M$1177,M815)</x:f>
        <x:v>1</x:v>
      </x:c>
      <x:c r="S815" s="22" t="str">
        <x:v>Supporting discovery</x:v>
      </x:c>
      <x:c r="T815" s="22" t="str">
        <x:v>Low</x:v>
      </x:c>
    </x:row>
    <x:row r="816" ht="54" customHeight="1">
      <x:c r="A816" s="22" t="n">
        <x:v>811</x:v>
      </x:c>
      <x:c r="B816" s="22" t="str">
        <x:v>Webfinery | Source Code Search</x:v>
      </x:c>
      <x:c r="C816" s="43" t="str">
        <x:v>C-P</x:v>
      </x:c>
      <x:c r="D816" s="22" t="str">
        <x:v>Provisional</x:v>
      </x:c>
      <x:c r="E816" s="22" t="str">
        <x:v>SOURCE CODES</x:v>
      </x:c>
      <x:c r="F816" s="22" t="str">
        <x:v>Source-code / repository discovery</x:v>
      </x:c>
      <x:c r="G816" s="22" t="str">
        <x:v>Provisional ceiling from saved search/discovery context only. Verify the original page, account attribution and date; no result accuracy test.</x:v>
      </x:c>
      <x:c r="H816" s="22" t="str">
        <x:v>Lead only; inspect original content before attribution</x:v>
      </x:c>
      <x:c r="I816" s="22" t="str">
        <x:v>Not checked</x:v>
      </x:c>
      <x:c r="J816" s="22" t="str">
        <x:v>Saved bookmark metadata only</x:v>
      </x:c>
      <x:c r="K816" s="22" t="str"/>
      <x:c r="L816" s="24" t="str"/>
      <x:c r="M816" s="24" t="str">
        <x:v>https://webfinery.com/search</x:v>
      </x:c>
      <x:c r="N816" s="22" t="str">
        <x:v>268509625</x:v>
      </x:c>
      <x:c r="O816" s="22" t="n">
        <x:v>1040</x:v>
      </x:c>
      <x:c r="P816" s="22" t="n">
        <x:v>13</x:v>
      </x:c>
      <x:c r="Q816" s="22" t="str"/>
      <x:c r="R816" s="22" t="n">
        <x:f>COUNTIF($M$6:$M$1177,M816)</x:f>
        <x:v>1</x:v>
      </x:c>
      <x:c r="S816" s="22" t="str">
        <x:v>Supporting discovery</x:v>
      </x:c>
      <x:c r="T816" s="22" t="str">
        <x:v>Low</x:v>
      </x:c>
    </x:row>
    <x:row r="817" ht="54" customHeight="1">
      <x:c r="A817" s="22" t="n">
        <x:v>812</x:v>
      </x:c>
      <x:c r="B817" s="22" t="str">
        <x:v>Online IDE and Paste Search Engine</x:v>
      </x:c>
      <x:c r="C817" s="43" t="str">
        <x:v>C-P</x:v>
      </x:c>
      <x:c r="D817" s="22" t="str">
        <x:v>Provisional</x:v>
      </x:c>
      <x:c r="E817" s="22" t="str">
        <x:v>SOURCE CODES</x:v>
      </x:c>
      <x:c r="F817" s="22" t="str">
        <x:v>Source-code / repository discovery</x:v>
      </x:c>
      <x:c r="G817" s="22" t="str">
        <x:v>Provisional ceiling from saved search/discovery context only. Verify the original page, account attribution and date; no result accuracy test.</x:v>
      </x:c>
      <x:c r="H817" s="22" t="str">
        <x:v>Lead only; inspect original content before attribution</x:v>
      </x:c>
      <x:c r="I817" s="22" t="str">
        <x:v>Not checked</x:v>
      </x:c>
      <x:c r="J817" s="22" t="str">
        <x:v>Saved bookmark metadata only</x:v>
      </x:c>
      <x:c r="K817" s="22" t="str"/>
      <x:c r="L817" s="24" t="str"/>
      <x:c r="M817" s="24" t="str">
        <x:v>https://redhuntlabs.com/online-ide-search</x:v>
      </x:c>
      <x:c r="N817" s="22" t="str">
        <x:v>268507495</x:v>
      </x:c>
      <x:c r="O817" s="22" t="n">
        <x:v>1040</x:v>
      </x:c>
      <x:c r="P817" s="22" t="n">
        <x:v>14</x:v>
      </x:c>
      <x:c r="Q817" s="22" t="str"/>
      <x:c r="R817" s="22" t="n">
        <x:f>COUNTIF($M$6:$M$1177,M817)</x:f>
        <x:v>1</x:v>
      </x:c>
      <x:c r="S817" s="22" t="str">
        <x:v>Supporting discovery</x:v>
      </x:c>
      <x:c r="T817" s="22" t="str">
        <x:v>Low</x:v>
      </x:c>
    </x:row>
    <x:row r="818" ht="54" customHeight="1">
      <x:c r="A818" s="22" t="n">
        <x:v>813</x:v>
      </x:c>
      <x:c r="B818" s="22" t="str">
        <x:v>searchcode</x:v>
      </x:c>
      <x:c r="C818" s="43" t="str">
        <x:v>C-P</x:v>
      </x:c>
      <x:c r="D818" s="22" t="str">
        <x:v>Provisional</x:v>
      </x:c>
      <x:c r="E818" s="22" t="str">
        <x:v>SOURCE CODES</x:v>
      </x:c>
      <x:c r="F818" s="22" t="str">
        <x:v>Source-code / repository discovery</x:v>
      </x:c>
      <x:c r="G818" s="22" t="str">
        <x:v>Provisional ceiling from saved search/discovery context only. Verify the original page, account attribution and date; no result accuracy test.</x:v>
      </x:c>
      <x:c r="H818" s="22" t="str">
        <x:v>Lead only; inspect original content before attribution</x:v>
      </x:c>
      <x:c r="I818" s="22" t="str">
        <x:v>Not checked</x:v>
      </x:c>
      <x:c r="J818" s="22" t="str">
        <x:v>Saved bookmark metadata only</x:v>
      </x:c>
      <x:c r="K818" s="22" t="str"/>
      <x:c r="L818" s="24" t="str"/>
      <x:c r="M818" s="24" t="str">
        <x:v>https://searchcode.com/</x:v>
      </x:c>
      <x:c r="N818" s="22" t="str">
        <x:v>286014517</x:v>
      </x:c>
      <x:c r="O818" s="22" t="n">
        <x:v>1040</x:v>
      </x:c>
      <x:c r="P818" s="22" t="n">
        <x:v>15</x:v>
      </x:c>
      <x:c r="Q818" s="22" t="str"/>
      <x:c r="R818" s="22" t="n">
        <x:f>COUNTIF($M$6:$M$1177,M818)</x:f>
        <x:v>1</x:v>
      </x:c>
      <x:c r="S818" s="22" t="str">
        <x:v>Supporting discovery</x:v>
      </x:c>
      <x:c r="T818" s="22" t="str">
        <x:v>Low</x:v>
      </x:c>
    </x:row>
    <x:row r="819" ht="54" customHeight="1">
      <x:c r="A819" s="22" t="n">
        <x:v>814</x:v>
      </x:c>
      <x:c r="B819" s="22" t="str">
        <x:v>Sourcegraph</x:v>
      </x:c>
      <x:c r="C819" s="43" t="str">
        <x:v>C-P</x:v>
      </x:c>
      <x:c r="D819" s="22" t="str">
        <x:v>Provisional</x:v>
      </x:c>
      <x:c r="E819" s="22" t="str">
        <x:v>SOURCE CODES</x:v>
      </x:c>
      <x:c r="F819" s="22" t="str">
        <x:v>Source-code / repository discovery</x:v>
      </x:c>
      <x:c r="G819" s="22" t="str">
        <x:v>Provisional ceiling from saved search/discovery context only. Verify the original page, account attribution and date; no result accuracy test.</x:v>
      </x:c>
      <x:c r="H819" s="22" t="str">
        <x:v>Lead only; inspect original content before attribution</x:v>
      </x:c>
      <x:c r="I819" s="22" t="str">
        <x:v>Not checked</x:v>
      </x:c>
      <x:c r="J819" s="22" t="str">
        <x:v>Saved bookmark metadata only</x:v>
      </x:c>
      <x:c r="K819" s="22" t="str"/>
      <x:c r="L819" s="24" t="str"/>
      <x:c r="M819" s="24" t="str">
        <x:v>https://about.sourcegraph.com/</x:v>
      </x:c>
      <x:c r="N819" s="22" t="str">
        <x:v>286644129</x:v>
      </x:c>
      <x:c r="O819" s="22" t="n">
        <x:v>1041</x:v>
      </x:c>
      <x:c r="P819" s="22" t="n">
        <x:v>16</x:v>
      </x:c>
      <x:c r="Q819" s="22" t="str"/>
      <x:c r="R819" s="22" t="n">
        <x:f>COUNTIF($M$6:$M$1177,M819)</x:f>
        <x:v>1</x:v>
      </x:c>
      <x:c r="S819" s="22" t="str">
        <x:v>Supporting discovery</x:v>
      </x:c>
      <x:c r="T819" s="22" t="str">
        <x:v>Low</x:v>
      </x:c>
    </x:row>
    <x:row r="820" ht="54" customHeight="1">
      <x:c r="A820" s="22" t="n">
        <x:v>815</x:v>
      </x:c>
      <x:c r="B820" s="22" t="str">
        <x:v>Awesome Open Source</x:v>
      </x:c>
      <x:c r="C820" s="43" t="str">
        <x:v>C-P</x:v>
      </x:c>
      <x:c r="D820" s="22" t="str">
        <x:v>Provisional</x:v>
      </x:c>
      <x:c r="E820" s="22" t="str">
        <x:v>SOURCE CODES</x:v>
      </x:c>
      <x:c r="F820" s="22" t="str">
        <x:v>Source-code / repository discovery</x:v>
      </x:c>
      <x:c r="G820" s="22" t="str">
        <x:v>Provisional ceiling from saved search/discovery context only. Verify the original page, account attribution and date; no result accuracy test.</x:v>
      </x:c>
      <x:c r="H820" s="22" t="str">
        <x:v>Lead only; inspect original content before attribution</x:v>
      </x:c>
      <x:c r="I820" s="22" t="str">
        <x:v>Not checked</x:v>
      </x:c>
      <x:c r="J820" s="22" t="str">
        <x:v>Saved bookmark metadata only</x:v>
      </x:c>
      <x:c r="K820" s="22" t="str"/>
      <x:c r="L820" s="24" t="str"/>
      <x:c r="M820" s="24" t="str">
        <x:v>https://awesomeopensource.com/</x:v>
      </x:c>
      <x:c r="N820" s="22" t="str">
        <x:v>289966172</x:v>
      </x:c>
      <x:c r="O820" s="22" t="n">
        <x:v>1041</x:v>
      </x:c>
      <x:c r="P820" s="22" t="n">
        <x:v>17</x:v>
      </x:c>
      <x:c r="Q820" s="22" t="str"/>
      <x:c r="R820" s="22" t="n">
        <x:f>COUNTIF($M$6:$M$1177,M820)</x:f>
        <x:v>1</x:v>
      </x:c>
      <x:c r="S820" s="22" t="str">
        <x:v>Supporting discovery</x:v>
      </x:c>
      <x:c r="T820" s="22" t="str">
        <x:v>Low</x:v>
      </x:c>
    </x:row>
    <x:row r="821" ht="54" customHeight="1">
      <x:c r="A821" s="22" t="n">
        <x:v>816</x:v>
      </x:c>
      <x:c r="B821" s="22" t="str">
        <x:v>Awesome-indexed</x:v>
      </x:c>
      <x:c r="C821" s="43" t="str">
        <x:v>C-P</x:v>
      </x:c>
      <x:c r="D821" s="22" t="str">
        <x:v>Provisional</x:v>
      </x:c>
      <x:c r="E821" s="22" t="str">
        <x:v>SOURCE CODES</x:v>
      </x:c>
      <x:c r="F821" s="22" t="str">
        <x:v>Source-code / repository discovery</x:v>
      </x:c>
      <x:c r="G821" s="22" t="str">
        <x:v>Provisional ceiling from saved search/discovery context only. Verify the original page, account attribution and date; no result accuracy test.</x:v>
      </x:c>
      <x:c r="H821" s="22" t="str">
        <x:v>Lead only; inspect original content before attribution</x:v>
      </x:c>
      <x:c r="I821" s="22" t="str">
        <x:v>Not checked</x:v>
      </x:c>
      <x:c r="J821" s="22" t="str">
        <x:v>Saved bookmark metadata only</x:v>
      </x:c>
      <x:c r="K821" s="22" t="str"/>
      <x:c r="L821" s="24" t="str"/>
      <x:c r="M821" s="24" t="str">
        <x:v>http://awesome-indexed.mathew-davies.co.uk/</x:v>
      </x:c>
      <x:c r="N821" s="22" t="str">
        <x:v>286996632</x:v>
      </x:c>
      <x:c r="O821" s="22" t="n">
        <x:v>1041</x:v>
      </x:c>
      <x:c r="P821" s="22" t="n">
        <x:v>18</x:v>
      </x:c>
      <x:c r="Q821" s="22" t="str"/>
      <x:c r="R821" s="22" t="n">
        <x:f>COUNTIF($M$6:$M$1177,M821)</x:f>
        <x:v>1</x:v>
      </x:c>
      <x:c r="S821" s="22" t="str">
        <x:v>Supporting discovery</x:v>
      </x:c>
      <x:c r="T821" s="22" t="str">
        <x:v>Low</x:v>
      </x:c>
    </x:row>
    <x:row r="822" ht="54" customHeight="1">
      <x:c r="A822" s="22" t="n">
        <x:v>817</x:v>
      </x:c>
      <x:c r="B822" s="22" t="str">
        <x:v>Awesomelists.top</x:v>
      </x:c>
      <x:c r="C822" s="43" t="str">
        <x:v>C-P</x:v>
      </x:c>
      <x:c r="D822" s="22" t="str">
        <x:v>Provisional</x:v>
      </x:c>
      <x:c r="E822" s="22" t="str">
        <x:v>SOURCE CODES</x:v>
      </x:c>
      <x:c r="F822" s="22" t="str">
        <x:v>Source-code / repository discovery</x:v>
      </x:c>
      <x:c r="G822" s="22" t="str">
        <x:v>Provisional ceiling from saved search/discovery context only. Verify the original page, account attribution and date; no result accuracy test.</x:v>
      </x:c>
      <x:c r="H822" s="22" t="str">
        <x:v>Lead only; inspect original content before attribution</x:v>
      </x:c>
      <x:c r="I822" s="22" t="str">
        <x:v>Not checked</x:v>
      </x:c>
      <x:c r="J822" s="22" t="str">
        <x:v>Saved bookmark metadata only</x:v>
      </x:c>
      <x:c r="K822" s="22" t="str"/>
      <x:c r="L822" s="24" t="str"/>
      <x:c r="M822" s="24" t="str">
        <x:v>http://dev.awesomelists.top/#/</x:v>
      </x:c>
      <x:c r="N822" s="22" t="str">
        <x:v>289966173</x:v>
      </x:c>
      <x:c r="O822" s="22" t="n">
        <x:v>1041</x:v>
      </x:c>
      <x:c r="P822" s="22" t="n">
        <x:v>19</x:v>
      </x:c>
      <x:c r="Q822" s="22" t="str"/>
      <x:c r="R822" s="22" t="n">
        <x:f>COUNTIF($M$6:$M$1177,M822)</x:f>
        <x:v>1</x:v>
      </x:c>
      <x:c r="S822" s="22" t="str">
        <x:v>Supporting discovery</x:v>
      </x:c>
      <x:c r="T822" s="22" t="str">
        <x:v>Low</x:v>
      </x:c>
    </x:row>
    <x:row r="823" ht="54" customHeight="1">
      <x:c r="A823" s="22" t="n">
        <x:v>818</x:v>
      </x:c>
      <x:c r="B823" s="22" t="str">
        <x:v>Zen</x:v>
      </x:c>
      <x:c r="C823" s="43" t="str">
        <x:v>C-P</x:v>
      </x:c>
      <x:c r="D823" s="22" t="str">
        <x:v>Provisional</x:v>
      </x:c>
      <x:c r="E823" s="22" t="str">
        <x:v>SOURCE CODES</x:v>
      </x:c>
      <x:c r="F823" s="22" t="str">
        <x:v>Source-code / repository discovery</x:v>
      </x:c>
      <x:c r="G823" s="22" t="str">
        <x:v>Provisional ceiling from saved search/discovery context only. Verify the original page, account attribution and date; no result accuracy test.</x:v>
      </x:c>
      <x:c r="H823" s="22" t="str">
        <x:v>Lead only; inspect original content before attribution</x:v>
      </x:c>
      <x:c r="I823" s="22" t="str">
        <x:v>Not checked</x:v>
      </x:c>
      <x:c r="J823" s="22" t="str">
        <x:v>Saved bookmark metadata only</x:v>
      </x:c>
      <x:c r="K823" s="22" t="str"/>
      <x:c r="L823" s="24" t="str"/>
      <x:c r="M823" s="24" t="str">
        <x:v>https://github.com/s0md3v/Zen</x:v>
      </x:c>
      <x:c r="N823" s="22" t="str">
        <x:v>289975864</x:v>
      </x:c>
      <x:c r="O823" s="22" t="n">
        <x:v>1041</x:v>
      </x:c>
      <x:c r="P823" s="22" t="n">
        <x:v>20</x:v>
      </x:c>
      <x:c r="Q823" s="22" t="str"/>
      <x:c r="R823" s="22" t="n">
        <x:f>COUNTIF($M$6:$M$1177,M823)</x:f>
        <x:v>1</x:v>
      </x:c>
      <x:c r="S823" s="22" t="str">
        <x:v>Supporting discovery</x:v>
      </x:c>
      <x:c r="T823" s="22" t="str">
        <x:v>Low</x:v>
      </x:c>
    </x:row>
    <x:row r="824" ht="54" customHeight="1">
      <x:c r="A824" s="22" t="n">
        <x:v>819</x:v>
      </x:c>
      <x:c r="B824" s="22" t="str">
        <x:v>GitDorker</x:v>
      </x:c>
      <x:c r="C824" s="43" t="str">
        <x:v>C-P</x:v>
      </x:c>
      <x:c r="D824" s="22" t="str">
        <x:v>Provisional</x:v>
      </x:c>
      <x:c r="E824" s="22" t="str">
        <x:v>SOURCE CODES</x:v>
      </x:c>
      <x:c r="F824" s="22" t="str">
        <x:v>Source-code / repository discovery</x:v>
      </x:c>
      <x:c r="G824" s="22" t="str">
        <x:v>Provisional ceiling from saved search/discovery context only. Verify the original page, account attribution and date; no result accuracy test.</x:v>
      </x:c>
      <x:c r="H824" s="22" t="str">
        <x:v>Lead only; inspect original content before attribution</x:v>
      </x:c>
      <x:c r="I824" s="22" t="str">
        <x:v>Not checked</x:v>
      </x:c>
      <x:c r="J824" s="22" t="str">
        <x:v>Saved bookmark metadata only</x:v>
      </x:c>
      <x:c r="K824" s="22" t="str"/>
      <x:c r="L824" s="24" t="str"/>
      <x:c r="M824" s="24" t="str">
        <x:v>https://github.com/obheda12/GitDorker</x:v>
      </x:c>
      <x:c r="N824" s="22" t="str">
        <x:v>290064720</x:v>
      </x:c>
      <x:c r="O824" s="22" t="n">
        <x:v>1041</x:v>
      </x:c>
      <x:c r="P824" s="22" t="n">
        <x:v>21</x:v>
      </x:c>
      <x:c r="Q824" s="22" t="str"/>
      <x:c r="R824" s="22" t="n">
        <x:f>COUNTIF($M$6:$M$1177,M824)</x:f>
        <x:v>1</x:v>
      </x:c>
      <x:c r="S824" s="22" t="str">
        <x:v>Supporting discovery</x:v>
      </x:c>
      <x:c r="T824" s="22" t="str">
        <x:v>Low</x:v>
      </x:c>
    </x:row>
    <x:row r="825" ht="54" customHeight="1">
      <x:c r="A825" s="22" t="n">
        <x:v>820</x:v>
      </x:c>
      <x:c r="B825" s="22" t="str">
        <x:v>WHOIS Service</x:v>
      </x:c>
      <x:c r="C825" s="43" t="str">
        <x:v>C-P</x:v>
      </x:c>
      <x:c r="D825" s="22" t="str">
        <x:v>Provisional</x:v>
      </x:c>
      <x:c r="E825" s="22" t="str">
        <x:v>WHOIS</x:v>
      </x:c>
      <x:c r="F825" s="22" t="str">
        <x:v>Domain registration records</x:v>
      </x:c>
      <x:c r="G825" s="22" t="str">
        <x:v>Check capture dates and the authoritative registration record; proxy fields do not identify the controller. Exact output and coverage were not tested.</x:v>
      </x:c>
      <x:c r="H825" s="22" t="str">
        <x:v>Corroborate with a dated authoritative technical record</x:v>
      </x:c>
      <x:c r="I825" s="22" t="str">
        <x:v>Not checked</x:v>
      </x:c>
      <x:c r="J825" s="22" t="str">
        <x:v>Saved bookmark metadata only</x:v>
      </x:c>
      <x:c r="K825" s="22" t="str"/>
      <x:c r="L825" s="24" t="str"/>
      <x:c r="M825" s="24" t="str">
        <x:v>https://whoismind.com/</x:v>
      </x:c>
      <x:c r="N825" s="22" t="str">
        <x:v>297339898</x:v>
      </x:c>
      <x:c r="O825" s="22" t="n">
        <x:v>1041</x:v>
      </x:c>
      <x:c r="P825" s="22" t="n">
        <x:v>1</x:v>
      </x:c>
      <x:c r="Q825" s="22" t="str"/>
      <x:c r="R825" s="22" t="n">
        <x:f>COUNTIF($M$6:$M$1177,M825)</x:f>
        <x:v>1</x:v>
      </x:c>
      <x:c r="S825" s="22" t="str">
        <x:v>Other / utility</x:v>
      </x:c>
      <x:c r="T825" s="22" t="str">
        <x:v>Low</x:v>
      </x:c>
    </x:row>
    <x:row r="826" ht="54" customHeight="1">
      <x:c r="A826" s="22" t="n">
        <x:v>821</x:v>
      </x:c>
      <x:c r="B826" s="22" t="str">
        <x:v>Whois Search</x:v>
      </x:c>
      <x:c r="C826" s="43" t="str">
        <x:v>C-P</x:v>
      </x:c>
      <x:c r="D826" s="22" t="str">
        <x:v>Provisional</x:v>
      </x:c>
      <x:c r="E826" s="22" t="str">
        <x:v>WHOIS</x:v>
      </x:c>
      <x:c r="F826" s="22" t="str">
        <x:v>Domain registration records</x:v>
      </x:c>
      <x:c r="G826" s="22" t="str">
        <x:v>Check capture dates and the authoritative registration record; proxy fields do not identify the controller. Exact output and coverage were not tested.</x:v>
      </x:c>
      <x:c r="H826" s="22" t="str">
        <x:v>Corroborate with a dated authoritative technical record</x:v>
      </x:c>
      <x:c r="I826" s="22" t="str">
        <x:v>Not checked</x:v>
      </x:c>
      <x:c r="J826" s="22" t="str">
        <x:v>Saved bookmark metadata only</x:v>
      </x:c>
      <x:c r="K826" s="22" t="str"/>
      <x:c r="L826" s="24" t="str"/>
      <x:c r="M826" s="24" t="str">
        <x:v>https://webwhois.verisign.com/webwhois-ui/index.jsp?language=en_US</x:v>
      </x:c>
      <x:c r="N826" s="22" t="str">
        <x:v>268408796</x:v>
      </x:c>
      <x:c r="O826" s="22" t="n">
        <x:v>1041</x:v>
      </x:c>
      <x:c r="P826" s="22" t="n">
        <x:v>2</x:v>
      </x:c>
      <x:c r="Q826" s="22" t="str"/>
      <x:c r="R826" s="22" t="n">
        <x:f>COUNTIF($M$6:$M$1177,M826)</x:f>
        <x:v>1</x:v>
      </x:c>
      <x:c r="S826" s="22" t="str">
        <x:v>Other / utility</x:v>
      </x:c>
      <x:c r="T826" s="22" t="str">
        <x:v>Low</x:v>
      </x:c>
    </x:row>
    <x:row r="827" ht="54" customHeight="1">
      <x:c r="A827" s="22" t="n">
        <x:v>822</x:v>
      </x:c>
      <x:c r="B827" s="22" t="str">
        <x:v>Who.is</x:v>
      </x:c>
      <x:c r="C827" s="35" t="str">
        <x:v>B</x:v>
      </x:c>
      <x:c r="D827" s="22" t="str">
        <x:v>Documented</x:v>
      </x:c>
      <x:c r="E827" s="22" t="str">
        <x:v>WHOIS</x:v>
      </x:c>
      <x:c r="F827" s="22" t="str">
        <x:v>WHOIS/RDAP and DNS lookup</x:v>
      </x:c>
      <x:c r="G827" s="22" t="str">
        <x:v>Provides registration and DNS data. Preserve source and timestamps; registrant fields and shared infrastructure do not establish personal control.</x:v>
      </x:c>
      <x:c r="H827" s="22" t="str">
        <x:v>Corroborate before attribution</x:v>
      </x:c>
      <x:c r="I827" s="22" t="str">
        <x:v>Content readable; lookup not tested</x:v>
      </x:c>
      <x:c r="J827" s="22" t="str">
        <x:v>Provider feature documentation</x:v>
      </x:c>
      <x:c r="K827" s="22" t="str">
        <x:v>S093</x:v>
      </x:c>
      <x:c r="L827" s="24" t="str">
        <x:v>https://who.is/</x:v>
      </x:c>
      <x:c r="M827" s="24" t="str">
        <x:v>https://who.is/</x:v>
      </x:c>
      <x:c r="N827" s="22" t="str">
        <x:v>268408797</x:v>
      </x:c>
      <x:c r="O827" s="22" t="n">
        <x:v>1041</x:v>
      </x:c>
      <x:c r="P827" s="22" t="n">
        <x:v>3</x:v>
      </x:c>
      <x:c r="Q827" s="22" t="str">
        <x:v>2026-09-15</x:v>
      </x:c>
      <x:c r="R827" s="22" t="n">
        <x:f>COUNTIF($M$6:$M$1177,M827)</x:f>
        <x:v>1</x:v>
      </x:c>
      <x:c r="S827" s="22" t="str">
        <x:v>Other / utility</x:v>
      </x:c>
      <x:c r="T827" s="22" t="str">
        <x:v>Scoped desk assessment</x:v>
      </x:c>
    </x:row>
    <x:row r="828" ht="54" customHeight="1">
      <x:c r="A828" s="22" t="n">
        <x:v>823</x:v>
      </x:c>
      <x:c r="B828" s="22" t="str">
        <x:v>Whoxy</x:v>
      </x:c>
      <x:c r="C828" s="35" t="str">
        <x:v>B</x:v>
      </x:c>
      <x:c r="D828" s="22" t="str">
        <x:v>Documented</x:v>
      </x:c>
      <x:c r="E828" s="22" t="str">
        <x:v>WHOIS</x:v>
      </x:c>
      <x:c r="F828" s="22" t="str">
        <x:v>WHOIS technical / historical record retrieval</x:v>
      </x:c>
      <x:c r="G828" s="22" t="str">
        <x:v>Provides parsed and raw registration records. Check capture dates and originating registrar data; registration text is not verified personal identity.</x:v>
      </x:c>
      <x:c r="H828" s="22" t="str">
        <x:v>Corroborate before attribution</x:v>
      </x:c>
      <x:c r="I828" s="22" t="str">
        <x:v>Content readable; lookup not tested</x:v>
      </x:c>
      <x:c r="J828" s="22" t="str">
        <x:v>Provider API and coverage documentation</x:v>
      </x:c>
      <x:c r="K828" s="22" t="str">
        <x:v>S092</x:v>
      </x:c>
      <x:c r="L828" s="24" t="str">
        <x:v>https://www.whoxy.com/</x:v>
      </x:c>
      <x:c r="M828" s="24" t="str">
        <x:v>https://www.whoxy.com/</x:v>
      </x:c>
      <x:c r="N828" s="22" t="str">
        <x:v>268408825</x:v>
      </x:c>
      <x:c r="O828" s="22" t="n">
        <x:v>1041</x:v>
      </x:c>
      <x:c r="P828" s="22" t="n">
        <x:v>4</x:v>
      </x:c>
      <x:c r="Q828" s="22" t="str">
        <x:v>2026-09-15</x:v>
      </x:c>
      <x:c r="R828" s="22" t="n">
        <x:f>COUNTIF($M$6:$M$1177,M828)</x:f>
        <x:v>1</x:v>
      </x:c>
      <x:c r="S828" s="22" t="str">
        <x:v>Other / utility</x:v>
      </x:c>
      <x:c r="T828" s="22" t="str">
        <x:v>Scoped desk assessment</x:v>
      </x:c>
    </x:row>
    <x:row r="829" ht="54" customHeight="1">
      <x:c r="A829" s="22" t="n">
        <x:v>824</x:v>
      </x:c>
      <x:c r="B829" s="22" t="str">
        <x:v>Whois History</x:v>
      </x:c>
      <x:c r="C829" s="43" t="str">
        <x:v>C-P</x:v>
      </x:c>
      <x:c r="D829" s="22" t="str">
        <x:v>Provisional</x:v>
      </x:c>
      <x:c r="E829" s="22" t="str">
        <x:v>WHOIS</x:v>
      </x:c>
      <x:c r="F829" s="22" t="str">
        <x:v>Domain registration records</x:v>
      </x:c>
      <x:c r="G829" s="22" t="str">
        <x:v>Check capture dates and the authoritative registration record; proxy fields do not identify the controller. Exact output and coverage were not tested.</x:v>
      </x:c>
      <x:c r="H829" s="22" t="str">
        <x:v>Corroborate with a dated authoritative technical record</x:v>
      </x:c>
      <x:c r="I829" s="22" t="str">
        <x:v>Not checked</x:v>
      </x:c>
      <x:c r="J829" s="22" t="str">
        <x:v>Saved bookmark metadata only</x:v>
      </x:c>
      <x:c r="K829" s="22" t="str"/>
      <x:c r="L829" s="24" t="str"/>
      <x:c r="M829" s="24" t="str">
        <x:v>https://osint.sh/whoishistory/</x:v>
      </x:c>
      <x:c r="N829" s="22" t="str">
        <x:v>286695242</x:v>
      </x:c>
      <x:c r="O829" s="22" t="n">
        <x:v>1041</x:v>
      </x:c>
      <x:c r="P829" s="22" t="n">
        <x:v>5</x:v>
      </x:c>
      <x:c r="Q829" s="22" t="str"/>
      <x:c r="R829" s="22" t="n">
        <x:f>COUNTIF($M$6:$M$1177,M829)</x:f>
        <x:v>1</x:v>
      </x:c>
      <x:c r="S829" s="22" t="str">
        <x:v>Other / utility</x:v>
      </x:c>
      <x:c r="T829" s="22" t="str">
        <x:v>Low</x:v>
      </x:c>
    </x:row>
    <x:row r="830" ht="48" customHeight="1">
      <x:c r="A830" s="22" t="n">
        <x:v>825</x:v>
      </x:c>
      <x:c r="B830" s="22" t="str">
        <x:v>domainbigdata</x:v>
      </x:c>
      <x:c r="C830" s="31" t="str">
        <x:v>U</x:v>
      </x:c>
      <x:c r="D830" s="22" t="str">
        <x:v>Unassessed</x:v>
      </x:c>
      <x:c r="E830" s="22" t="str">
        <x:v>DOMAIN / IP / DNS</x:v>
      </x:c>
      <x:c r="F830" s="22" t="str">
        <x:v>Technical infrastructure observations</x:v>
      </x:c>
      <x:c r="G830" s="22" t="str">
        <x:v>Shared hosting, reused addresses or an old record do not prove common ownership.</x:v>
      </x:c>
      <x:c r="H830" s="22" t="str">
        <x:v>Verify publisher, source and current function before reliance</x:v>
      </x:c>
      <x:c r="I830" s="22" t="str">
        <x:v>Not checked</x:v>
      </x:c>
      <x:c r="J830" s="22" t="str">
        <x:v>Saved bookmark metadata only</x:v>
      </x:c>
      <x:c r="K830" s="22" t="str"/>
      <x:c r="L830" s="24" t="str"/>
      <x:c r="M830" s="24" t="str">
        <x:v>https://domainbigdata.com/</x:v>
      </x:c>
      <x:c r="N830" s="22" t="str">
        <x:v>268387163</x:v>
      </x:c>
      <x:c r="O830" s="22" t="n">
        <x:v>1041</x:v>
      </x:c>
      <x:c r="P830" s="22" t="n">
        <x:v>1</x:v>
      </x:c>
      <x:c r="Q830" s="22" t="str"/>
      <x:c r="R830" s="22" t="n">
        <x:f>COUNTIF($M$6:$M$1177,M830)</x:f>
        <x:v>1</x:v>
      </x:c>
      <x:c r="S830" s="22" t="str">
        <x:v>Other / utility</x:v>
      </x:c>
      <x:c r="T830" s="22" t="str">
        <x:v>Not established</x:v>
      </x:c>
    </x:row>
    <x:row r="831" ht="48" customHeight="1">
      <x:c r="A831" s="22" t="n">
        <x:v>826</x:v>
      </x:c>
      <x:c r="B831" s="22" t="str">
        <x:v>Domain Codex</x:v>
      </x:c>
      <x:c r="C831" s="31" t="str">
        <x:v>U</x:v>
      </x:c>
      <x:c r="D831" s="22" t="str">
        <x:v>Unassessed</x:v>
      </x:c>
      <x:c r="E831" s="22" t="str">
        <x:v>DOMAIN / IP / DNS</x:v>
      </x:c>
      <x:c r="F831" s="22" t="str">
        <x:v>Technical infrastructure observations</x:v>
      </x:c>
      <x:c r="G831" s="22" t="str">
        <x:v>Shared hosting, reused addresses or an old record do not prove common ownership.</x:v>
      </x:c>
      <x:c r="H831" s="22" t="str">
        <x:v>Verify publisher, source and current function before reliance</x:v>
      </x:c>
      <x:c r="I831" s="22" t="str">
        <x:v>Not checked</x:v>
      </x:c>
      <x:c r="J831" s="22" t="str">
        <x:v>Saved bookmark metadata only</x:v>
      </x:c>
      <x:c r="K831" s="22" t="str"/>
      <x:c r="L831" s="24" t="str"/>
      <x:c r="M831" s="24" t="str">
        <x:v>https://www.domaincodex.com/search.php</x:v>
      </x:c>
      <x:c r="N831" s="22" t="str">
        <x:v>305387613</x:v>
      </x:c>
      <x:c r="O831" s="22" t="n">
        <x:v>1041</x:v>
      </x:c>
      <x:c r="P831" s="22" t="n">
        <x:v>2</x:v>
      </x:c>
      <x:c r="Q831" s="22" t="str"/>
      <x:c r="R831" s="22" t="n">
        <x:f>COUNTIF($M$6:$M$1177,M831)</x:f>
        <x:v>2</x:v>
      </x:c>
      <x:c r="S831" s="22" t="str">
        <x:v>Other / utility</x:v>
      </x:c>
      <x:c r="T831" s="22" t="str">
        <x:v>Not established</x:v>
      </x:c>
    </x:row>
    <x:row r="832" ht="48" customHeight="1">
      <x:c r="A832" s="22" t="n">
        <x:v>827</x:v>
      </x:c>
      <x:c r="B832" s="22" t="str">
        <x:v>dnslytics</x:v>
      </x:c>
      <x:c r="C832" s="43" t="str">
        <x:v>C-P</x:v>
      </x:c>
      <x:c r="D832" s="22" t="str">
        <x:v>Provisional</x:v>
      </x:c>
      <x:c r="E832" s="22" t="str">
        <x:v>DOMAIN / IP / DNS</x:v>
      </x:c>
      <x:c r="F832" s="22" t="str">
        <x:v>Technical infrastructure observations</x:v>
      </x:c>
      <x:c r="G832" s="22" t="str">
        <x:v>Shared hosting, reused addresses or an old record do not prove common ownership. Exact output and coverage were not tested.</x:v>
      </x:c>
      <x:c r="H832" s="22" t="str">
        <x:v>Corroborate with a dated authoritative technical record</x:v>
      </x:c>
      <x:c r="I832" s="22" t="str">
        <x:v>Not checked</x:v>
      </x:c>
      <x:c r="J832" s="22" t="str">
        <x:v>Saved bookmark metadata only</x:v>
      </x:c>
      <x:c r="K832" s="22" t="str"/>
      <x:c r="L832" s="24" t="str"/>
      <x:c r="M832" s="24" t="str">
        <x:v>https://dnslytics.com/</x:v>
      </x:c>
      <x:c r="N832" s="22" t="str">
        <x:v>305387614</x:v>
      </x:c>
      <x:c r="O832" s="22" t="n">
        <x:v>1041</x:v>
      </x:c>
      <x:c r="P832" s="22" t="n">
        <x:v>3</x:v>
      </x:c>
      <x:c r="Q832" s="22" t="str"/>
      <x:c r="R832" s="22" t="n">
        <x:f>COUNTIF($M$6:$M$1177,M832)</x:f>
        <x:v>1</x:v>
      </x:c>
      <x:c r="S832" s="22" t="str">
        <x:v>Other / utility</x:v>
      </x:c>
      <x:c r="T832" s="22" t="str">
        <x:v>Low</x:v>
      </x:c>
    </x:row>
    <x:row r="833" ht="48" customHeight="1">
      <x:c r="A833" s="22" t="n">
        <x:v>828</x:v>
      </x:c>
      <x:c r="B833" s="22" t="str">
        <x:v>SecurityTrails</x:v>
      </x:c>
      <x:c r="C833" s="31" t="str">
        <x:v>U</x:v>
      </x:c>
      <x:c r="D833" s="22" t="str">
        <x:v>Unassessed</x:v>
      </x:c>
      <x:c r="E833" s="22" t="str">
        <x:v>DOMAIN / IP / DNS</x:v>
      </x:c>
      <x:c r="F833" s="22" t="str">
        <x:v>Technical infrastructure observations</x:v>
      </x:c>
      <x:c r="G833" s="22" t="str">
        <x:v>Shared hosting, reused addresses or an old record do not prove common ownership.</x:v>
      </x:c>
      <x:c r="H833" s="22" t="str">
        <x:v>Verify publisher, source and current function before reliance</x:v>
      </x:c>
      <x:c r="I833" s="22" t="str">
        <x:v>Not checked</x:v>
      </x:c>
      <x:c r="J833" s="22" t="str">
        <x:v>Saved bookmark metadata only</x:v>
      </x:c>
      <x:c r="K833" s="22" t="str"/>
      <x:c r="L833" s="24" t="str"/>
      <x:c r="M833" s="24" t="str">
        <x:v>https://securitytrails.com/</x:v>
      </x:c>
      <x:c r="N833" s="22" t="str">
        <x:v>305387611</x:v>
      </x:c>
      <x:c r="O833" s="22" t="n">
        <x:v>1041</x:v>
      </x:c>
      <x:c r="P833" s="22" t="n">
        <x:v>4</x:v>
      </x:c>
      <x:c r="Q833" s="22" t="str"/>
      <x:c r="R833" s="22" t="n">
        <x:f>COUNTIF($M$6:$M$1177,M833)</x:f>
        <x:v>1</x:v>
      </x:c>
      <x:c r="S833" s="22" t="str">
        <x:v>Other / utility</x:v>
      </x:c>
      <x:c r="T833" s="22" t="str">
        <x:v>Not established</x:v>
      </x:c>
    </x:row>
    <x:row r="834" ht="48" customHeight="1">
      <x:c r="A834" s="22" t="n">
        <x:v>829</x:v>
      </x:c>
      <x:c r="B834" s="22" t="str">
        <x:v>Shodan</x:v>
      </x:c>
      <x:c r="C834" s="31" t="str">
        <x:v>U</x:v>
      </x:c>
      <x:c r="D834" s="22" t="str">
        <x:v>Unassessed</x:v>
      </x:c>
      <x:c r="E834" s="22" t="str">
        <x:v>DOMAIN / IP / DNS</x:v>
      </x:c>
      <x:c r="F834" s="22" t="str">
        <x:v>Technical infrastructure observations</x:v>
      </x:c>
      <x:c r="G834" s="22" t="str">
        <x:v>Shared hosting, reused addresses or an old record do not prove common ownership.</x:v>
      </x:c>
      <x:c r="H834" s="22" t="str">
        <x:v>Verify publisher, source and current function before reliance</x:v>
      </x:c>
      <x:c r="I834" s="22" t="str">
        <x:v>Not checked</x:v>
      </x:c>
      <x:c r="J834" s="22" t="str">
        <x:v>Saved bookmark metadata only</x:v>
      </x:c>
      <x:c r="K834" s="22" t="str"/>
      <x:c r="L834" s="24" t="str"/>
      <x:c r="M834" s="24" t="str">
        <x:v>https://shodan.io/</x:v>
      </x:c>
      <x:c r="N834" s="22" t="str">
        <x:v>268387785</x:v>
      </x:c>
      <x:c r="O834" s="22" t="n">
        <x:v>1041</x:v>
      </x:c>
      <x:c r="P834" s="22" t="n">
        <x:v>5</x:v>
      </x:c>
      <x:c r="Q834" s="22" t="str"/>
      <x:c r="R834" s="22" t="n">
        <x:f>COUNTIF($M$6:$M$1177,M834)</x:f>
        <x:v>1</x:v>
      </x:c>
      <x:c r="S834" s="22" t="str">
        <x:v>Other / utility</x:v>
      </x:c>
      <x:c r="T834" s="22" t="str">
        <x:v>Not established</x:v>
      </x:c>
    </x:row>
    <x:row r="835" ht="48" customHeight="1">
      <x:c r="A835" s="22" t="n">
        <x:v>830</x:v>
      </x:c>
      <x:c r="B835" s="22" t="str">
        <x:v>Internetdb.shodan.io</x:v>
      </x:c>
      <x:c r="C835" s="31" t="str">
        <x:v>U</x:v>
      </x:c>
      <x:c r="D835" s="22" t="str">
        <x:v>Unassessed</x:v>
      </x:c>
      <x:c r="E835" s="22" t="str">
        <x:v>DOMAIN / IP / DNS</x:v>
      </x:c>
      <x:c r="F835" s="22" t="str">
        <x:v>Technical infrastructure observations</x:v>
      </x:c>
      <x:c r="G835" s="22" t="str">
        <x:v>Shared hosting, reused addresses or an old record do not prove common ownership.</x:v>
      </x:c>
      <x:c r="H835" s="22" t="str">
        <x:v>Verify publisher, source and current function before reliance</x:v>
      </x:c>
      <x:c r="I835" s="22" t="str">
        <x:v>Not checked</x:v>
      </x:c>
      <x:c r="J835" s="22" t="str">
        <x:v>Saved bookmark metadata only</x:v>
      </x:c>
      <x:c r="K835" s="22" t="str"/>
      <x:c r="L835" s="24" t="str"/>
      <x:c r="M835" s="24" t="str">
        <x:v>https://internetdb.shodan.io/</x:v>
      </x:c>
      <x:c r="N835" s="22" t="str">
        <x:v>303525783</x:v>
      </x:c>
      <x:c r="O835" s="22" t="n">
        <x:v>1041</x:v>
      </x:c>
      <x:c r="P835" s="22" t="n">
        <x:v>6</x:v>
      </x:c>
      <x:c r="Q835" s="22" t="str"/>
      <x:c r="R835" s="22" t="n">
        <x:f>COUNTIF($M$6:$M$1177,M835)</x:f>
        <x:v>1</x:v>
      </x:c>
      <x:c r="S835" s="22" t="str">
        <x:v>Other / utility</x:v>
      </x:c>
      <x:c r="T835" s="22" t="str">
        <x:v>Not established</x:v>
      </x:c>
    </x:row>
    <x:row r="836" ht="48" customHeight="1">
      <x:c r="A836" s="22" t="n">
        <x:v>831</x:v>
      </x:c>
      <x:c r="B836" s="22" t="str">
        <x:v>GreyNoise Intelligence</x:v>
      </x:c>
      <x:c r="C836" s="31" t="str">
        <x:v>U</x:v>
      </x:c>
      <x:c r="D836" s="22" t="str">
        <x:v>Unassessed</x:v>
      </x:c>
      <x:c r="E836" s="22" t="str">
        <x:v>DOMAIN / IP / DNS</x:v>
      </x:c>
      <x:c r="F836" s="22" t="str">
        <x:v>Technical infrastructure observations</x:v>
      </x:c>
      <x:c r="G836" s="22" t="str">
        <x:v>Shared hosting, reused addresses or an old record do not prove common ownership.</x:v>
      </x:c>
      <x:c r="H836" s="22" t="str">
        <x:v>Verify publisher, source and current function before reliance</x:v>
      </x:c>
      <x:c r="I836" s="22" t="str">
        <x:v>Not checked</x:v>
      </x:c>
      <x:c r="J836" s="22" t="str">
        <x:v>Saved bookmark metadata only</x:v>
      </x:c>
      <x:c r="K836" s="22" t="str"/>
      <x:c r="L836" s="24" t="str"/>
      <x:c r="M836" s="24" t="str">
        <x:v>https://www.greynoise.io/viz/</x:v>
      </x:c>
      <x:c r="N836" s="22" t="str">
        <x:v>286643941</x:v>
      </x:c>
      <x:c r="O836" s="22" t="n">
        <x:v>1041</x:v>
      </x:c>
      <x:c r="P836" s="22" t="n">
        <x:v>7</x:v>
      </x:c>
      <x:c r="Q836" s="22" t="str"/>
      <x:c r="R836" s="22" t="n">
        <x:f>COUNTIF($M$6:$M$1177,M836)</x:f>
        <x:v>1</x:v>
      </x:c>
      <x:c r="S836" s="22" t="str">
        <x:v>Other / utility</x:v>
      </x:c>
      <x:c r="T836" s="22" t="str">
        <x:v>Not established</x:v>
      </x:c>
    </x:row>
    <x:row r="837" ht="48" customHeight="1">
      <x:c r="A837" s="22" t="n">
        <x:v>832</x:v>
      </x:c>
      <x:c r="B837" s="22" t="str">
        <x:v>FOFA</x:v>
      </x:c>
      <x:c r="C837" s="31" t="str">
        <x:v>U</x:v>
      </x:c>
      <x:c r="D837" s="22" t="str">
        <x:v>Unassessed</x:v>
      </x:c>
      <x:c r="E837" s="22" t="str">
        <x:v>DOMAIN / IP / DNS</x:v>
      </x:c>
      <x:c r="F837" s="22" t="str">
        <x:v>Technical infrastructure observations</x:v>
      </x:c>
      <x:c r="G837" s="22" t="str">
        <x:v>Shared hosting, reused addresses or an old record do not prove common ownership.</x:v>
      </x:c>
      <x:c r="H837" s="22" t="str">
        <x:v>Verify publisher, source and current function before reliance</x:v>
      </x:c>
      <x:c r="I837" s="22" t="str">
        <x:v>Not checked</x:v>
      </x:c>
      <x:c r="J837" s="22" t="str">
        <x:v>Saved bookmark metadata only</x:v>
      </x:c>
      <x:c r="K837" s="22" t="str"/>
      <x:c r="L837" s="24" t="str"/>
      <x:c r="M837" s="24" t="str">
        <x:v>https://fofa.so/</x:v>
      </x:c>
      <x:c r="N837" s="22" t="str">
        <x:v>268507484</x:v>
      </x:c>
      <x:c r="O837" s="22" t="n">
        <x:v>1041</x:v>
      </x:c>
      <x:c r="P837" s="22" t="n">
        <x:v>8</x:v>
      </x:c>
      <x:c r="Q837" s="22" t="str"/>
      <x:c r="R837" s="22" t="n">
        <x:f>COUNTIF($M$6:$M$1177,M837)</x:f>
        <x:v>1</x:v>
      </x:c>
      <x:c r="S837" s="22" t="str">
        <x:v>Other / utility</x:v>
      </x:c>
      <x:c r="T837" s="22" t="str">
        <x:v>Not established</x:v>
      </x:c>
    </x:row>
    <x:row r="838" ht="48" customHeight="1">
      <x:c r="A838" s="22" t="n">
        <x:v>833</x:v>
      </x:c>
      <x:c r="B838" s="22" t="str">
        <x:v>zoomeye</x:v>
      </x:c>
      <x:c r="C838" s="31" t="str">
        <x:v>U</x:v>
      </x:c>
      <x:c r="D838" s="22" t="str">
        <x:v>Unassessed</x:v>
      </x:c>
      <x:c r="E838" s="22" t="str">
        <x:v>DOMAIN / IP / DNS</x:v>
      </x:c>
      <x:c r="F838" s="22" t="str">
        <x:v>Technical infrastructure observations</x:v>
      </x:c>
      <x:c r="G838" s="22" t="str">
        <x:v>Shared hosting, reused addresses or an old record do not prove common ownership.</x:v>
      </x:c>
      <x:c r="H838" s="22" t="str">
        <x:v>Verify publisher, source and current function before reliance</x:v>
      </x:c>
      <x:c r="I838" s="22" t="str">
        <x:v>Not checked</x:v>
      </x:c>
      <x:c r="J838" s="22" t="str">
        <x:v>Saved bookmark metadata only</x:v>
      </x:c>
      <x:c r="K838" s="22" t="str"/>
      <x:c r="L838" s="24" t="str"/>
      <x:c r="M838" s="24" t="str">
        <x:v>https://www.zoomeye.org/</x:v>
      </x:c>
      <x:c r="N838" s="22" t="str">
        <x:v>268387829</x:v>
      </x:c>
      <x:c r="O838" s="22" t="n">
        <x:v>1041</x:v>
      </x:c>
      <x:c r="P838" s="22" t="n">
        <x:v>9</x:v>
      </x:c>
      <x:c r="Q838" s="22" t="str"/>
      <x:c r="R838" s="22" t="n">
        <x:f>COUNTIF($M$6:$M$1177,M838)</x:f>
        <x:v>1</x:v>
      </x:c>
      <x:c r="S838" s="22" t="str">
        <x:v>Other / utility</x:v>
      </x:c>
      <x:c r="T838" s="22" t="str">
        <x:v>Not established</x:v>
      </x:c>
    </x:row>
    <x:row r="839" ht="48" customHeight="1">
      <x:c r="A839" s="22" t="n">
        <x:v>834</x:v>
      </x:c>
      <x:c r="B839" s="22" t="str">
        <x:v>Censys</x:v>
      </x:c>
      <x:c r="C839" s="31" t="str">
        <x:v>U</x:v>
      </x:c>
      <x:c r="D839" s="22" t="str">
        <x:v>Unassessed</x:v>
      </x:c>
      <x:c r="E839" s="22" t="str">
        <x:v>DOMAIN / IP / DNS</x:v>
      </x:c>
      <x:c r="F839" s="22" t="str">
        <x:v>Technical infrastructure observations</x:v>
      </x:c>
      <x:c r="G839" s="22" t="str">
        <x:v>Shared hosting, reused addresses or an old record do not prove common ownership.</x:v>
      </x:c>
      <x:c r="H839" s="22" t="str">
        <x:v>Verify publisher, source and current function before reliance</x:v>
      </x:c>
      <x:c r="I839" s="22" t="str">
        <x:v>Not checked</x:v>
      </x:c>
      <x:c r="J839" s="22" t="str">
        <x:v>Saved bookmark metadata only</x:v>
      </x:c>
      <x:c r="K839" s="22" t="str"/>
      <x:c r="L839" s="24" t="str"/>
      <x:c r="M839" s="24" t="str">
        <x:v>https://censys.io/domain</x:v>
      </x:c>
      <x:c r="N839" s="22" t="str">
        <x:v>268388269</x:v>
      </x:c>
      <x:c r="O839" s="22" t="n">
        <x:v>1041</x:v>
      </x:c>
      <x:c r="P839" s="22" t="n">
        <x:v>10</x:v>
      </x:c>
      <x:c r="Q839" s="22" t="str"/>
      <x:c r="R839" s="22" t="n">
        <x:f>COUNTIF($M$6:$M$1177,M839)</x:f>
        <x:v>1</x:v>
      </x:c>
      <x:c r="S839" s="22" t="str">
        <x:v>Other / utility</x:v>
      </x:c>
      <x:c r="T839" s="22" t="str">
        <x:v>Not established</x:v>
      </x:c>
    </x:row>
    <x:row r="840" ht="48" customHeight="1">
      <x:c r="A840" s="22" t="n">
        <x:v>835</x:v>
      </x:c>
      <x:c r="B840" s="22" t="str">
        <x:v>ViewDNS.info</x:v>
      </x:c>
      <x:c r="C840" s="43" t="str">
        <x:v>C-P</x:v>
      </x:c>
      <x:c r="D840" s="22" t="str">
        <x:v>Provisional</x:v>
      </x:c>
      <x:c r="E840" s="22" t="str">
        <x:v>DOMAIN / IP / DNS</x:v>
      </x:c>
      <x:c r="F840" s="22" t="str">
        <x:v>Technical infrastructure observations</x:v>
      </x:c>
      <x:c r="G840" s="22" t="str">
        <x:v>Shared hosting, reused addresses or an old record do not prove common ownership. Exact output and coverage were not tested.</x:v>
      </x:c>
      <x:c r="H840" s="22" t="str">
        <x:v>Corroborate with a dated authoritative technical record</x:v>
      </x:c>
      <x:c r="I840" s="22" t="str">
        <x:v>Not checked</x:v>
      </x:c>
      <x:c r="J840" s="22" t="str">
        <x:v>Saved bookmark metadata only</x:v>
      </x:c>
      <x:c r="K840" s="22" t="str"/>
      <x:c r="L840" s="24" t="str"/>
      <x:c r="M840" s="24" t="str">
        <x:v>https://viewdns.info/</x:v>
      </x:c>
      <x:c r="N840" s="22" t="str">
        <x:v>305387585</x:v>
      </x:c>
      <x:c r="O840" s="22" t="n">
        <x:v>1041</x:v>
      </x:c>
      <x:c r="P840" s="22" t="n">
        <x:v>11</x:v>
      </x:c>
      <x:c r="Q840" s="22" t="str"/>
      <x:c r="R840" s="22" t="n">
        <x:f>COUNTIF($M$6:$M$1177,M840)</x:f>
        <x:v>2</x:v>
      </x:c>
      <x:c r="S840" s="22" t="str">
        <x:v>Other / utility</x:v>
      </x:c>
      <x:c r="T840" s="22" t="str">
        <x:v>Low</x:v>
      </x:c>
    </x:row>
    <x:row r="841" ht="48" customHeight="1">
      <x:c r="A841" s="22" t="n">
        <x:v>836</x:v>
      </x:c>
      <x:c r="B841" s="22" t="str">
        <x:v>Internet Census 2012</x:v>
      </x:c>
      <x:c r="C841" s="31" t="str">
        <x:v>U</x:v>
      </x:c>
      <x:c r="D841" s="22" t="str">
        <x:v>Unassessed</x:v>
      </x:c>
      <x:c r="E841" s="22" t="str">
        <x:v>DOMAIN / IP / DNS</x:v>
      </x:c>
      <x:c r="F841" s="22" t="str">
        <x:v>Technical infrastructure observations</x:v>
      </x:c>
      <x:c r="G841" s="22" t="str">
        <x:v>Shared hosting, reused addresses or an old record do not prove common ownership.</x:v>
      </x:c>
      <x:c r="H841" s="22" t="str">
        <x:v>Verify publisher, source and current function before reliance</x:v>
      </x:c>
      <x:c r="I841" s="22" t="str">
        <x:v>Not checked</x:v>
      </x:c>
      <x:c r="J841" s="22" t="str">
        <x:v>Saved bookmark metadata only</x:v>
      </x:c>
      <x:c r="K841" s="22" t="str"/>
      <x:c r="L841" s="24" t="str"/>
      <x:c r="M841" s="24" t="str">
        <x:v>http://census2012.sourceforge.net/paper.html</x:v>
      </x:c>
      <x:c r="N841" s="22" t="str">
        <x:v>268387778</x:v>
      </x:c>
      <x:c r="O841" s="22" t="n">
        <x:v>1041</x:v>
      </x:c>
      <x:c r="P841" s="22" t="n">
        <x:v>12</x:v>
      </x:c>
      <x:c r="Q841" s="22" t="str"/>
      <x:c r="R841" s="22" t="n">
        <x:f>COUNTIF($M$6:$M$1177,M841)</x:f>
        <x:v>1</x:v>
      </x:c>
      <x:c r="S841" s="22" t="str">
        <x:v>Other / utility</x:v>
      </x:c>
      <x:c r="T841" s="22" t="str">
        <x:v>Not established</x:v>
      </x:c>
    </x:row>
    <x:row r="842" ht="48" customHeight="1">
      <x:c r="A842" s="22" t="n">
        <x:v>837</x:v>
      </x:c>
      <x:c r="B842" s="22" t="str">
        <x:v>ONYPHE</x:v>
      </x:c>
      <x:c r="C842" s="31" t="str">
        <x:v>U</x:v>
      </x:c>
      <x:c r="D842" s="22" t="str">
        <x:v>Unassessed</x:v>
      </x:c>
      <x:c r="E842" s="22" t="str">
        <x:v>DOMAIN / IP / DNS</x:v>
      </x:c>
      <x:c r="F842" s="22" t="str">
        <x:v>Technical infrastructure observations</x:v>
      </x:c>
      <x:c r="G842" s="22" t="str">
        <x:v>Shared hosting, reused addresses or an old record do not prove common ownership.</x:v>
      </x:c>
      <x:c r="H842" s="22" t="str">
        <x:v>Verify publisher, source and current function before reliance</x:v>
      </x:c>
      <x:c r="I842" s="22" t="str">
        <x:v>Not checked</x:v>
      </x:c>
      <x:c r="J842" s="22" t="str">
        <x:v>Saved bookmark metadata only</x:v>
      </x:c>
      <x:c r="K842" s="22" t="str"/>
      <x:c r="L842" s="24" t="str"/>
      <x:c r="M842" s="24" t="str">
        <x:v>https://www.onyphe.io/</x:v>
      </x:c>
      <x:c r="N842" s="22" t="str">
        <x:v>268507228</x:v>
      </x:c>
      <x:c r="O842" s="22" t="n">
        <x:v>1041</x:v>
      </x:c>
      <x:c r="P842" s="22" t="n">
        <x:v>13</x:v>
      </x:c>
      <x:c r="Q842" s="22" t="str"/>
      <x:c r="R842" s="22" t="n">
        <x:f>COUNTIF($M$6:$M$1177,M842)</x:f>
        <x:v>1</x:v>
      </x:c>
      <x:c r="S842" s="22" t="str">
        <x:v>Other / utility</x:v>
      </x:c>
      <x:c r="T842" s="22" t="str">
        <x:v>Not established</x:v>
      </x:c>
    </x:row>
    <x:row r="843" ht="48" customHeight="1">
      <x:c r="A843" s="22" t="n">
        <x:v>838</x:v>
      </x:c>
      <x:c r="B843" s="22" t="str">
        <x:v>IPLeak</x:v>
      </x:c>
      <x:c r="C843" s="31" t="str">
        <x:v>U</x:v>
      </x:c>
      <x:c r="D843" s="22" t="str">
        <x:v>Unassessed</x:v>
      </x:c>
      <x:c r="E843" s="22" t="str">
        <x:v>DOMAIN / IP / DNS</x:v>
      </x:c>
      <x:c r="F843" s="22" t="str">
        <x:v>Technical infrastructure observations</x:v>
      </x:c>
      <x:c r="G843" s="22" t="str">
        <x:v>Shared hosting, reused addresses or an old record do not prove common ownership.</x:v>
      </x:c>
      <x:c r="H843" s="22" t="str">
        <x:v>Verify publisher, source and current function before reliance</x:v>
      </x:c>
      <x:c r="I843" s="22" t="str">
        <x:v>Not checked</x:v>
      </x:c>
      <x:c r="J843" s="22" t="str">
        <x:v>Saved bookmark metadata only</x:v>
      </x:c>
      <x:c r="K843" s="22" t="str"/>
      <x:c r="L843" s="24" t="str"/>
      <x:c r="M843" s="24" t="str">
        <x:v>https://ipleak.net/</x:v>
      </x:c>
      <x:c r="N843" s="22" t="str">
        <x:v>268390334</x:v>
      </x:c>
      <x:c r="O843" s="22" t="n">
        <x:v>1041</x:v>
      </x:c>
      <x:c r="P843" s="22" t="n">
        <x:v>14</x:v>
      </x:c>
      <x:c r="Q843" s="22" t="str"/>
      <x:c r="R843" s="22" t="n">
        <x:f>COUNTIF($M$6:$M$1177,M843)</x:f>
        <x:v>1</x:v>
      </x:c>
      <x:c r="S843" s="22" t="str">
        <x:v>Other / utility</x:v>
      </x:c>
      <x:c r="T843" s="22" t="str">
        <x:v>Not established</x:v>
      </x:c>
    </x:row>
    <x:row r="844" ht="48" customHeight="1">
      <x:c r="A844" s="22" t="n">
        <x:v>839</x:v>
      </x:c>
      <x:c r="B844" s="22" t="str">
        <x:v>Censys Certificates</x:v>
      </x:c>
      <x:c r="C844" s="43" t="str">
        <x:v>C-P</x:v>
      </x:c>
      <x:c r="D844" s="22" t="str">
        <x:v>Provisional</x:v>
      </x:c>
      <x:c r="E844" s="22" t="str">
        <x:v>DOMAIN / IP / DNS</x:v>
      </x:c>
      <x:c r="F844" s="22" t="str">
        <x:v>Technical infrastructure observations</x:v>
      </x:c>
      <x:c r="G844" s="22" t="str">
        <x:v>Shared hosting, reused addresses or an old record do not prove common ownership. Exact output and coverage were not tested.</x:v>
      </x:c>
      <x:c r="H844" s="22" t="str">
        <x:v>Corroborate with a dated authoritative technical record</x:v>
      </x:c>
      <x:c r="I844" s="22" t="str">
        <x:v>Not checked</x:v>
      </x:c>
      <x:c r="J844" s="22" t="str">
        <x:v>Saved bookmark metadata only</x:v>
      </x:c>
      <x:c r="K844" s="22" t="str"/>
      <x:c r="L844" s="24" t="str"/>
      <x:c r="M844" s="24" t="str">
        <x:v>https://censys.io/certificates</x:v>
      </x:c>
      <x:c r="N844" s="22" t="str">
        <x:v>268408630</x:v>
      </x:c>
      <x:c r="O844" s="22" t="n">
        <x:v>1041</x:v>
      </x:c>
      <x:c r="P844" s="22" t="n">
        <x:v>15</x:v>
      </x:c>
      <x:c r="Q844" s="22" t="str"/>
      <x:c r="R844" s="22" t="n">
        <x:f>COUNTIF($M$6:$M$1177,M844)</x:f>
        <x:v>1</x:v>
      </x:c>
      <x:c r="S844" s="22" t="str">
        <x:v>Other / utility</x:v>
      </x:c>
      <x:c r="T844" s="22" t="str">
        <x:v>Low</x:v>
      </x:c>
    </x:row>
    <x:row r="845" ht="48" customHeight="1">
      <x:c r="A845" s="22" t="n">
        <x:v>840</x:v>
      </x:c>
      <x:c r="B845" s="22" t="str">
        <x:v>Censys IPv4</x:v>
      </x:c>
      <x:c r="C845" s="31" t="str">
        <x:v>U</x:v>
      </x:c>
      <x:c r="D845" s="22" t="str">
        <x:v>Unassessed</x:v>
      </x:c>
      <x:c r="E845" s="22" t="str">
        <x:v>DOMAIN / IP / DNS</x:v>
      </x:c>
      <x:c r="F845" s="22" t="str">
        <x:v>Technical infrastructure observations</x:v>
      </x:c>
      <x:c r="G845" s="22" t="str">
        <x:v>Shared hosting, reused addresses or an old record do not prove common ownership.</x:v>
      </x:c>
      <x:c r="H845" s="22" t="str">
        <x:v>Verify publisher, source and current function before reliance</x:v>
      </x:c>
      <x:c r="I845" s="22" t="str">
        <x:v>Not checked</x:v>
      </x:c>
      <x:c r="J845" s="22" t="str">
        <x:v>Saved bookmark metadata only</x:v>
      </x:c>
      <x:c r="K845" s="22" t="str"/>
      <x:c r="L845" s="24" t="str"/>
      <x:c r="M845" s="24" t="str">
        <x:v>https://censys.io/ipv4</x:v>
      </x:c>
      <x:c r="N845" s="22" t="str">
        <x:v>268395280</x:v>
      </x:c>
      <x:c r="O845" s="22" t="n">
        <x:v>1041</x:v>
      </x:c>
      <x:c r="P845" s="22" t="n">
        <x:v>16</x:v>
      </x:c>
      <x:c r="Q845" s="22" t="str"/>
      <x:c r="R845" s="22" t="n">
        <x:f>COUNTIF($M$6:$M$1177,M845)</x:f>
        <x:v>1</x:v>
      </x:c>
      <x:c r="S845" s="22" t="str">
        <x:v>Other / utility</x:v>
      </x:c>
      <x:c r="T845" s="22" t="str">
        <x:v>Not established</x:v>
      </x:c>
    </x:row>
    <x:row r="846" ht="48" customHeight="1">
      <x:c r="A846" s="22" t="n">
        <x:v>841</x:v>
      </x:c>
      <x:c r="B846" s="22" t="str">
        <x:v>ViewDNS.info</x:v>
      </x:c>
      <x:c r="C846" s="43" t="str">
        <x:v>C-P</x:v>
      </x:c>
      <x:c r="D846" s="22" t="str">
        <x:v>Provisional</x:v>
      </x:c>
      <x:c r="E846" s="22" t="str">
        <x:v>DOMAIN / IP / DNS</x:v>
      </x:c>
      <x:c r="F846" s="22" t="str">
        <x:v>Technical infrastructure observations</x:v>
      </x:c>
      <x:c r="G846" s="22" t="str">
        <x:v>Shared hosting, reused addresses or an old record do not prove common ownership. Exact output and coverage were not tested.</x:v>
      </x:c>
      <x:c r="H846" s="22" t="str">
        <x:v>Corroborate with a dated authoritative technical record</x:v>
      </x:c>
      <x:c r="I846" s="22" t="str">
        <x:v>Not checked</x:v>
      </x:c>
      <x:c r="J846" s="22" t="str">
        <x:v>Saved bookmark metadata only</x:v>
      </x:c>
      <x:c r="K846" s="22" t="str"/>
      <x:c r="L846" s="24" t="str"/>
      <x:c r="M846" s="24" t="str">
        <x:v>https://viewdns.info/</x:v>
      </x:c>
      <x:c r="N846" s="22" t="str">
        <x:v>268401294</x:v>
      </x:c>
      <x:c r="O846" s="22" t="n">
        <x:v>1041</x:v>
      </x:c>
      <x:c r="P846" s="22" t="n">
        <x:v>17</x:v>
      </x:c>
      <x:c r="Q846" s="22" t="str"/>
      <x:c r="R846" s="22" t="n">
        <x:f>COUNTIF($M$6:$M$1177,M846)</x:f>
        <x:v>2</x:v>
      </x:c>
      <x:c r="S846" s="22" t="str">
        <x:v>Other / utility</x:v>
      </x:c>
      <x:c r="T846" s="22" t="str">
        <x:v>Low</x:v>
      </x:c>
    </x:row>
    <x:row r="847" ht="48" customHeight="1">
      <x:c r="A847" s="22" t="n">
        <x:v>842</x:v>
      </x:c>
      <x:c r="B847" s="22" t="str">
        <x:v>Robtex</x:v>
      </x:c>
      <x:c r="C847" s="31" t="str">
        <x:v>U</x:v>
      </x:c>
      <x:c r="D847" s="22" t="str">
        <x:v>Unassessed</x:v>
      </x:c>
      <x:c r="E847" s="22" t="str">
        <x:v>DOMAIN / IP / DNS</x:v>
      </x:c>
      <x:c r="F847" s="22" t="str">
        <x:v>Technical infrastructure observations</x:v>
      </x:c>
      <x:c r="G847" s="22" t="str">
        <x:v>Shared hosting, reused addresses or an old record do not prove common ownership.</x:v>
      </x:c>
      <x:c r="H847" s="22" t="str">
        <x:v>Verify publisher, source and current function before reliance</x:v>
      </x:c>
      <x:c r="I847" s="22" t="str">
        <x:v>Not checked</x:v>
      </x:c>
      <x:c r="J847" s="22" t="str">
        <x:v>Saved bookmark metadata only</x:v>
      </x:c>
      <x:c r="K847" s="22" t="str"/>
      <x:c r="L847" s="24" t="str"/>
      <x:c r="M847" s="24" t="str">
        <x:v>https://www.robtex.com/</x:v>
      </x:c>
      <x:c r="N847" s="22" t="str">
        <x:v>268401298</x:v>
      </x:c>
      <x:c r="O847" s="22" t="n">
        <x:v>1041</x:v>
      </x:c>
      <x:c r="P847" s="22" t="n">
        <x:v>18</x:v>
      </x:c>
      <x:c r="Q847" s="22" t="str"/>
      <x:c r="R847" s="22" t="n">
        <x:f>COUNTIF($M$6:$M$1177,M847)</x:f>
        <x:v>1</x:v>
      </x:c>
      <x:c r="S847" s="22" t="str">
        <x:v>Other / utility</x:v>
      </x:c>
      <x:c r="T847" s="22" t="str">
        <x:v>Not established</x:v>
      </x:c>
    </x:row>
    <x:row r="848" ht="48" customHeight="1">
      <x:c r="A848" s="22" t="n">
        <x:v>843</x:v>
      </x:c>
      <x:c r="B848" s="22" t="str">
        <x:v>Website search tool</x:v>
      </x:c>
      <x:c r="C848" s="43" t="str">
        <x:v>C-P</x:v>
      </x:c>
      <x:c r="D848" s="22" t="str">
        <x:v>Provisional</x:v>
      </x:c>
      <x:c r="E848" s="22" t="str">
        <x:v>DOMAIN / IP / DNS</x:v>
      </x:c>
      <x:c r="F848" s="22" t="str">
        <x:v>Technical infrastructure observations</x:v>
      </x:c>
      <x:c r="G848" s="22" t="str">
        <x:v>Shared hosting, reused addresses or an old record do not prove common ownership. Exact output and coverage were not tested.</x:v>
      </x:c>
      <x:c r="H848" s="22" t="str">
        <x:v>Corroborate with a dated authoritative technical record</x:v>
      </x:c>
      <x:c r="I848" s="22" t="str">
        <x:v>Not checked</x:v>
      </x:c>
      <x:c r="J848" s="22" t="str">
        <x:v>Saved bookmark metadata only</x:v>
      </x:c>
      <x:c r="K848" s="22" t="str"/>
      <x:c r="L848" s="24" t="str"/>
      <x:c r="M848" s="24" t="str">
        <x:v>https://www.aware-online.com/en/osint-tools/website-search-tool/</x:v>
      </x:c>
      <x:c r="N848" s="22" t="str">
        <x:v>268402468</x:v>
      </x:c>
      <x:c r="O848" s="22" t="n">
        <x:v>1041</x:v>
      </x:c>
      <x:c r="P848" s="22" t="n">
        <x:v>19</x:v>
      </x:c>
      <x:c r="Q848" s="22" t="str"/>
      <x:c r="R848" s="22" t="n">
        <x:f>COUNTIF($M$6:$M$1177,M848)</x:f>
        <x:v>1</x:v>
      </x:c>
      <x:c r="S848" s="22" t="str">
        <x:v>Other / utility</x:v>
      </x:c>
      <x:c r="T848" s="22" t="str">
        <x:v>Low</x:v>
      </x:c>
    </x:row>
    <x:row r="849" ht="48" customHeight="1">
      <x:c r="A849" s="22" t="n">
        <x:v>844</x:v>
      </x:c>
      <x:c r="B849" s="22" t="str">
        <x:v>Wappalyzer</x:v>
      </x:c>
      <x:c r="C849" s="31" t="str">
        <x:v>U</x:v>
      </x:c>
      <x:c r="D849" s="22" t="str">
        <x:v>Unassessed</x:v>
      </x:c>
      <x:c r="E849" s="22" t="str">
        <x:v>DOMAIN / IP / DNS</x:v>
      </x:c>
      <x:c r="F849" s="22" t="str">
        <x:v>Technical infrastructure observations</x:v>
      </x:c>
      <x:c r="G849" s="22" t="str">
        <x:v>Shared hosting, reused addresses or an old record do not prove common ownership.</x:v>
      </x:c>
      <x:c r="H849" s="22" t="str">
        <x:v>Verify publisher, source and current function before reliance</x:v>
      </x:c>
      <x:c r="I849" s="22" t="str">
        <x:v>Not checked</x:v>
      </x:c>
      <x:c r="J849" s="22" t="str">
        <x:v>Saved bookmark metadata only</x:v>
      </x:c>
      <x:c r="K849" s="22" t="str"/>
      <x:c r="L849" s="24" t="str"/>
      <x:c r="M849" s="24" t="str">
        <x:v>https://www.wappalyzer.com/lookup/</x:v>
      </x:c>
      <x:c r="N849" s="22" t="str">
        <x:v>286694937</x:v>
      </x:c>
      <x:c r="O849" s="22" t="n">
        <x:v>1041</x:v>
      </x:c>
      <x:c r="P849" s="22" t="n">
        <x:v>20</x:v>
      </x:c>
      <x:c r="Q849" s="22" t="str"/>
      <x:c r="R849" s="22" t="n">
        <x:f>COUNTIF($M$6:$M$1177,M849)</x:f>
        <x:v>1</x:v>
      </x:c>
      <x:c r="S849" s="22" t="str">
        <x:v>Other / utility</x:v>
      </x:c>
      <x:c r="T849" s="22" t="str">
        <x:v>Not established</x:v>
      </x:c>
    </x:row>
    <x:row r="850" ht="48" customHeight="1">
      <x:c r="A850" s="22" t="n">
        <x:v>845</x:v>
      </x:c>
      <x:c r="B850" s="22" t="str">
        <x:v>photon</x:v>
      </x:c>
      <x:c r="C850" s="31" t="str">
        <x:v>U</x:v>
      </x:c>
      <x:c r="D850" s="22" t="str">
        <x:v>Unassessed</x:v>
      </x:c>
      <x:c r="E850" s="22" t="str">
        <x:v>DOMAIN / IP / DNS</x:v>
      </x:c>
      <x:c r="F850" s="22" t="str">
        <x:v>Technical infrastructure observations</x:v>
      </x:c>
      <x:c r="G850" s="22" t="str">
        <x:v>Shared hosting, reused addresses or an old record do not prove common ownership.</x:v>
      </x:c>
      <x:c r="H850" s="22" t="str">
        <x:v>Verify publisher, source and current function before reliance</x:v>
      </x:c>
      <x:c r="I850" s="22" t="str">
        <x:v>Not checked</x:v>
      </x:c>
      <x:c r="J850" s="22" t="str">
        <x:v>Saved bookmark metadata only</x:v>
      </x:c>
      <x:c r="K850" s="22" t="str"/>
      <x:c r="L850" s="24" t="str"/>
      <x:c r="M850" s="24" t="str">
        <x:v>https://pypi.org/project/photon/</x:v>
      </x:c>
      <x:c r="N850" s="22" t="str">
        <x:v>268399211</x:v>
      </x:c>
      <x:c r="O850" s="22" t="n">
        <x:v>1041</x:v>
      </x:c>
      <x:c r="P850" s="22" t="n">
        <x:v>21</x:v>
      </x:c>
      <x:c r="Q850" s="22" t="str"/>
      <x:c r="R850" s="22" t="n">
        <x:f>COUNTIF($M$6:$M$1177,M850)</x:f>
        <x:v>1</x:v>
      </x:c>
      <x:c r="S850" s="22" t="str">
        <x:v>Other / utility</x:v>
      </x:c>
      <x:c r="T850" s="22" t="str">
        <x:v>Not established</x:v>
      </x:c>
    </x:row>
    <x:row r="851" ht="48" customHeight="1">
      <x:c r="A851" s="22" t="n">
        <x:v>846</x:v>
      </x:c>
      <x:c r="B851" s="22" t="str">
        <x:v>Technology Lookup</x:v>
      </x:c>
      <x:c r="C851" s="43" t="str">
        <x:v>C-P</x:v>
      </x:c>
      <x:c r="D851" s="22" t="str">
        <x:v>Provisional</x:v>
      </x:c>
      <x:c r="E851" s="22" t="str">
        <x:v>DOMAIN / IP / DNS</x:v>
      </x:c>
      <x:c r="F851" s="22" t="str">
        <x:v>Technical infrastructure observations</x:v>
      </x:c>
      <x:c r="G851" s="22" t="str">
        <x:v>Shared hosting, reused addresses or an old record do not prove common ownership. Exact output and coverage were not tested.</x:v>
      </x:c>
      <x:c r="H851" s="22" t="str">
        <x:v>Corroborate with a dated authoritative technical record</x:v>
      </x:c>
      <x:c r="I851" s="22" t="str">
        <x:v>Not checked</x:v>
      </x:c>
      <x:c r="J851" s="22" t="str">
        <x:v>Saved bookmark metadata only</x:v>
      </x:c>
      <x:c r="K851" s="22" t="str"/>
      <x:c r="L851" s="24" t="str"/>
      <x:c r="M851" s="24" t="str">
        <x:v>https://osint.sh/stack/</x:v>
      </x:c>
      <x:c r="N851" s="22" t="str">
        <x:v>286694929</x:v>
      </x:c>
      <x:c r="O851" s="22" t="n">
        <x:v>1041</x:v>
      </x:c>
      <x:c r="P851" s="22" t="n">
        <x:v>22</x:v>
      </x:c>
      <x:c r="Q851" s="22" t="str"/>
      <x:c r="R851" s="22" t="n">
        <x:f>COUNTIF($M$6:$M$1177,M851)</x:f>
        <x:v>1</x:v>
      </x:c>
      <x:c r="S851" s="22" t="str">
        <x:v>Other / utility</x:v>
      </x:c>
      <x:c r="T851" s="22" t="str">
        <x:v>Low</x:v>
      </x:c>
    </x:row>
    <x:row r="852" ht="48" customHeight="1">
      <x:c r="A852" s="22" t="n">
        <x:v>847</x:v>
      </x:c>
      <x:c r="B852" s="22" t="str">
        <x:v>BuiltWith Technology Lookup</x:v>
      </x:c>
      <x:c r="C852" s="43" t="str">
        <x:v>C-P</x:v>
      </x:c>
      <x:c r="D852" s="22" t="str">
        <x:v>Provisional</x:v>
      </x:c>
      <x:c r="E852" s="22" t="str">
        <x:v>DOMAIN / IP / DNS</x:v>
      </x:c>
      <x:c r="F852" s="22" t="str">
        <x:v>Technical infrastructure observations</x:v>
      </x:c>
      <x:c r="G852" s="22" t="str">
        <x:v>Shared hosting, reused addresses or an old record do not prove common ownership. Exact output and coverage were not tested.</x:v>
      </x:c>
      <x:c r="H852" s="22" t="str">
        <x:v>Corroborate with a dated authoritative technical record</x:v>
      </x:c>
      <x:c r="I852" s="22" t="str">
        <x:v>Not checked</x:v>
      </x:c>
      <x:c r="J852" s="22" t="str">
        <x:v>Saved bookmark metadata only</x:v>
      </x:c>
      <x:c r="K852" s="22" t="str"/>
      <x:c r="L852" s="24" t="str"/>
      <x:c r="M852" s="24" t="str">
        <x:v>https://builtwith.com/</x:v>
      </x:c>
      <x:c r="N852" s="22" t="str">
        <x:v>268403654</x:v>
      </x:c>
      <x:c r="O852" s="22" t="n">
        <x:v>1041</x:v>
      </x:c>
      <x:c r="P852" s="22" t="n">
        <x:v>23</x:v>
      </x:c>
      <x:c r="Q852" s="22" t="str"/>
      <x:c r="R852" s="22" t="n">
        <x:f>COUNTIF($M$6:$M$1177,M852)</x:f>
        <x:v>1</x:v>
      </x:c>
      <x:c r="S852" s="22" t="str">
        <x:v>Other / utility</x:v>
      </x:c>
      <x:c r="T852" s="22" t="str">
        <x:v>Low</x:v>
      </x:c>
    </x:row>
    <x:row r="853" ht="48" customHeight="1">
      <x:c r="A853" s="22" t="n">
        <x:v>848</x:v>
      </x:c>
      <x:c r="B853" s="22" t="str">
        <x:v>NMAP Online</x:v>
      </x:c>
      <x:c r="C853" s="31" t="str">
        <x:v>U</x:v>
      </x:c>
      <x:c r="D853" s="22" t="str">
        <x:v>Unassessed</x:v>
      </x:c>
      <x:c r="E853" s="22" t="str">
        <x:v>DOMAIN / IP / DNS</x:v>
      </x:c>
      <x:c r="F853" s="22" t="str">
        <x:v>Technical infrastructure observations</x:v>
      </x:c>
      <x:c r="G853" s="22" t="str">
        <x:v>Shared hosting, reused addresses or an old record do not prove common ownership.</x:v>
      </x:c>
      <x:c r="H853" s="22" t="str">
        <x:v>Verify publisher, source and current function before reliance</x:v>
      </x:c>
      <x:c r="I853" s="22" t="str">
        <x:v>Not checked</x:v>
      </x:c>
      <x:c r="J853" s="22" t="str">
        <x:v>Saved bookmark metadata only</x:v>
      </x:c>
      <x:c r="K853" s="22" t="str"/>
      <x:c r="L853" s="24" t="str"/>
      <x:c r="M853" s="24" t="str">
        <x:v>https://osint.sh/nmap/</x:v>
      </x:c>
      <x:c r="N853" s="22" t="str">
        <x:v>286694910</x:v>
      </x:c>
      <x:c r="O853" s="22" t="n">
        <x:v>1041</x:v>
      </x:c>
      <x:c r="P853" s="22" t="n">
        <x:v>24</x:v>
      </x:c>
      <x:c r="Q853" s="22" t="str"/>
      <x:c r="R853" s="22" t="n">
        <x:f>COUNTIF($M$6:$M$1177,M853)</x:f>
        <x:v>1</x:v>
      </x:c>
      <x:c r="S853" s="22" t="str">
        <x:v>Other / utility</x:v>
      </x:c>
      <x:c r="T853" s="22" t="str">
        <x:v>Not established</x:v>
      </x:c>
    </x:row>
    <x:row r="854" ht="48" customHeight="1">
      <x:c r="A854" s="22" t="n">
        <x:v>849</x:v>
      </x:c>
      <x:c r="B854" s="22" t="str">
        <x:v>Nmap Checker Tool</x:v>
      </x:c>
      <x:c r="C854" s="31" t="str">
        <x:v>U</x:v>
      </x:c>
      <x:c r="D854" s="22" t="str">
        <x:v>Unassessed</x:v>
      </x:c>
      <x:c r="E854" s="22" t="str">
        <x:v>DOMAIN / IP / DNS</x:v>
      </x:c>
      <x:c r="F854" s="22" t="str">
        <x:v>Technical infrastructure observations</x:v>
      </x:c>
      <x:c r="G854" s="22" t="str">
        <x:v>Shared hosting, reused addresses or an old record do not prove common ownership.</x:v>
      </x:c>
      <x:c r="H854" s="22" t="str">
        <x:v>Verify publisher, source and current function before reliance</x:v>
      </x:c>
      <x:c r="I854" s="22" t="str">
        <x:v>Not checked</x:v>
      </x:c>
      <x:c r="J854" s="22" t="str">
        <x:v>Saved bookmark metadata only</x:v>
      </x:c>
      <x:c r="K854" s="22" t="str"/>
      <x:c r="L854" s="24" t="str"/>
      <x:c r="M854" s="24" t="str">
        <x:v>https://shadowcrypt.net/tools/nmap</x:v>
      </x:c>
      <x:c r="N854" s="22" t="str">
        <x:v>286694902</x:v>
      </x:c>
      <x:c r="O854" s="22" t="n">
        <x:v>1041</x:v>
      </x:c>
      <x:c r="P854" s="22" t="n">
        <x:v>25</x:v>
      </x:c>
      <x:c r="Q854" s="22" t="str"/>
      <x:c r="R854" s="22" t="n">
        <x:f>COUNTIF($M$6:$M$1177,M854)</x:f>
        <x:v>1</x:v>
      </x:c>
      <x:c r="S854" s="22" t="str">
        <x:v>Other / utility</x:v>
      </x:c>
      <x:c r="T854" s="22" t="str">
        <x:v>Not established</x:v>
      </x:c>
    </x:row>
    <x:row r="855" ht="48" customHeight="1">
      <x:c r="A855" s="22" t="n">
        <x:v>850</x:v>
      </x:c>
      <x:c r="B855" s="22" t="str">
        <x:v>Free online network tools</x:v>
      </x:c>
      <x:c r="C855" s="31" t="str">
        <x:v>U</x:v>
      </x:c>
      <x:c r="D855" s="22" t="str">
        <x:v>Unassessed</x:v>
      </x:c>
      <x:c r="E855" s="22" t="str">
        <x:v>DOMAIN / IP / DNS</x:v>
      </x:c>
      <x:c r="F855" s="22" t="str">
        <x:v>Technical infrastructure observations</x:v>
      </x:c>
      <x:c r="G855" s="22" t="str">
        <x:v>Shared hosting, reused addresses or an old record do not prove common ownership.</x:v>
      </x:c>
      <x:c r="H855" s="22" t="str">
        <x:v>Verify publisher, source and current function before reliance</x:v>
      </x:c>
      <x:c r="I855" s="22" t="str">
        <x:v>Not checked</x:v>
      </x:c>
      <x:c r="J855" s="22" t="str">
        <x:v>Saved bookmark metadata only</x:v>
      </x:c>
      <x:c r="K855" s="22" t="str"/>
      <x:c r="L855" s="24" t="str"/>
      <x:c r="M855" s="24" t="str">
        <x:v>https://centralops.net/co/</x:v>
      </x:c>
      <x:c r="N855" s="22" t="str">
        <x:v>268408800</x:v>
      </x:c>
      <x:c r="O855" s="22" t="n">
        <x:v>1041</x:v>
      </x:c>
      <x:c r="P855" s="22" t="n">
        <x:v>26</x:v>
      </x:c>
      <x:c r="Q855" s="22" t="str"/>
      <x:c r="R855" s="22" t="n">
        <x:f>COUNTIF($M$6:$M$1177,M855)</x:f>
        <x:v>1</x:v>
      </x:c>
      <x:c r="S855" s="22" t="str">
        <x:v>Other / utility</x:v>
      </x:c>
      <x:c r="T855" s="22" t="str">
        <x:v>Not established</x:v>
      </x:c>
    </x:row>
    <x:row r="856" ht="48" customHeight="1">
      <x:c r="A856" s="22" t="n">
        <x:v>851</x:v>
      </x:c>
      <x:c r="B856" s="22" t="str">
        <x:v>Google Transparency Report</x:v>
      </x:c>
      <x:c r="C856" s="31" t="str">
        <x:v>U</x:v>
      </x:c>
      <x:c r="D856" s="22" t="str">
        <x:v>Unassessed</x:v>
      </x:c>
      <x:c r="E856" s="22" t="str">
        <x:v>DOMAIN / IP / DNS</x:v>
      </x:c>
      <x:c r="F856" s="22" t="str">
        <x:v>Technical infrastructure observations</x:v>
      </x:c>
      <x:c r="G856" s="22" t="str">
        <x:v>Shared hosting, reused addresses or an old record do not prove common ownership.</x:v>
      </x:c>
      <x:c r="H856" s="22" t="str">
        <x:v>Verify publisher, source and current function before reliance</x:v>
      </x:c>
      <x:c r="I856" s="22" t="str">
        <x:v>Not checked</x:v>
      </x:c>
      <x:c r="J856" s="22" t="str">
        <x:v>Saved bookmark metadata only</x:v>
      </x:c>
      <x:c r="K856" s="22" t="str"/>
      <x:c r="L856" s="24" t="str"/>
      <x:c r="M856" s="24" t="str">
        <x:v>https://transparencyreport.google.com/https/certificates</x:v>
      </x:c>
      <x:c r="N856" s="22" t="str">
        <x:v>268408626</x:v>
      </x:c>
      <x:c r="O856" s="22" t="n">
        <x:v>1041</x:v>
      </x:c>
      <x:c r="P856" s="22" t="n">
        <x:v>27</x:v>
      </x:c>
      <x:c r="Q856" s="22" t="str"/>
      <x:c r="R856" s="22" t="n">
        <x:f>COUNTIF($M$6:$M$1177,M856)</x:f>
        <x:v>1</x:v>
      </x:c>
      <x:c r="S856" s="22" t="str">
        <x:v>Other / utility</x:v>
      </x:c>
      <x:c r="T856" s="22" t="str">
        <x:v>Not established</x:v>
      </x:c>
    </x:row>
    <x:row r="857" ht="48" customHeight="1">
      <x:c r="A857" s="22" t="n">
        <x:v>852</x:v>
      </x:c>
      <x:c r="B857" s="22" t="str">
        <x:v>Certificate Search</x:v>
      </x:c>
      <x:c r="C857" s="43" t="str">
        <x:v>C-P</x:v>
      </x:c>
      <x:c r="D857" s="22" t="str">
        <x:v>Provisional</x:v>
      </x:c>
      <x:c r="E857" s="22" t="str">
        <x:v>DOMAIN / IP / DNS</x:v>
      </x:c>
      <x:c r="F857" s="22" t="str">
        <x:v>Technical infrastructure observations</x:v>
      </x:c>
      <x:c r="G857" s="22" t="str">
        <x:v>Shared hosting, reused addresses or an old record do not prove common ownership. Exact output and coverage were not tested.</x:v>
      </x:c>
      <x:c r="H857" s="22" t="str">
        <x:v>Corroborate with a dated authoritative technical record</x:v>
      </x:c>
      <x:c r="I857" s="22" t="str">
        <x:v>Not checked</x:v>
      </x:c>
      <x:c r="J857" s="22" t="str">
        <x:v>Saved bookmark metadata only</x:v>
      </x:c>
      <x:c r="K857" s="22" t="str"/>
      <x:c r="L857" s="24" t="str"/>
      <x:c r="M857" s="24" t="str">
        <x:v>https://osint.sh/crt/</x:v>
      </x:c>
      <x:c r="N857" s="22" t="str">
        <x:v>286694926</x:v>
      </x:c>
      <x:c r="O857" s="22" t="n">
        <x:v>1041</x:v>
      </x:c>
      <x:c r="P857" s="22" t="n">
        <x:v>28</x:v>
      </x:c>
      <x:c r="Q857" s="22" t="str"/>
      <x:c r="R857" s="22" t="n">
        <x:f>COUNTIF($M$6:$M$1177,M857)</x:f>
        <x:v>1</x:v>
      </x:c>
      <x:c r="S857" s="22" t="str">
        <x:v>Other / utility</x:v>
      </x:c>
      <x:c r="T857" s="22" t="str">
        <x:v>Low</x:v>
      </x:c>
    </x:row>
    <x:row r="858" ht="48" customHeight="1">
      <x:c r="A858" s="22" t="n">
        <x:v>853</x:v>
      </x:c>
      <x:c r="B858" s="22" t="str">
        <x:v>CRT</x:v>
      </x:c>
      <x:c r="C858" s="31" t="str">
        <x:v>U</x:v>
      </x:c>
      <x:c r="D858" s="22" t="str">
        <x:v>Unassessed</x:v>
      </x:c>
      <x:c r="E858" s="22" t="str">
        <x:v>DOMAIN / IP / DNS</x:v>
      </x:c>
      <x:c r="F858" s="22" t="str">
        <x:v>Technical infrastructure observations</x:v>
      </x:c>
      <x:c r="G858" s="22" t="str">
        <x:v>Shared hosting, reused addresses or an old record do not prove common ownership.</x:v>
      </x:c>
      <x:c r="H858" s="22" t="str">
        <x:v>Verify publisher, source and current function before reliance</x:v>
      </x:c>
      <x:c r="I858" s="22" t="str">
        <x:v>Not checked</x:v>
      </x:c>
      <x:c r="J858" s="22" t="str">
        <x:v>Saved bookmark metadata only</x:v>
      </x:c>
      <x:c r="K858" s="22" t="str"/>
      <x:c r="L858" s="24" t="str"/>
      <x:c r="M858" s="24" t="str">
        <x:v>https://crt.sh/</x:v>
      </x:c>
      <x:c r="N858" s="22" t="str">
        <x:v>268408827</x:v>
      </x:c>
      <x:c r="O858" s="22" t="n">
        <x:v>1041</x:v>
      </x:c>
      <x:c r="P858" s="22" t="n">
        <x:v>29</x:v>
      </x:c>
      <x:c r="Q858" s="22" t="str"/>
      <x:c r="R858" s="22" t="n">
        <x:f>COUNTIF($M$6:$M$1177,M858)</x:f>
        <x:v>1</x:v>
      </x:c>
      <x:c r="S858" s="22" t="str">
        <x:v>Other / utility</x:v>
      </x:c>
      <x:c r="T858" s="22" t="str">
        <x:v>Not established</x:v>
      </x:c>
    </x:row>
    <x:row r="859" ht="48" customHeight="1">
      <x:c r="A859" s="22" t="n">
        <x:v>854</x:v>
      </x:c>
      <x:c r="B859" s="22" t="str">
        <x:v>LeakIX</x:v>
      </x:c>
      <x:c r="C859" s="31" t="str">
        <x:v>U</x:v>
      </x:c>
      <x:c r="D859" s="22" t="str">
        <x:v>Unassessed</x:v>
      </x:c>
      <x:c r="E859" s="22" t="str">
        <x:v>DOMAIN / IP / DNS</x:v>
      </x:c>
      <x:c r="F859" s="22" t="str">
        <x:v>Technical infrastructure observations</x:v>
      </x:c>
      <x:c r="G859" s="22" t="str">
        <x:v>Shared hosting, reused addresses or an old record do not prove common ownership.</x:v>
      </x:c>
      <x:c r="H859" s="22" t="str">
        <x:v>Verify publisher, source and current function before reliance</x:v>
      </x:c>
      <x:c r="I859" s="22" t="str">
        <x:v>Not checked</x:v>
      </x:c>
      <x:c r="J859" s="22" t="str">
        <x:v>Saved bookmark metadata only</x:v>
      </x:c>
      <x:c r="K859" s="22" t="str"/>
      <x:c r="L859" s="24" t="str"/>
      <x:c r="M859" s="24" t="str">
        <x:v>https://leakix.net/</x:v>
      </x:c>
      <x:c r="N859" s="22" t="str">
        <x:v>268507428</x:v>
      </x:c>
      <x:c r="O859" s="22" t="n">
        <x:v>1041</x:v>
      </x:c>
      <x:c r="P859" s="22" t="n">
        <x:v>30</x:v>
      </x:c>
      <x:c r="Q859" s="22" t="str"/>
      <x:c r="R859" s="22" t="n">
        <x:f>COUNTIF($M$6:$M$1177,M859)</x:f>
        <x:v>1</x:v>
      </x:c>
      <x:c r="S859" s="22" t="str">
        <x:v>Other / utility</x:v>
      </x:c>
      <x:c r="T859" s="22" t="str">
        <x:v>Not established</x:v>
      </x:c>
    </x:row>
    <x:row r="860" ht="48" customHeight="1">
      <x:c r="A860" s="22" t="n">
        <x:v>855</x:v>
      </x:c>
      <x:c r="B860" s="22" t="str">
        <x:v>DomainWatch</x:v>
      </x:c>
      <x:c r="C860" s="31" t="str">
        <x:v>U</x:v>
      </x:c>
      <x:c r="D860" s="22" t="str">
        <x:v>Unassessed</x:v>
      </x:c>
      <x:c r="E860" s="22" t="str">
        <x:v>DOMAIN / IP / DNS</x:v>
      </x:c>
      <x:c r="F860" s="22" t="str">
        <x:v>Technical infrastructure observations</x:v>
      </x:c>
      <x:c r="G860" s="22" t="str">
        <x:v>Shared hosting, reused addresses or an old record do not prove common ownership.</x:v>
      </x:c>
      <x:c r="H860" s="22" t="str">
        <x:v>Verify publisher, source and current function before reliance</x:v>
      </x:c>
      <x:c r="I860" s="22" t="str">
        <x:v>Not checked</x:v>
      </x:c>
      <x:c r="J860" s="22" t="str">
        <x:v>Saved bookmark metadata only</x:v>
      </x:c>
      <x:c r="K860" s="22" t="str"/>
      <x:c r="L860" s="24" t="str"/>
      <x:c r="M860" s="24" t="str">
        <x:v>https://domainwat.ch/</x:v>
      </x:c>
      <x:c r="N860" s="22" t="str">
        <x:v>268507470</x:v>
      </x:c>
      <x:c r="O860" s="22" t="n">
        <x:v>1041</x:v>
      </x:c>
      <x:c r="P860" s="22" t="n">
        <x:v>31</x:v>
      </x:c>
      <x:c r="Q860" s="22" t="str"/>
      <x:c r="R860" s="22" t="n">
        <x:f>COUNTIF($M$6:$M$1177,M860)</x:f>
        <x:v>1</x:v>
      </x:c>
      <x:c r="S860" s="22" t="str">
        <x:v>Other / utility</x:v>
      </x:c>
      <x:c r="T860" s="22" t="str">
        <x:v>Not established</x:v>
      </x:c>
    </x:row>
    <x:row r="861" ht="48" customHeight="1">
      <x:c r="A861" s="22" t="n">
        <x:v>856</x:v>
      </x:c>
      <x:c r="B861" s="22" t="str">
        <x:v>URL and website scanner</x:v>
      </x:c>
      <x:c r="C861" s="31" t="str">
        <x:v>U</x:v>
      </x:c>
      <x:c r="D861" s="22" t="str">
        <x:v>Unassessed</x:v>
      </x:c>
      <x:c r="E861" s="22" t="str">
        <x:v>DOMAIN / IP / DNS</x:v>
      </x:c>
      <x:c r="F861" s="22" t="str">
        <x:v>Technical infrastructure observations</x:v>
      </x:c>
      <x:c r="G861" s="22" t="str">
        <x:v>Shared hosting, reused addresses or an old record do not prove common ownership.</x:v>
      </x:c>
      <x:c r="H861" s="22" t="str">
        <x:v>Verify publisher, source and current function before reliance</x:v>
      </x:c>
      <x:c r="I861" s="22" t="str">
        <x:v>Not checked</x:v>
      </x:c>
      <x:c r="J861" s="22" t="str">
        <x:v>Saved bookmark metadata only</x:v>
      </x:c>
      <x:c r="K861" s="22" t="str"/>
      <x:c r="L861" s="24" t="str"/>
      <x:c r="M861" s="24" t="str">
        <x:v>https://urlscan.io/</x:v>
      </x:c>
      <x:c r="N861" s="22" t="str">
        <x:v>268507699</x:v>
      </x:c>
      <x:c r="O861" s="22" t="n">
        <x:v>1041</x:v>
      </x:c>
      <x:c r="P861" s="22" t="n">
        <x:v>32</x:v>
      </x:c>
      <x:c r="Q861" s="22" t="str"/>
      <x:c r="R861" s="22" t="n">
        <x:f>COUNTIF($M$6:$M$1177,M861)</x:f>
        <x:v>1</x:v>
      </x:c>
      <x:c r="S861" s="22" t="str">
        <x:v>Other / utility</x:v>
      </x:c>
      <x:c r="T861" s="22" t="str">
        <x:v>Not established</x:v>
      </x:c>
    </x:row>
    <x:row r="862" ht="48" customHeight="1">
      <x:c r="A862" s="22" t="n">
        <x:v>857</x:v>
      </x:c>
      <x:c r="B862" s="22" t="str">
        <x:v>dnsdumpster</x:v>
      </x:c>
      <x:c r="C862" s="43" t="str">
        <x:v>C-P</x:v>
      </x:c>
      <x:c r="D862" s="22" t="str">
        <x:v>Provisional</x:v>
      </x:c>
      <x:c r="E862" s="22" t="str">
        <x:v>DOMAIN / IP / DNS</x:v>
      </x:c>
      <x:c r="F862" s="22" t="str">
        <x:v>Technical infrastructure observations</x:v>
      </x:c>
      <x:c r="G862" s="22" t="str">
        <x:v>Shared hosting, reused addresses or an old record do not prove common ownership. Exact output and coverage were not tested.</x:v>
      </x:c>
      <x:c r="H862" s="22" t="str">
        <x:v>Corroborate with a dated authoritative technical record</x:v>
      </x:c>
      <x:c r="I862" s="22" t="str">
        <x:v>Not checked</x:v>
      </x:c>
      <x:c r="J862" s="22" t="str">
        <x:v>Saved bookmark metadata only</x:v>
      </x:c>
      <x:c r="K862" s="22" t="str"/>
      <x:c r="L862" s="24" t="str"/>
      <x:c r="M862" s="24" t="str">
        <x:v>https://dnsdumpster.com/</x:v>
      </x:c>
      <x:c r="N862" s="22" t="str">
        <x:v>268508039</x:v>
      </x:c>
      <x:c r="O862" s="22" t="n">
        <x:v>1041</x:v>
      </x:c>
      <x:c r="P862" s="22" t="n">
        <x:v>33</x:v>
      </x:c>
      <x:c r="Q862" s="22" t="str"/>
      <x:c r="R862" s="22" t="n">
        <x:f>COUNTIF($M$6:$M$1177,M862)</x:f>
        <x:v>1</x:v>
      </x:c>
      <x:c r="S862" s="22" t="str">
        <x:v>Other / utility</x:v>
      </x:c>
      <x:c r="T862" s="22" t="str">
        <x:v>Low</x:v>
      </x:c>
    </x:row>
    <x:row r="863" ht="48" customHeight="1">
      <x:c r="A863" s="22" t="n">
        <x:v>858</x:v>
      </x:c>
      <x:c r="B863" s="22" t="str">
        <x:v>Domain Codex</x:v>
      </x:c>
      <x:c r="C863" s="31" t="str">
        <x:v>U</x:v>
      </x:c>
      <x:c r="D863" s="22" t="str">
        <x:v>Unassessed</x:v>
      </x:c>
      <x:c r="E863" s="22" t="str">
        <x:v>DOMAIN / IP / DNS</x:v>
      </x:c>
      <x:c r="F863" s="22" t="str">
        <x:v>Technical infrastructure observations</x:v>
      </x:c>
      <x:c r="G863" s="22" t="str">
        <x:v>Shared hosting, reused addresses or an old record do not prove common ownership.</x:v>
      </x:c>
      <x:c r="H863" s="22" t="str">
        <x:v>Verify publisher, source and current function before reliance</x:v>
      </x:c>
      <x:c r="I863" s="22" t="str">
        <x:v>Not checked</x:v>
      </x:c>
      <x:c r="J863" s="22" t="str">
        <x:v>Saved bookmark metadata only</x:v>
      </x:c>
      <x:c r="K863" s="22" t="str"/>
      <x:c r="L863" s="24" t="str"/>
      <x:c r="M863" s="24" t="str">
        <x:v>https://www.domaincodex.com/search.php</x:v>
      </x:c>
      <x:c r="N863" s="22" t="str">
        <x:v>302156331</x:v>
      </x:c>
      <x:c r="O863" s="22" t="n">
        <x:v>1041</x:v>
      </x:c>
      <x:c r="P863" s="22" t="n">
        <x:v>34</x:v>
      </x:c>
      <x:c r="Q863" s="22" t="str"/>
      <x:c r="R863" s="22" t="n">
        <x:f>COUNTIF($M$6:$M$1177,M863)</x:f>
        <x:v>2</x:v>
      </x:c>
      <x:c r="S863" s="22" t="str">
        <x:v>Other / utility</x:v>
      </x:c>
      <x:c r="T863" s="22" t="str">
        <x:v>Not established</x:v>
      </x:c>
    </x:row>
    <x:row r="864" ht="48" customHeight="1">
      <x:c r="A864" s="22" t="n">
        <x:v>859</x:v>
      </x:c>
      <x:c r="B864" s="22" t="str">
        <x:v>SimilarWeb</x:v>
      </x:c>
      <x:c r="C864" s="31" t="str">
        <x:v>U</x:v>
      </x:c>
      <x:c r="D864" s="22" t="str">
        <x:v>Unassessed</x:v>
      </x:c>
      <x:c r="E864" s="22" t="str">
        <x:v>DOMAIN / IP / DNS</x:v>
      </x:c>
      <x:c r="F864" s="22" t="str">
        <x:v>Technical infrastructure observations</x:v>
      </x:c>
      <x:c r="G864" s="22" t="str">
        <x:v>Shared hosting, reused addresses or an old record do not prove common ownership.</x:v>
      </x:c>
      <x:c r="H864" s="22" t="str">
        <x:v>Verify publisher, source and current function before reliance</x:v>
      </x:c>
      <x:c r="I864" s="22" t="str">
        <x:v>Not checked</x:v>
      </x:c>
      <x:c r="J864" s="22" t="str">
        <x:v>Saved bookmark metadata only</x:v>
      </x:c>
      <x:c r="K864" s="22" t="str"/>
      <x:c r="L864" s="24" t="str"/>
      <x:c r="M864" s="24" t="str">
        <x:v>https://www.similarweb.com/</x:v>
      </x:c>
      <x:c r="N864" s="22" t="str">
        <x:v>268635766</x:v>
      </x:c>
      <x:c r="O864" s="22" t="n">
        <x:v>1041</x:v>
      </x:c>
      <x:c r="P864" s="22" t="n">
        <x:v>35</x:v>
      </x:c>
      <x:c r="Q864" s="22" t="str"/>
      <x:c r="R864" s="22" t="n">
        <x:f>COUNTIF($M$6:$M$1177,M864)</x:f>
        <x:v>1</x:v>
      </x:c>
      <x:c r="S864" s="22" t="str">
        <x:v>Other / utility</x:v>
      </x:c>
      <x:c r="T864" s="22" t="str">
        <x:v>Not established</x:v>
      </x:c>
    </x:row>
    <x:row r="865" ht="48" customHeight="1">
      <x:c r="A865" s="22" t="n">
        <x:v>860</x:v>
      </x:c>
      <x:c r="B865" s="22" t="str">
        <x:v>Alexa</x:v>
      </x:c>
      <x:c r="C865" s="31" t="str">
        <x:v>U</x:v>
      </x:c>
      <x:c r="D865" s="22" t="str">
        <x:v>Unassessed</x:v>
      </x:c>
      <x:c r="E865" s="22" t="str">
        <x:v>DOMAIN / IP / DNS</x:v>
      </x:c>
      <x:c r="F865" s="22" t="str">
        <x:v>Technical infrastructure observations</x:v>
      </x:c>
      <x:c r="G865" s="22" t="str">
        <x:v>Shared hosting, reused addresses or an old record do not prove common ownership.</x:v>
      </x:c>
      <x:c r="H865" s="22" t="str">
        <x:v>Verify publisher, source and current function before reliance</x:v>
      </x:c>
      <x:c r="I865" s="22" t="str">
        <x:v>Not checked</x:v>
      </x:c>
      <x:c r="J865" s="22" t="str">
        <x:v>Saved bookmark metadata only</x:v>
      </x:c>
      <x:c r="K865" s="22" t="str"/>
      <x:c r="L865" s="24" t="str"/>
      <x:c r="M865" s="24" t="str">
        <x:v>https://www.alexa.com/siteinfo</x:v>
      </x:c>
      <x:c r="N865" s="22" t="str">
        <x:v>268635796</x:v>
      </x:c>
      <x:c r="O865" s="22" t="n">
        <x:v>1041</x:v>
      </x:c>
      <x:c r="P865" s="22" t="n">
        <x:v>36</x:v>
      </x:c>
      <x:c r="Q865" s="22" t="str"/>
      <x:c r="R865" s="22" t="n">
        <x:f>COUNTIF($M$6:$M$1177,M865)</x:f>
        <x:v>1</x:v>
      </x:c>
      <x:c r="S865" s="22" t="str">
        <x:v>Other / utility</x:v>
      </x:c>
      <x:c r="T865" s="22" t="str">
        <x:v>Not established</x:v>
      </x:c>
    </x:row>
    <x:row r="866" ht="48" customHeight="1">
      <x:c r="A866" s="22" t="n">
        <x:v>861</x:v>
      </x:c>
      <x:c r="B866" s="22" t="str">
        <x:v>Website Information</x:v>
      </x:c>
      <x:c r="C866" s="31" t="str">
        <x:v>U</x:v>
      </x:c>
      <x:c r="D866" s="22" t="str">
        <x:v>Unassessed</x:v>
      </x:c>
      <x:c r="E866" s="22" t="str">
        <x:v>DOMAIN / IP / DNS</x:v>
      </x:c>
      <x:c r="F866" s="22" t="str">
        <x:v>Technical infrastructure observations</x:v>
      </x:c>
      <x:c r="G866" s="22" t="str">
        <x:v>Shared hosting, reused addresses or an old record do not prove common ownership.</x:v>
      </x:c>
      <x:c r="H866" s="22" t="str">
        <x:v>Verify publisher, source and current function before reliance</x:v>
      </x:c>
      <x:c r="I866" s="22" t="str">
        <x:v>Not checked</x:v>
      </x:c>
      <x:c r="J866" s="22" t="str">
        <x:v>Saved bookmark metadata only</x:v>
      </x:c>
      <x:c r="K866" s="22" t="str"/>
      <x:c r="L866" s="24" t="str"/>
      <x:c r="M866" s="24" t="str">
        <x:v>https://one-plus.github.io/WebsiteInformation</x:v>
      </x:c>
      <x:c r="N866" s="22" t="str">
        <x:v>286013827</x:v>
      </x:c>
      <x:c r="O866" s="22" t="n">
        <x:v>1041</x:v>
      </x:c>
      <x:c r="P866" s="22" t="n">
        <x:v>37</x:v>
      </x:c>
      <x:c r="Q866" s="22" t="str"/>
      <x:c r="R866" s="22" t="n">
        <x:f>COUNTIF($M$6:$M$1177,M866)</x:f>
        <x:v>1</x:v>
      </x:c>
      <x:c r="S866" s="22" t="str">
        <x:v>Other / utility</x:v>
      </x:c>
      <x:c r="T866" s="22" t="str">
        <x:v>Not established</x:v>
      </x:c>
    </x:row>
    <x:row r="867" ht="48" customHeight="1">
      <x:c r="A867" s="22" t="n">
        <x:v>862</x:v>
      </x:c>
      <x:c r="B867" s="22" t="str">
        <x:v>IP search - Network Entity Reputation Database</x:v>
      </x:c>
      <x:c r="C867" s="43" t="str">
        <x:v>C-P</x:v>
      </x:c>
      <x:c r="D867" s="22" t="str">
        <x:v>Provisional</x:v>
      </x:c>
      <x:c r="E867" s="22" t="str">
        <x:v>DOMAIN / IP / DNS</x:v>
      </x:c>
      <x:c r="F867" s="22" t="str">
        <x:v>Technical infrastructure observations</x:v>
      </x:c>
      <x:c r="G867" s="22" t="str">
        <x:v>Shared hosting, reused addresses or an old record do not prove common ownership. Exact output and coverage were not tested.</x:v>
      </x:c>
      <x:c r="H867" s="22" t="str">
        <x:v>Corroborate with a dated authoritative technical record</x:v>
      </x:c>
      <x:c r="I867" s="22" t="str">
        <x:v>Not checked</x:v>
      </x:c>
      <x:c r="J867" s="22" t="str">
        <x:v>Saved bookmark metadata only</x:v>
      </x:c>
      <x:c r="K867" s="22" t="str"/>
      <x:c r="L867" s="24" t="str"/>
      <x:c r="M867" s="24" t="str">
        <x:v>https://nerd.cesnet.cz/nerd/ips/</x:v>
      </x:c>
      <x:c r="N867" s="22" t="str">
        <x:v>286996149</x:v>
      </x:c>
      <x:c r="O867" s="22" t="n">
        <x:v>1041</x:v>
      </x:c>
      <x:c r="P867" s="22" t="n">
        <x:v>38</x:v>
      </x:c>
      <x:c r="Q867" s="22" t="str"/>
      <x:c r="R867" s="22" t="n">
        <x:f>COUNTIF($M$6:$M$1177,M867)</x:f>
        <x:v>1</x:v>
      </x:c>
      <x:c r="S867" s="22" t="str">
        <x:v>Other / utility</x:v>
      </x:c>
      <x:c r="T867" s="22" t="str">
        <x:v>Low</x:v>
      </x:c>
    </x:row>
    <x:row r="868" ht="48" customHeight="1">
      <x:c r="A868" s="22" t="n">
        <x:v>863</x:v>
      </x:c>
      <x:c r="B868" s="22" t="str">
        <x:v>Reverse Domain</x:v>
      </x:c>
      <x:c r="C868" s="43" t="str">
        <x:v>C-P</x:v>
      </x:c>
      <x:c r="D868" s="22" t="str">
        <x:v>Provisional</x:v>
      </x:c>
      <x:c r="E868" s="22" t="str">
        <x:v>DOMAIN / IP / DNS</x:v>
      </x:c>
      <x:c r="F868" s="22" t="str">
        <x:v>Technical infrastructure observations</x:v>
      </x:c>
      <x:c r="G868" s="22" t="str">
        <x:v>Shared hosting, reused addresses or an old record do not prove common ownership. Exact output and coverage were not tested.</x:v>
      </x:c>
      <x:c r="H868" s="22" t="str">
        <x:v>Corroborate with a dated authoritative technical record</x:v>
      </x:c>
      <x:c r="I868" s="22" t="str">
        <x:v>Not checked</x:v>
      </x:c>
      <x:c r="J868" s="22" t="str">
        <x:v>Saved bookmark metadata only</x:v>
      </x:c>
      <x:c r="K868" s="22" t="str"/>
      <x:c r="L868" s="24" t="str"/>
      <x:c r="M868" s="24" t="str">
        <x:v>https://osint.sh/domain/</x:v>
      </x:c>
      <x:c r="N868" s="22" t="str">
        <x:v>286695051</x:v>
      </x:c>
      <x:c r="O868" s="22" t="n">
        <x:v>1041</x:v>
      </x:c>
      <x:c r="P868" s="22" t="n">
        <x:v>39</x:v>
      </x:c>
      <x:c r="Q868" s="22" t="str"/>
      <x:c r="R868" s="22" t="n">
        <x:f>COUNTIF($M$6:$M$1177,M868)</x:f>
        <x:v>1</x:v>
      </x:c>
      <x:c r="S868" s="22" t="str">
        <x:v>Other / utility</x:v>
      </x:c>
      <x:c r="T868" s="22" t="str">
        <x:v>Low</x:v>
      </x:c>
    </x:row>
    <x:row r="869" ht="48" customHeight="1">
      <x:c r="A869" s="22" t="n">
        <x:v>864</x:v>
      </x:c>
      <x:c r="B869" s="22" t="str">
        <x:v>Poodle Check</x:v>
      </x:c>
      <x:c r="C869" s="31" t="str">
        <x:v>U</x:v>
      </x:c>
      <x:c r="D869" s="22" t="str">
        <x:v>Unassessed</x:v>
      </x:c>
      <x:c r="E869" s="22" t="str">
        <x:v>DOMAIN / IP / DNS</x:v>
      </x:c>
      <x:c r="F869" s="22" t="str">
        <x:v>Technical infrastructure observations</x:v>
      </x:c>
      <x:c r="G869" s="22" t="str">
        <x:v>Shared hosting, reused addresses or an old record do not prove common ownership.</x:v>
      </x:c>
      <x:c r="H869" s="22" t="str">
        <x:v>Verify publisher, source and current function before reliance</x:v>
      </x:c>
      <x:c r="I869" s="22" t="str">
        <x:v>Not checked</x:v>
      </x:c>
      <x:c r="J869" s="22" t="str">
        <x:v>Saved bookmark metadata only</x:v>
      </x:c>
      <x:c r="K869" s="22" t="str"/>
      <x:c r="L869" s="24" t="str"/>
      <x:c r="M869" s="24" t="str">
        <x:v>https://osint.sh/poodle/</x:v>
      </x:c>
      <x:c r="N869" s="22" t="str">
        <x:v>286695101</x:v>
      </x:c>
      <x:c r="O869" s="22" t="n">
        <x:v>1041</x:v>
      </x:c>
      <x:c r="P869" s="22" t="n">
        <x:v>40</x:v>
      </x:c>
      <x:c r="Q869" s="22" t="str"/>
      <x:c r="R869" s="22" t="n">
        <x:f>COUNTIF($M$6:$M$1177,M869)</x:f>
        <x:v>1</x:v>
      </x:c>
      <x:c r="S869" s="22" t="str">
        <x:v>Other / utility</x:v>
      </x:c>
      <x:c r="T869" s="22" t="str">
        <x:v>Not established</x:v>
      </x:c>
    </x:row>
    <x:row r="870" ht="48" customHeight="1">
      <x:c r="A870" s="22" t="n">
        <x:v>865</x:v>
      </x:c>
      <x:c r="B870" s="22" t="str">
        <x:v>Heartbleed Check</x:v>
      </x:c>
      <x:c r="C870" s="31" t="str">
        <x:v>U</x:v>
      </x:c>
      <x:c r="D870" s="22" t="str">
        <x:v>Unassessed</x:v>
      </x:c>
      <x:c r="E870" s="22" t="str">
        <x:v>DOMAIN / IP / DNS</x:v>
      </x:c>
      <x:c r="F870" s="22" t="str">
        <x:v>Technical infrastructure observations</x:v>
      </x:c>
      <x:c r="G870" s="22" t="str">
        <x:v>Shared hosting, reused addresses or an old record do not prove common ownership.</x:v>
      </x:c>
      <x:c r="H870" s="22" t="str">
        <x:v>Verify publisher, source and current function before reliance</x:v>
      </x:c>
      <x:c r="I870" s="22" t="str">
        <x:v>Not checked</x:v>
      </x:c>
      <x:c r="J870" s="22" t="str">
        <x:v>Saved bookmark metadata only</x:v>
      </x:c>
      <x:c r="K870" s="22" t="str"/>
      <x:c r="L870" s="24" t="str"/>
      <x:c r="M870" s="24" t="str">
        <x:v>https://osint.sh/heartbleed/</x:v>
      </x:c>
      <x:c r="N870" s="22" t="str">
        <x:v>286695179</x:v>
      </x:c>
      <x:c r="O870" s="22" t="n">
        <x:v>1041</x:v>
      </x:c>
      <x:c r="P870" s="22" t="n">
        <x:v>41</x:v>
      </x:c>
      <x:c r="Q870" s="22" t="str"/>
      <x:c r="R870" s="22" t="n">
        <x:f>COUNTIF($M$6:$M$1177,M870)</x:f>
        <x:v>1</x:v>
      </x:c>
      <x:c r="S870" s="22" t="str">
        <x:v>Other / utility</x:v>
      </x:c>
      <x:c r="T870" s="22" t="str">
        <x:v>Not established</x:v>
      </x:c>
    </x:row>
    <x:row r="871" ht="48" customHeight="1">
      <x:c r="A871" s="22" t="n">
        <x:v>866</x:v>
      </x:c>
      <x:c r="B871" s="22" t="str">
        <x:v>DNS History Lookup</x:v>
      </x:c>
      <x:c r="C871" s="43" t="str">
        <x:v>C-P</x:v>
      </x:c>
      <x:c r="D871" s="22" t="str">
        <x:v>Provisional</x:v>
      </x:c>
      <x:c r="E871" s="22" t="str">
        <x:v>DOMAIN / IP / DNS</x:v>
      </x:c>
      <x:c r="F871" s="22" t="str">
        <x:v>Technical infrastructure observations</x:v>
      </x:c>
      <x:c r="G871" s="22" t="str">
        <x:v>Shared hosting, reused addresses or an old record do not prove common ownership. Exact output and coverage were not tested.</x:v>
      </x:c>
      <x:c r="H871" s="22" t="str">
        <x:v>Corroborate with a dated authoritative technical record</x:v>
      </x:c>
      <x:c r="I871" s="22" t="str">
        <x:v>Not checked</x:v>
      </x:c>
      <x:c r="J871" s="22" t="str">
        <x:v>Saved bookmark metadata only</x:v>
      </x:c>
      <x:c r="K871" s="22" t="str"/>
      <x:c r="L871" s="24" t="str"/>
      <x:c r="M871" s="24" t="str">
        <x:v>https://osint.sh/dnshistory/</x:v>
      </x:c>
      <x:c r="N871" s="22" t="str">
        <x:v>286695182</x:v>
      </x:c>
      <x:c r="O871" s="22" t="n">
        <x:v>1041</x:v>
      </x:c>
      <x:c r="P871" s="22" t="n">
        <x:v>42</x:v>
      </x:c>
      <x:c r="Q871" s="22" t="str"/>
      <x:c r="R871" s="22" t="n">
        <x:f>COUNTIF($M$6:$M$1177,M871)</x:f>
        <x:v>1</x:v>
      </x:c>
      <x:c r="S871" s="22" t="str">
        <x:v>Other / utility</x:v>
      </x:c>
      <x:c r="T871" s="22" t="str">
        <x:v>Low</x:v>
      </x:c>
    </x:row>
    <x:row r="872" ht="48" customHeight="1">
      <x:c r="A872" s="22" t="n">
        <x:v>867</x:v>
      </x:c>
      <x:c r="B872" s="22" t="str">
        <x:v>Subdomain Finder</x:v>
      </x:c>
      <x:c r="C872" s="31" t="str">
        <x:v>U</x:v>
      </x:c>
      <x:c r="D872" s="22" t="str">
        <x:v>Unassessed</x:v>
      </x:c>
      <x:c r="E872" s="22" t="str">
        <x:v>DOMAIN / IP / DNS</x:v>
      </x:c>
      <x:c r="F872" s="22" t="str">
        <x:v>Technical infrastructure observations</x:v>
      </x:c>
      <x:c r="G872" s="22" t="str">
        <x:v>Shared hosting, reused addresses or an old record do not prove common ownership.</x:v>
      </x:c>
      <x:c r="H872" s="22" t="str">
        <x:v>Verify publisher, source and current function before reliance</x:v>
      </x:c>
      <x:c r="I872" s="22" t="str">
        <x:v>Not checked</x:v>
      </x:c>
      <x:c r="J872" s="22" t="str">
        <x:v>Saved bookmark metadata only</x:v>
      </x:c>
      <x:c r="K872" s="22" t="str"/>
      <x:c r="L872" s="24" t="str"/>
      <x:c r="M872" s="24" t="str">
        <x:v>https://osint.sh/subdomain/</x:v>
      </x:c>
      <x:c r="N872" s="22" t="str">
        <x:v>286695183</x:v>
      </x:c>
      <x:c r="O872" s="22" t="n">
        <x:v>1041</x:v>
      </x:c>
      <x:c r="P872" s="22" t="n">
        <x:v>43</x:v>
      </x:c>
      <x:c r="Q872" s="22" t="str"/>
      <x:c r="R872" s="22" t="n">
        <x:f>COUNTIF($M$6:$M$1177,M872)</x:f>
        <x:v>1</x:v>
      </x:c>
      <x:c r="S872" s="22" t="str">
        <x:v>Other / utility</x:v>
      </x:c>
      <x:c r="T872" s="22" t="str">
        <x:v>Not established</x:v>
      </x:c>
    </x:row>
    <x:row r="873" ht="48" customHeight="1">
      <x:c r="A873" s="22" t="n">
        <x:v>868</x:v>
      </x:c>
      <x:c r="B873" s="22" t="str">
        <x:v>Reverse IP Lookup</x:v>
      </x:c>
      <x:c r="C873" s="43" t="str">
        <x:v>C-P</x:v>
      </x:c>
      <x:c r="D873" s="22" t="str">
        <x:v>Provisional</x:v>
      </x:c>
      <x:c r="E873" s="22" t="str">
        <x:v>DOMAIN / IP / DNS</x:v>
      </x:c>
      <x:c r="F873" s="22" t="str">
        <x:v>Technical infrastructure observations</x:v>
      </x:c>
      <x:c r="G873" s="22" t="str">
        <x:v>Shared hosting, reused addresses or an old record do not prove common ownership. Exact output and coverage were not tested.</x:v>
      </x:c>
      <x:c r="H873" s="22" t="str">
        <x:v>Corroborate with a dated authoritative technical record</x:v>
      </x:c>
      <x:c r="I873" s="22" t="str">
        <x:v>Not checked</x:v>
      </x:c>
      <x:c r="J873" s="22" t="str">
        <x:v>Saved bookmark metadata only</x:v>
      </x:c>
      <x:c r="K873" s="22" t="str"/>
      <x:c r="L873" s="24" t="str"/>
      <x:c r="M873" s="24" t="str">
        <x:v>https://osint.sh/reverseip/</x:v>
      </x:c>
      <x:c r="N873" s="22" t="str">
        <x:v>286695237</x:v>
      </x:c>
      <x:c r="O873" s="22" t="n">
        <x:v>1041</x:v>
      </x:c>
      <x:c r="P873" s="22" t="n">
        <x:v>44</x:v>
      </x:c>
      <x:c r="Q873" s="22" t="str"/>
      <x:c r="R873" s="22" t="n">
        <x:f>COUNTIF($M$6:$M$1177,M873)</x:f>
        <x:v>1</x:v>
      </x:c>
      <x:c r="S873" s="22" t="str">
        <x:v>Other / utility</x:v>
      </x:c>
      <x:c r="T873" s="22" t="str">
        <x:v>Low</x:v>
      </x:c>
    </x:row>
    <x:row r="874" ht="48" customHeight="1">
      <x:c r="A874" s="22" t="n">
        <x:v>869</x:v>
      </x:c>
      <x:c r="B874" s="22" t="str">
        <x:v>Reverse Google Adsense</x:v>
      </x:c>
      <x:c r="C874" s="43" t="str">
        <x:v>C-P</x:v>
      </x:c>
      <x:c r="D874" s="22" t="str">
        <x:v>Provisional</x:v>
      </x:c>
      <x:c r="E874" s="22" t="str">
        <x:v>DOMAIN / IP / DNS</x:v>
      </x:c>
      <x:c r="F874" s="22" t="str">
        <x:v>Technical infrastructure observations</x:v>
      </x:c>
      <x:c r="G874" s="22" t="str">
        <x:v>Shared hosting, reused addresses or an old record do not prove common ownership. Exact output and coverage were not tested.</x:v>
      </x:c>
      <x:c r="H874" s="22" t="str">
        <x:v>Corroborate with a dated authoritative technical record</x:v>
      </x:c>
      <x:c r="I874" s="22" t="str">
        <x:v>Not checked</x:v>
      </x:c>
      <x:c r="J874" s="22" t="str">
        <x:v>Saved bookmark metadata only</x:v>
      </x:c>
      <x:c r="K874" s="22" t="str"/>
      <x:c r="L874" s="24" t="str"/>
      <x:c r="M874" s="24" t="str">
        <x:v>https://osint.sh/adsense/</x:v>
      </x:c>
      <x:c r="N874" s="22" t="str">
        <x:v>286695245</x:v>
      </x:c>
      <x:c r="O874" s="22" t="n">
        <x:v>1041</x:v>
      </x:c>
      <x:c r="P874" s="22" t="n">
        <x:v>45</x:v>
      </x:c>
      <x:c r="Q874" s="22" t="str"/>
      <x:c r="R874" s="22" t="n">
        <x:f>COUNTIF($M$6:$M$1177,M874)</x:f>
        <x:v>1</x:v>
      </x:c>
      <x:c r="S874" s="22" t="str">
        <x:v>Other / utility</x:v>
      </x:c>
      <x:c r="T874" s="22" t="str">
        <x:v>Low</x:v>
      </x:c>
    </x:row>
    <x:row r="875" ht="48" customHeight="1">
      <x:c r="A875" s="22" t="n">
        <x:v>870</x:v>
      </x:c>
      <x:c r="B875" s="22" t="str">
        <x:v>Reverse Google Analytics</x:v>
      </x:c>
      <x:c r="C875" s="43" t="str">
        <x:v>C-P</x:v>
      </x:c>
      <x:c r="D875" s="22" t="str">
        <x:v>Provisional</x:v>
      </x:c>
      <x:c r="E875" s="22" t="str">
        <x:v>DOMAIN / IP / DNS</x:v>
      </x:c>
      <x:c r="F875" s="22" t="str">
        <x:v>Technical infrastructure observations</x:v>
      </x:c>
      <x:c r="G875" s="22" t="str">
        <x:v>Shared hosting, reused addresses or an old record do not prove common ownership. Exact output and coverage were not tested.</x:v>
      </x:c>
      <x:c r="H875" s="22" t="str">
        <x:v>Corroborate with a dated authoritative technical record</x:v>
      </x:c>
      <x:c r="I875" s="22" t="str">
        <x:v>Not checked</x:v>
      </x:c>
      <x:c r="J875" s="22" t="str">
        <x:v>Saved bookmark metadata only</x:v>
      </x:c>
      <x:c r="K875" s="22" t="str"/>
      <x:c r="L875" s="24" t="str"/>
      <x:c r="M875" s="24" t="str">
        <x:v>https://osint.sh/analytics/</x:v>
      </x:c>
      <x:c r="N875" s="22" t="str">
        <x:v>286695248</x:v>
      </x:c>
      <x:c r="O875" s="22" t="n">
        <x:v>1041</x:v>
      </x:c>
      <x:c r="P875" s="22" t="n">
        <x:v>46</x:v>
      </x:c>
      <x:c r="Q875" s="22" t="str"/>
      <x:c r="R875" s="22" t="n">
        <x:f>COUNTIF($M$6:$M$1177,M875)</x:f>
        <x:v>1</x:v>
      </x:c>
      <x:c r="S875" s="22" t="str">
        <x:v>Other / utility</x:v>
      </x:c>
      <x:c r="T875" s="22" t="str">
        <x:v>Low</x:v>
      </x:c>
    </x:row>
    <x:row r="876" ht="48" customHeight="1">
      <x:c r="A876" s="22" t="n">
        <x:v>871</x:v>
      </x:c>
      <x:c r="B876" s="22" t="str">
        <x:v>Reverse MX Record</x:v>
      </x:c>
      <x:c r="C876" s="43" t="str">
        <x:v>C-P</x:v>
      </x:c>
      <x:c r="D876" s="22" t="str">
        <x:v>Provisional</x:v>
      </x:c>
      <x:c r="E876" s="22" t="str">
        <x:v>DOMAIN / IP / DNS</x:v>
      </x:c>
      <x:c r="F876" s="22" t="str">
        <x:v>Technical infrastructure observations</x:v>
      </x:c>
      <x:c r="G876" s="22" t="str">
        <x:v>Shared hosting, reused addresses or an old record do not prove common ownership. Exact output and coverage were not tested.</x:v>
      </x:c>
      <x:c r="H876" s="22" t="str">
        <x:v>Corroborate with a dated authoritative technical record</x:v>
      </x:c>
      <x:c r="I876" s="22" t="str">
        <x:v>Not checked</x:v>
      </x:c>
      <x:c r="J876" s="22" t="str">
        <x:v>Saved bookmark metadata only</x:v>
      </x:c>
      <x:c r="K876" s="22" t="str"/>
      <x:c r="L876" s="24" t="str"/>
      <x:c r="M876" s="24" t="str">
        <x:v>https://osint.sh/reversemx/</x:v>
      </x:c>
      <x:c r="N876" s="22" t="str">
        <x:v>286695249</x:v>
      </x:c>
      <x:c r="O876" s="22" t="n">
        <x:v>1041</x:v>
      </x:c>
      <x:c r="P876" s="22" t="n">
        <x:v>47</x:v>
      </x:c>
      <x:c r="Q876" s="22" t="str"/>
      <x:c r="R876" s="22" t="n">
        <x:f>COUNTIF($M$6:$M$1177,M876)</x:f>
        <x:v>1</x:v>
      </x:c>
      <x:c r="S876" s="22" t="str">
        <x:v>Other / utility</x:v>
      </x:c>
      <x:c r="T876" s="22" t="str">
        <x:v>Low</x:v>
      </x:c>
    </x:row>
    <x:row r="877" ht="48" customHeight="1">
      <x:c r="A877" s="22" t="n">
        <x:v>872</x:v>
      </x:c>
      <x:c r="B877" s="22" t="str">
        <x:v>IP GEO Location Lookup</x:v>
      </x:c>
      <x:c r="C877" s="43" t="str">
        <x:v>C-P</x:v>
      </x:c>
      <x:c r="D877" s="22" t="str">
        <x:v>Provisional</x:v>
      </x:c>
      <x:c r="E877" s="22" t="str">
        <x:v>DOMAIN / IP / DNS</x:v>
      </x:c>
      <x:c r="F877" s="22" t="str">
        <x:v>Technical infrastructure observations</x:v>
      </x:c>
      <x:c r="G877" s="22" t="str">
        <x:v>Shared hosting, reused addresses or an old record do not prove common ownership. Exact output and coverage were not tested.</x:v>
      </x:c>
      <x:c r="H877" s="22" t="str">
        <x:v>Corroborate with a dated authoritative technical record</x:v>
      </x:c>
      <x:c r="I877" s="22" t="str">
        <x:v>Not checked</x:v>
      </x:c>
      <x:c r="J877" s="22" t="str">
        <x:v>Saved bookmark metadata only</x:v>
      </x:c>
      <x:c r="K877" s="22" t="str"/>
      <x:c r="L877" s="24" t="str"/>
      <x:c r="M877" s="24" t="str">
        <x:v>https://osint.sh/ip/</x:v>
      </x:c>
      <x:c r="N877" s="22" t="str">
        <x:v>286695265</x:v>
      </x:c>
      <x:c r="O877" s="22" t="n">
        <x:v>1041</x:v>
      </x:c>
      <x:c r="P877" s="22" t="n">
        <x:v>48</x:v>
      </x:c>
      <x:c r="Q877" s="22" t="str"/>
      <x:c r="R877" s="22" t="n">
        <x:f>COUNTIF($M$6:$M$1177,M877)</x:f>
        <x:v>1</x:v>
      </x:c>
      <x:c r="S877" s="22" t="str">
        <x:v>Other / utility</x:v>
      </x:c>
      <x:c r="T877" s="22" t="str">
        <x:v>Low</x:v>
      </x:c>
    </x:row>
    <x:row r="878" ht="48" customHeight="1">
      <x:c r="A878" s="22" t="n">
        <x:v>873</x:v>
      </x:c>
      <x:c r="B878" s="22" t="str">
        <x:v>IANA — Root Zone Database</x:v>
      </x:c>
      <x:c r="C878" s="31" t="str">
        <x:v>U</x:v>
      </x:c>
      <x:c r="D878" s="22" t="str">
        <x:v>Unassessed</x:v>
      </x:c>
      <x:c r="E878" s="22" t="str">
        <x:v>DOMAIN / IP / DNS</x:v>
      </x:c>
      <x:c r="F878" s="22" t="str">
        <x:v>Technical infrastructure observations</x:v>
      </x:c>
      <x:c r="G878" s="22" t="str">
        <x:v>Shared hosting, reused addresses or an old record do not prove common ownership.</x:v>
      </x:c>
      <x:c r="H878" s="22" t="str">
        <x:v>Verify publisher, source and current function before reliance</x:v>
      </x:c>
      <x:c r="I878" s="22" t="str">
        <x:v>Not checked</x:v>
      </x:c>
      <x:c r="J878" s="22" t="str">
        <x:v>Saved bookmark metadata only</x:v>
      </x:c>
      <x:c r="K878" s="22" t="str"/>
      <x:c r="L878" s="24" t="str"/>
      <x:c r="M878" s="24" t="str">
        <x:v>https://www.iana.org/domains/root/db</x:v>
      </x:c>
      <x:c r="N878" s="22" t="str">
        <x:v>286822963</x:v>
      </x:c>
      <x:c r="O878" s="22" t="n">
        <x:v>1041</x:v>
      </x:c>
      <x:c r="P878" s="22" t="n">
        <x:v>49</x:v>
      </x:c>
      <x:c r="Q878" s="22" t="str"/>
      <x:c r="R878" s="22" t="n">
        <x:f>COUNTIF($M$6:$M$1177,M878)</x:f>
        <x:v>1</x:v>
      </x:c>
      <x:c r="S878" s="22" t="str">
        <x:v>Other / utility</x:v>
      </x:c>
      <x:c r="T878" s="22" t="str">
        <x:v>Not established</x:v>
      </x:c>
    </x:row>
    <x:row r="879" ht="48" customHeight="1">
      <x:c r="A879" s="22" t="n">
        <x:v>874</x:v>
      </x:c>
      <x:c r="B879" s="22" t="str">
        <x:v>Punkspider</x:v>
      </x:c>
      <x:c r="C879" s="31" t="str">
        <x:v>U</x:v>
      </x:c>
      <x:c r="D879" s="22" t="str">
        <x:v>Unassessed</x:v>
      </x:c>
      <x:c r="E879" s="22" t="str">
        <x:v>DOMAIN / IP / DNS</x:v>
      </x:c>
      <x:c r="F879" s="22" t="str">
        <x:v>Technical infrastructure observations</x:v>
      </x:c>
      <x:c r="G879" s="22" t="str">
        <x:v>Shared hosting, reused addresses or an old record do not prove common ownership.</x:v>
      </x:c>
      <x:c r="H879" s="22" t="str">
        <x:v>Verify publisher, source and current function before reliance</x:v>
      </x:c>
      <x:c r="I879" s="22" t="str">
        <x:v>Not checked</x:v>
      </x:c>
      <x:c r="J879" s="22" t="str">
        <x:v>Saved bookmark metadata only</x:v>
      </x:c>
      <x:c r="K879" s="22" t="str"/>
      <x:c r="L879" s="24" t="str"/>
      <x:c r="M879" s="24" t="str">
        <x:v>https://punkspider.org/</x:v>
      </x:c>
      <x:c r="N879" s="22" t="str">
        <x:v>289966020</x:v>
      </x:c>
      <x:c r="O879" s="22" t="n">
        <x:v>1041</x:v>
      </x:c>
      <x:c r="P879" s="22" t="n">
        <x:v>50</x:v>
      </x:c>
      <x:c r="Q879" s="22" t="str"/>
      <x:c r="R879" s="22" t="n">
        <x:f>COUNTIF($M$6:$M$1177,M879)</x:f>
        <x:v>1</x:v>
      </x:c>
      <x:c r="S879" s="22" t="str">
        <x:v>Other / utility</x:v>
      </x:c>
      <x:c r="T879" s="22" t="str">
        <x:v>Not established</x:v>
      </x:c>
    </x:row>
    <x:row r="880" ht="48" customHeight="1">
      <x:c r="A880" s="22" t="n">
        <x:v>875</x:v>
      </x:c>
      <x:c r="B880" s="22" t="str">
        <x:v>metabigor</x:v>
      </x:c>
      <x:c r="C880" s="31" t="str">
        <x:v>U</x:v>
      </x:c>
      <x:c r="D880" s="22" t="str">
        <x:v>Unassessed</x:v>
      </x:c>
      <x:c r="E880" s="22" t="str">
        <x:v>DOMAIN / IP / DNS</x:v>
      </x:c>
      <x:c r="F880" s="22" t="str">
        <x:v>Technical infrastructure observations</x:v>
      </x:c>
      <x:c r="G880" s="22" t="str">
        <x:v>Shared hosting, reused addresses or an old record do not prove common ownership.</x:v>
      </x:c>
      <x:c r="H880" s="22" t="str">
        <x:v>Verify publisher, source and current function before reliance</x:v>
      </x:c>
      <x:c r="I880" s="22" t="str">
        <x:v>Not checked</x:v>
      </x:c>
      <x:c r="J880" s="22" t="str">
        <x:v>Saved bookmark metadata only</x:v>
      </x:c>
      <x:c r="K880" s="22" t="str"/>
      <x:c r="L880" s="24" t="str"/>
      <x:c r="M880" s="24" t="str">
        <x:v>https://github.com/j3ssie/metabigor</x:v>
      </x:c>
      <x:c r="N880" s="22" t="str">
        <x:v>289970292</x:v>
      </x:c>
      <x:c r="O880" s="22" t="n">
        <x:v>1041</x:v>
      </x:c>
      <x:c r="P880" s="22" t="n">
        <x:v>51</x:v>
      </x:c>
      <x:c r="Q880" s="22" t="str"/>
      <x:c r="R880" s="22" t="n">
        <x:f>COUNTIF($M$6:$M$1177,M880)</x:f>
        <x:v>1</x:v>
      </x:c>
      <x:c r="S880" s="22" t="str">
        <x:v>Other / utility</x:v>
      </x:c>
      <x:c r="T880" s="22" t="str">
        <x:v>Not established</x:v>
      </x:c>
    </x:row>
    <x:row r="881" ht="48" customHeight="1">
      <x:c r="A881" s="22" t="n">
        <x:v>876</x:v>
      </x:c>
      <x:c r="B881" s="22" t="str">
        <x:v>Spyse</x:v>
      </x:c>
      <x:c r="C881" s="31" t="str">
        <x:v>U</x:v>
      </x:c>
      <x:c r="D881" s="22" t="str">
        <x:v>Unassessed</x:v>
      </x:c>
      <x:c r="E881" s="22" t="str">
        <x:v>DOMAIN / IP / DNS</x:v>
      </x:c>
      <x:c r="F881" s="22" t="str">
        <x:v>Technical infrastructure observations</x:v>
      </x:c>
      <x:c r="G881" s="22" t="str">
        <x:v>Shared hosting, reused addresses or an old record do not prove common ownership.</x:v>
      </x:c>
      <x:c r="H881" s="22" t="str">
        <x:v>Verify publisher, source and current function before reliance</x:v>
      </x:c>
      <x:c r="I881" s="22" t="str">
        <x:v>Not checked</x:v>
      </x:c>
      <x:c r="J881" s="22" t="str">
        <x:v>Saved bookmark metadata only</x:v>
      </x:c>
      <x:c r="K881" s="22" t="str"/>
      <x:c r="L881" s="24" t="str"/>
      <x:c r="M881" s="24" t="str">
        <x:v>https://spyse.com/</x:v>
      </x:c>
      <x:c r="N881" s="22" t="str">
        <x:v>268390338</x:v>
      </x:c>
      <x:c r="O881" s="22" t="n">
        <x:v>1041</x:v>
      </x:c>
      <x:c r="P881" s="22" t="n">
        <x:v>52</x:v>
      </x:c>
      <x:c r="Q881" s="22" t="str"/>
      <x:c r="R881" s="22" t="n">
        <x:f>COUNTIF($M$6:$M$1177,M881)</x:f>
        <x:v>1</x:v>
      </x:c>
      <x:c r="S881" s="22" t="str">
        <x:v>Other / utility</x:v>
      </x:c>
      <x:c r="T881" s="22" t="str">
        <x:v>Not established</x:v>
      </x:c>
    </x:row>
    <x:row r="882" ht="48" customHeight="1">
      <x:c r="A882" s="22" t="n">
        <x:v>877</x:v>
      </x:c>
      <x:c r="B882" s="22" t="str">
        <x:v>Netlas.io</x:v>
      </x:c>
      <x:c r="C882" s="31" t="str">
        <x:v>U</x:v>
      </x:c>
      <x:c r="D882" s="22" t="str">
        <x:v>Unassessed</x:v>
      </x:c>
      <x:c r="E882" s="22" t="str">
        <x:v>DOMAIN / IP / DNS</x:v>
      </x:c>
      <x:c r="F882" s="22" t="str">
        <x:v>Technical infrastructure observations</x:v>
      </x:c>
      <x:c r="G882" s="22" t="str">
        <x:v>Shared hosting, reused addresses or an old record do not prove common ownership.</x:v>
      </x:c>
      <x:c r="H882" s="22" t="str">
        <x:v>Verify publisher, source and current function before reliance</x:v>
      </x:c>
      <x:c r="I882" s="22" t="str">
        <x:v>Not checked</x:v>
      </x:c>
      <x:c r="J882" s="22" t="str">
        <x:v>Saved bookmark metadata only</x:v>
      </x:c>
      <x:c r="K882" s="22" t="str"/>
      <x:c r="L882" s="24" t="str"/>
      <x:c r="M882" s="24" t="str">
        <x:v>https://netlas.io/</x:v>
      </x:c>
      <x:c r="N882" s="22" t="str">
        <x:v>318586631</x:v>
      </x:c>
      <x:c r="O882" s="22" t="n">
        <x:v>1041</x:v>
      </x:c>
      <x:c r="P882" s="22" t="n">
        <x:v>53</x:v>
      </x:c>
      <x:c r="Q882" s="22" t="str"/>
      <x:c r="R882" s="22" t="n">
        <x:f>COUNTIF($M$6:$M$1177,M882)</x:f>
        <x:v>1</x:v>
      </x:c>
      <x:c r="S882" s="22" t="str">
        <x:v>Other / utility</x:v>
      </x:c>
      <x:c r="T882" s="22" t="str">
        <x:v>Not established</x:v>
      </x:c>
    </x:row>
    <x:row r="883" ht="48" customHeight="1">
      <x:c r="A883" s="22" t="n">
        <x:v>878</x:v>
      </x:c>
      <x:c r="B883" s="22" t="str">
        <x:v>Malpedia</x:v>
      </x:c>
      <x:c r="C883" s="31" t="str">
        <x:v>U</x:v>
      </x:c>
      <x:c r="D883" s="22" t="str">
        <x:v>Unassessed</x:v>
      </x:c>
      <x:c r="E883" s="22" t="str">
        <x:v>MALWARE</x:v>
      </x:c>
      <x:c r="F883" s="22" t="str">
        <x:v>Malware / file-security observations</x:v>
      </x:c>
      <x:c r="G883" s="22" t="str">
        <x:v>A detection may be wrong; validate context and never upload confidential evidence without reviewing sharing terms.</x:v>
      </x:c>
      <x:c r="H883" s="22" t="str">
        <x:v>Verify publisher, source and current function before reliance</x:v>
      </x:c>
      <x:c r="I883" s="22" t="str">
        <x:v>Not checked</x:v>
      </x:c>
      <x:c r="J883" s="22" t="str">
        <x:v>Saved bookmark metadata only</x:v>
      </x:c>
      <x:c r="K883" s="22" t="str"/>
      <x:c r="L883" s="24" t="str"/>
      <x:c r="M883" s="24" t="str">
        <x:v>https://malpedia.caad.fkie.fraunhofer.de/</x:v>
      </x:c>
      <x:c r="N883" s="22" t="str">
        <x:v>291674935</x:v>
      </x:c>
      <x:c r="O883" s="22" t="n">
        <x:v>1041</x:v>
      </x:c>
      <x:c r="P883" s="22" t="n">
        <x:v>1</x:v>
      </x:c>
      <x:c r="Q883" s="22" t="str"/>
      <x:c r="R883" s="22" t="n">
        <x:f>COUNTIF($M$6:$M$1177,M883)</x:f>
        <x:v>1</x:v>
      </x:c>
      <x:c r="S883" s="22" t="str">
        <x:v>Other / utility</x:v>
      </x:c>
      <x:c r="T883" s="22" t="str">
        <x:v>Not established</x:v>
      </x:c>
    </x:row>
    <x:row r="884" ht="48" customHeight="1">
      <x:c r="A884" s="22" t="n">
        <x:v>879</x:v>
      </x:c>
      <x:c r="B884" s="22" t="str">
        <x:v>Interactive Online Malware Analysis Sandbox</x:v>
      </x:c>
      <x:c r="C884" s="31" t="str">
        <x:v>U</x:v>
      </x:c>
      <x:c r="D884" s="22" t="str">
        <x:v>Unassessed</x:v>
      </x:c>
      <x:c r="E884" s="22" t="str">
        <x:v>MALWARE</x:v>
      </x:c>
      <x:c r="F884" s="22" t="str">
        <x:v>Malware / file-security observations</x:v>
      </x:c>
      <x:c r="G884" s="22" t="str">
        <x:v>A detection may be wrong; validate context and never upload confidential evidence without reviewing sharing terms.</x:v>
      </x:c>
      <x:c r="H884" s="22" t="str">
        <x:v>Verify publisher, source and current function before reliance</x:v>
      </x:c>
      <x:c r="I884" s="22" t="str">
        <x:v>Not checked</x:v>
      </x:c>
      <x:c r="J884" s="22" t="str">
        <x:v>Saved bookmark metadata only</x:v>
      </x:c>
      <x:c r="K884" s="22" t="str"/>
      <x:c r="L884" s="24" t="str"/>
      <x:c r="M884" s="24" t="str">
        <x:v>https://app.any.run/</x:v>
      </x:c>
      <x:c r="N884" s="22" t="str">
        <x:v>286997952</x:v>
      </x:c>
      <x:c r="O884" s="22" t="n">
        <x:v>1041</x:v>
      </x:c>
      <x:c r="P884" s="22" t="n">
        <x:v>2</x:v>
      </x:c>
      <x:c r="Q884" s="22" t="str"/>
      <x:c r="R884" s="22" t="n">
        <x:f>COUNTIF($M$6:$M$1177,M884)</x:f>
        <x:v>1</x:v>
      </x:c>
      <x:c r="S884" s="22" t="str">
        <x:v>Other / utility</x:v>
      </x:c>
      <x:c r="T884" s="22" t="str">
        <x:v>Not established</x:v>
      </x:c>
    </x:row>
    <x:row r="885" ht="48" customHeight="1">
      <x:c r="A885" s="22" t="n">
        <x:v>880</x:v>
      </x:c>
      <x:c r="B885" s="22" t="str">
        <x:v>Free Automated Malware Analysis Service</x:v>
      </x:c>
      <x:c r="C885" s="31" t="str">
        <x:v>U</x:v>
      </x:c>
      <x:c r="D885" s="22" t="str">
        <x:v>Unassessed</x:v>
      </x:c>
      <x:c r="E885" s="22" t="str">
        <x:v>MALWARE</x:v>
      </x:c>
      <x:c r="F885" s="22" t="str">
        <x:v>Malware / file-security observations</x:v>
      </x:c>
      <x:c r="G885" s="22" t="str">
        <x:v>A detection may be wrong; validate context and never upload confidential evidence without reviewing sharing terms.</x:v>
      </x:c>
      <x:c r="H885" s="22" t="str">
        <x:v>Verify publisher, source and current function before reliance</x:v>
      </x:c>
      <x:c r="I885" s="22" t="str">
        <x:v>Not checked</x:v>
      </x:c>
      <x:c r="J885" s="22" t="str">
        <x:v>Saved bookmark metadata only</x:v>
      </x:c>
      <x:c r="K885" s="22" t="str"/>
      <x:c r="L885" s="24" t="str"/>
      <x:c r="M885" s="24" t="str">
        <x:v>https://hybrid-analysis.com/</x:v>
      </x:c>
      <x:c r="N885" s="22" t="str">
        <x:v>286996763</x:v>
      </x:c>
      <x:c r="O885" s="22" t="n">
        <x:v>1041</x:v>
      </x:c>
      <x:c r="P885" s="22" t="n">
        <x:v>3</x:v>
      </x:c>
      <x:c r="Q885" s="22" t="str"/>
      <x:c r="R885" s="22" t="n">
        <x:f>COUNTIF($M$6:$M$1177,M885)</x:f>
        <x:v>1</x:v>
      </x:c>
      <x:c r="S885" s="22" t="str">
        <x:v>Other / utility</x:v>
      </x:c>
      <x:c r="T885" s="22" t="str">
        <x:v>Not established</x:v>
      </x:c>
    </x:row>
    <x:row r="886" ht="48" customHeight="1">
      <x:c r="A886" s="22" t="n">
        <x:v>881</x:v>
      </x:c>
      <x:c r="B886" s="22" t="str">
        <x:v>VirusTotal</x:v>
      </x:c>
      <x:c r="C886" s="35" t="str">
        <x:v>B</x:v>
      </x:c>
      <x:c r="D886" s="22" t="str">
        <x:v>Documented</x:v>
      </x:c>
      <x:c r="E886" s="22" t="str">
        <x:v>MALWARE</x:v>
      </x:c>
      <x:c r="F886" s="22" t="str">
        <x:v>Aggregated file and URL security signals</x:v>
      </x:c>
      <x:c r="G886" s="22" t="str">
        <x:v>Multiple scanner results can include false positives. Public submissions may be shared; do not upload confidential case material.</x:v>
      </x:c>
      <x:c r="H886" s="22" t="str">
        <x:v>Interpret signals, not votes; protect confidential files</x:v>
      </x:c>
      <x:c r="I886" s="22" t="str">
        <x:v>Documentation readable; nothing submitted</x:v>
      </x:c>
      <x:c r="J886" s="22" t="str">
        <x:v>Provider technical documentation</x:v>
      </x:c>
      <x:c r="K886" s="22" t="str">
        <x:v>S075</x:v>
      </x:c>
      <x:c r="L886" s="24" t="str">
        <x:v>https://docs.virustotal.com/docs/how-it-works</x:v>
      </x:c>
      <x:c r="M886" s="24" t="str">
        <x:v>https://www.virustotal.com/gui/</x:v>
      </x:c>
      <x:c r="N886" s="22" t="str">
        <x:v>286997848</x:v>
      </x:c>
      <x:c r="O886" s="22" t="n">
        <x:v>1041</x:v>
      </x:c>
      <x:c r="P886" s="22" t="n">
        <x:v>4</x:v>
      </x:c>
      <x:c r="Q886" s="22" t="str">
        <x:v>2026-09-15</x:v>
      </x:c>
      <x:c r="R886" s="22" t="n">
        <x:f>COUNTIF($M$6:$M$1177,M886)</x:f>
        <x:v>1</x:v>
      </x:c>
      <x:c r="S886" s="22" t="str">
        <x:v>Other / utility</x:v>
      </x:c>
      <x:c r="T886" s="22" t="str">
        <x:v>Scoped desk assessment</x:v>
      </x:c>
    </x:row>
    <x:row r="887" ht="48" customHeight="1">
      <x:c r="A887" s="22" t="n">
        <x:v>882</x:v>
      </x:c>
      <x:c r="B887" s="22" t="str">
        <x:v>Maltiverse</x:v>
      </x:c>
      <x:c r="C887" s="31" t="str">
        <x:v>U</x:v>
      </x:c>
      <x:c r="D887" s="22" t="str">
        <x:v>Unassessed</x:v>
      </x:c>
      <x:c r="E887" s="22" t="str">
        <x:v>MALWARE</x:v>
      </x:c>
      <x:c r="F887" s="22" t="str">
        <x:v>Malware / file-security observations</x:v>
      </x:c>
      <x:c r="G887" s="22" t="str">
        <x:v>A detection may be wrong; validate context and never upload confidential evidence without reviewing sharing terms.</x:v>
      </x:c>
      <x:c r="H887" s="22" t="str">
        <x:v>Verify publisher, source and current function before reliance</x:v>
      </x:c>
      <x:c r="I887" s="22" t="str">
        <x:v>Not checked</x:v>
      </x:c>
      <x:c r="J887" s="22" t="str">
        <x:v>Saved bookmark metadata only</x:v>
      </x:c>
      <x:c r="K887" s="22" t="str"/>
      <x:c r="L887" s="24" t="str"/>
      <x:c r="M887" s="24" t="str">
        <x:v>https://maltiverse.com/search</x:v>
      </x:c>
      <x:c r="N887" s="22" t="str">
        <x:v>286997843</x:v>
      </x:c>
      <x:c r="O887" s="22" t="n">
        <x:v>1041</x:v>
      </x:c>
      <x:c r="P887" s="22" t="n">
        <x:v>5</x:v>
      </x:c>
      <x:c r="Q887" s="22" t="str"/>
      <x:c r="R887" s="22" t="n">
        <x:f>COUNTIF($M$6:$M$1177,M887)</x:f>
        <x:v>1</x:v>
      </x:c>
      <x:c r="S887" s="22" t="str">
        <x:v>Other / utility</x:v>
      </x:c>
      <x:c r="T887" s="22" t="str">
        <x:v>Not established</x:v>
      </x:c>
    </x:row>
    <x:row r="888" ht="48" customHeight="1">
      <x:c r="A888" s="22" t="n">
        <x:v>883</x:v>
      </x:c>
      <x:c r="B888" s="22" t="str">
        <x:v>Malware News Search</x:v>
      </x:c>
      <x:c r="C888" s="43" t="str">
        <x:v>C-P</x:v>
      </x:c>
      <x:c r="D888" s="22" t="str">
        <x:v>Provisional</x:v>
      </x:c>
      <x:c r="E888" s="22" t="str">
        <x:v>MALWARE</x:v>
      </x:c>
      <x:c r="F888" s="22" t="str">
        <x:v>Custom-search discovery only</x:v>
      </x:c>
      <x:c r="G888" s="22" t="str">
        <x:v>The saved URL identifies a custom search. This engine's configuration, coverage and query results were not tested.</x:v>
      </x:c>
      <x:c r="H888" s="22" t="str">
        <x:v>Open and verify the original result; do not count the search as corroboration</x:v>
      </x:c>
      <x:c r="I888" s="22" t="str">
        <x:v>Not checked</x:v>
      </x:c>
      <x:c r="J888" s="22" t="str">
        <x:v>Saved bookmark metadata only</x:v>
      </x:c>
      <x:c r="K888" s="22" t="str"/>
      <x:c r="L888" s="24" t="str"/>
      <x:c r="M888" s="24" t="str">
        <x:v>https://cse.google.com/cse?cx=003248445720253387346:turlh5vi4xc</x:v>
      </x:c>
      <x:c r="N888" s="22" t="str">
        <x:v>287000337</x:v>
      </x:c>
      <x:c r="O888" s="22" t="n">
        <x:v>1041</x:v>
      </x:c>
      <x:c r="P888" s="22" t="n">
        <x:v>6</x:v>
      </x:c>
      <x:c r="Q888" s="22" t="str"/>
      <x:c r="R888" s="22" t="n">
        <x:f>COUNTIF($M$6:$M$1177,M888)</x:f>
        <x:v>1</x:v>
      </x:c>
      <x:c r="S888" s="22" t="str">
        <x:v>Other / utility</x:v>
      </x:c>
      <x:c r="T888" s="22" t="str">
        <x:v>Low</x:v>
      </x:c>
    </x:row>
    <x:row r="889" ht="48" customHeight="1">
      <x:c r="A889" s="22" t="n">
        <x:v>884</x:v>
      </x:c>
      <x:c r="B889" s="22" t="str">
        <x:v>AlienVault Open Threat Exchange</x:v>
      </x:c>
      <x:c r="C889" s="31" t="str">
        <x:v>U</x:v>
      </x:c>
      <x:c r="D889" s="22" t="str">
        <x:v>Unassessed</x:v>
      </x:c>
      <x:c r="E889" s="22" t="str">
        <x:v>MALWARE</x:v>
      </x:c>
      <x:c r="F889" s="22" t="str">
        <x:v>Malware / file-security observations</x:v>
      </x:c>
      <x:c r="G889" s="22" t="str">
        <x:v>A detection may be wrong; validate context and never upload confidential evidence without reviewing sharing terms.</x:v>
      </x:c>
      <x:c r="H889" s="22" t="str">
        <x:v>Verify publisher, source and current function before reliance</x:v>
      </x:c>
      <x:c r="I889" s="22" t="str">
        <x:v>Not checked</x:v>
      </x:c>
      <x:c r="J889" s="22" t="str">
        <x:v>Saved bookmark metadata only</x:v>
      </x:c>
      <x:c r="K889" s="22" t="str"/>
      <x:c r="L889" s="24" t="str"/>
      <x:c r="M889" s="24" t="str">
        <x:v>https://otx.alienvault.com/</x:v>
      </x:c>
      <x:c r="N889" s="22" t="str">
        <x:v>286996765</x:v>
      </x:c>
      <x:c r="O889" s="22" t="n">
        <x:v>1041</x:v>
      </x:c>
      <x:c r="P889" s="22" t="n">
        <x:v>7</x:v>
      </x:c>
      <x:c r="Q889" s="22" t="str"/>
      <x:c r="R889" s="22" t="n">
        <x:f>COUNTIF($M$6:$M$1177,M889)</x:f>
        <x:v>1</x:v>
      </x:c>
      <x:c r="S889" s="22" t="str">
        <x:v>Other / utility</x:v>
      </x:c>
      <x:c r="T889" s="22" t="str">
        <x:v>Not established</x:v>
      </x:c>
    </x:row>
    <x:row r="890" ht="48" customHeight="1">
      <x:c r="A890" s="22" t="n">
        <x:v>885</x:v>
      </x:c>
      <x:c r="B890" s="22" t="str">
        <x:v>Jotti's malware scan</x:v>
      </x:c>
      <x:c r="C890" s="31" t="str">
        <x:v>U</x:v>
      </x:c>
      <x:c r="D890" s="22" t="str">
        <x:v>Unassessed</x:v>
      </x:c>
      <x:c r="E890" s="22" t="str">
        <x:v>MALWARE</x:v>
      </x:c>
      <x:c r="F890" s="22" t="str">
        <x:v>Malware / file-security observations</x:v>
      </x:c>
      <x:c r="G890" s="22" t="str">
        <x:v>A detection may be wrong; validate context and never upload confidential evidence without reviewing sharing terms.</x:v>
      </x:c>
      <x:c r="H890" s="22" t="str">
        <x:v>Verify publisher, source and current function before reliance</x:v>
      </x:c>
      <x:c r="I890" s="22" t="str">
        <x:v>Not checked</x:v>
      </x:c>
      <x:c r="J890" s="22" t="str">
        <x:v>Saved bookmark metadata only</x:v>
      </x:c>
      <x:c r="K890" s="22" t="str"/>
      <x:c r="L890" s="24" t="str"/>
      <x:c r="M890" s="24" t="str">
        <x:v>https://virusscan.jotti.org/</x:v>
      </x:c>
      <x:c r="N890" s="22" t="str">
        <x:v>286997903</x:v>
      </x:c>
      <x:c r="O890" s="22" t="n">
        <x:v>1041</x:v>
      </x:c>
      <x:c r="P890" s="22" t="n">
        <x:v>8</x:v>
      </x:c>
      <x:c r="Q890" s="22" t="str"/>
      <x:c r="R890" s="22" t="n">
        <x:f>COUNTIF($M$6:$M$1177,M890)</x:f>
        <x:v>1</x:v>
      </x:c>
      <x:c r="S890" s="22" t="str">
        <x:v>Other / utility</x:v>
      </x:c>
      <x:c r="T890" s="22" t="str">
        <x:v>Not established</x:v>
      </x:c>
    </x:row>
    <x:row r="891" ht="48" customHeight="1">
      <x:c r="A891" s="22" t="n">
        <x:v>886</x:v>
      </x:c>
      <x:c r="B891" s="22" t="str">
        <x:v>IObit Cloud</x:v>
      </x:c>
      <x:c r="C891" s="31" t="str">
        <x:v>U</x:v>
      </x:c>
      <x:c r="D891" s="22" t="str">
        <x:v>Unassessed</x:v>
      </x:c>
      <x:c r="E891" s="22" t="str">
        <x:v>MALWARE</x:v>
      </x:c>
      <x:c r="F891" s="22" t="str">
        <x:v>Malware / file-security observations</x:v>
      </x:c>
      <x:c r="G891" s="22" t="str">
        <x:v>A detection may be wrong; validate context and never upload confidential evidence without reviewing sharing terms.</x:v>
      </x:c>
      <x:c r="H891" s="22" t="str">
        <x:v>Verify publisher, source and current function before reliance</x:v>
      </x:c>
      <x:c r="I891" s="22" t="str">
        <x:v>Not checked</x:v>
      </x:c>
      <x:c r="J891" s="22" t="str">
        <x:v>Saved bookmark metadata only</x:v>
      </x:c>
      <x:c r="K891" s="22" t="str"/>
      <x:c r="L891" s="24" t="str"/>
      <x:c r="M891" s="24" t="str">
        <x:v>https://cloud.iobit.com/index.php</x:v>
      </x:c>
      <x:c r="N891" s="22" t="str">
        <x:v>286999102</x:v>
      </x:c>
      <x:c r="O891" s="22" t="n">
        <x:v>1041</x:v>
      </x:c>
      <x:c r="P891" s="22" t="n">
        <x:v>9</x:v>
      </x:c>
      <x:c r="Q891" s="22" t="str"/>
      <x:c r="R891" s="22" t="n">
        <x:f>COUNTIF($M$6:$M$1177,M891)</x:f>
        <x:v>1</x:v>
      </x:c>
      <x:c r="S891" s="22" t="str">
        <x:v>Other / utility</x:v>
      </x:c>
      <x:c r="T891" s="22" t="str">
        <x:v>Not established</x:v>
      </x:c>
    </x:row>
    <x:row r="892" ht="48" customHeight="1">
      <x:c r="A892" s="22" t="n">
        <x:v>887</x:v>
      </x:c>
      <x:c r="B892" s="22" t="str">
        <x:v>theZoo</x:v>
      </x:c>
      <x:c r="C892" s="31" t="str">
        <x:v>U</x:v>
      </x:c>
      <x:c r="D892" s="22" t="str">
        <x:v>Unassessed</x:v>
      </x:c>
      <x:c r="E892" s="22" t="str">
        <x:v>MALWARE</x:v>
      </x:c>
      <x:c r="F892" s="22" t="str">
        <x:v>Malware / file-security observations</x:v>
      </x:c>
      <x:c r="G892" s="22" t="str">
        <x:v>A detection may be wrong; validate context and never upload confidential evidence without reviewing sharing terms.</x:v>
      </x:c>
      <x:c r="H892" s="22" t="str">
        <x:v>Verify publisher, source and current function before reliance</x:v>
      </x:c>
      <x:c r="I892" s="22" t="str">
        <x:v>Not checked</x:v>
      </x:c>
      <x:c r="J892" s="22" t="str">
        <x:v>Saved bookmark metadata only</x:v>
      </x:c>
      <x:c r="K892" s="22" t="str"/>
      <x:c r="L892" s="24" t="str"/>
      <x:c r="M892" s="24" t="str">
        <x:v>https://github.com/ytisf/theZoo</x:v>
      </x:c>
      <x:c r="N892" s="22" t="str">
        <x:v>286809508</x:v>
      </x:c>
      <x:c r="O892" s="22" t="n">
        <x:v>1041</x:v>
      </x:c>
      <x:c r="P892" s="22" t="n">
        <x:v>10</x:v>
      </x:c>
      <x:c r="Q892" s="22" t="str"/>
      <x:c r="R892" s="22" t="n">
        <x:f>COUNTIF($M$6:$M$1177,M892)</x:f>
        <x:v>1</x:v>
      </x:c>
      <x:c r="S892" s="22" t="str">
        <x:v>Other / utility</x:v>
      </x:c>
      <x:c r="T892" s="22" t="str">
        <x:v>Not established</x:v>
      </x:c>
    </x:row>
    <x:row r="893" ht="48" customHeight="1">
      <x:c r="A893" s="22" t="n">
        <x:v>888</x:v>
      </x:c>
      <x:c r="B893" s="22" t="str">
        <x:v>Vx-underground.org</x:v>
      </x:c>
      <x:c r="C893" s="31" t="str">
        <x:v>U</x:v>
      </x:c>
      <x:c r="D893" s="22" t="str">
        <x:v>Unassessed</x:v>
      </x:c>
      <x:c r="E893" s="22" t="str">
        <x:v>MALWARE</x:v>
      </x:c>
      <x:c r="F893" s="22" t="str">
        <x:v>Malware / file-security observations</x:v>
      </x:c>
      <x:c r="G893" s="22" t="str">
        <x:v>A detection may be wrong; validate context and never upload confidential evidence without reviewing sharing terms.</x:v>
      </x:c>
      <x:c r="H893" s="22" t="str">
        <x:v>Verify publisher, source and current function before reliance</x:v>
      </x:c>
      <x:c r="I893" s="22" t="str">
        <x:v>Not checked</x:v>
      </x:c>
      <x:c r="J893" s="22" t="str">
        <x:v>Saved bookmark metadata only</x:v>
      </x:c>
      <x:c r="K893" s="22" t="str"/>
      <x:c r="L893" s="24" t="str"/>
      <x:c r="M893" s="24" t="str">
        <x:v>https://vx-underground.org/</x:v>
      </x:c>
      <x:c r="N893" s="22" t="str">
        <x:v>291675380</x:v>
      </x:c>
      <x:c r="O893" s="22" t="n">
        <x:v>1041</x:v>
      </x:c>
      <x:c r="P893" s="22" t="n">
        <x:v>11</x:v>
      </x:c>
      <x:c r="Q893" s="22" t="str"/>
      <x:c r="R893" s="22" t="n">
        <x:f>COUNTIF($M$6:$M$1177,M893)</x:f>
        <x:v>1</x:v>
      </x:c>
      <x:c r="S893" s="22" t="str">
        <x:v>Other / utility</x:v>
      </x:c>
      <x:c r="T893" s="22" t="str">
        <x:v>Not established</x:v>
      </x:c>
    </x:row>
    <x:row r="894" ht="48" customHeight="1">
      <x:c r="A894" s="22" t="n">
        <x:v>889</x:v>
      </x:c>
      <x:c r="B894" s="22" t="str">
        <x:v>VX Heaven</x:v>
      </x:c>
      <x:c r="C894" s="31" t="str">
        <x:v>U</x:v>
      </x:c>
      <x:c r="D894" s="22" t="str">
        <x:v>Unassessed</x:v>
      </x:c>
      <x:c r="E894" s="22" t="str">
        <x:v>MALWARE</x:v>
      </x:c>
      <x:c r="F894" s="22" t="str">
        <x:v>Malware / file-security observations</x:v>
      </x:c>
      <x:c r="G894" s="22" t="str">
        <x:v>A detection may be wrong; validate context and never upload confidential evidence without reviewing sharing terms.</x:v>
      </x:c>
      <x:c r="H894" s="22" t="str">
        <x:v>Verify publisher, source and current function before reliance</x:v>
      </x:c>
      <x:c r="I894" s="22" t="str">
        <x:v>Not checked</x:v>
      </x:c>
      <x:c r="J894" s="22" t="str">
        <x:v>Saved bookmark metadata only</x:v>
      </x:c>
      <x:c r="K894" s="22" t="str"/>
      <x:c r="L894" s="24" t="str"/>
      <x:c r="M894" s="24" t="str">
        <x:v>https://vx-underground.org/archive/VxHeaven/index.html</x:v>
      </x:c>
      <x:c r="N894" s="22" t="str">
        <x:v>286809497</x:v>
      </x:c>
      <x:c r="O894" s="22" t="n">
        <x:v>1041</x:v>
      </x:c>
      <x:c r="P894" s="22" t="n">
        <x:v>12</x:v>
      </x:c>
      <x:c r="Q894" s="22" t="str"/>
      <x:c r="R894" s="22" t="n">
        <x:f>COUNTIF($M$6:$M$1177,M894)</x:f>
        <x:v>1</x:v>
      </x:c>
      <x:c r="S894" s="22" t="str">
        <x:v>Other / utility</x:v>
      </x:c>
      <x:c r="T894" s="22" t="str">
        <x:v>Not established</x:v>
      </x:c>
    </x:row>
    <x:row r="895" ht="48" customHeight="1">
      <x:c r="A895" s="22" t="n">
        <x:v>890</x:v>
      </x:c>
      <x:c r="B895" s="22" t="str">
        <x:v>aptnotes/data</x:v>
      </x:c>
      <x:c r="C895" s="31" t="str">
        <x:v>U</x:v>
      </x:c>
      <x:c r="D895" s="22" t="str">
        <x:v>Unassessed</x:v>
      </x:c>
      <x:c r="E895" s="22" t="str">
        <x:v>MALWARE</x:v>
      </x:c>
      <x:c r="F895" s="22" t="str">
        <x:v>Malware / file-security observations</x:v>
      </x:c>
      <x:c r="G895" s="22" t="str">
        <x:v>A detection may be wrong; validate context and never upload confidential evidence without reviewing sharing terms.</x:v>
      </x:c>
      <x:c r="H895" s="22" t="str">
        <x:v>Verify publisher, source and current function before reliance</x:v>
      </x:c>
      <x:c r="I895" s="22" t="str">
        <x:v>Not checked</x:v>
      </x:c>
      <x:c r="J895" s="22" t="str">
        <x:v>Saved bookmark metadata only</x:v>
      </x:c>
      <x:c r="K895" s="22" t="str"/>
      <x:c r="L895" s="24" t="str"/>
      <x:c r="M895" s="24" t="str">
        <x:v>https://github.com/aptnotes/data</x:v>
      </x:c>
      <x:c r="N895" s="22" t="str">
        <x:v>305386970</x:v>
      </x:c>
      <x:c r="O895" s="22" t="n">
        <x:v>1041</x:v>
      </x:c>
      <x:c r="P895" s="22" t="n">
        <x:v>13</x:v>
      </x:c>
      <x:c r="Q895" s="22" t="str"/>
      <x:c r="R895" s="22" t="n">
        <x:f>COUNTIF($M$6:$M$1177,M895)</x:f>
        <x:v>2</x:v>
      </x:c>
      <x:c r="S895" s="22" t="str">
        <x:v>Other / utility</x:v>
      </x:c>
      <x:c r="T895" s="22" t="str">
        <x:v>Not established</x:v>
      </x:c>
    </x:row>
    <x:row r="896" ht="48" customHeight="1">
      <x:c r="A896" s="22" t="n">
        <x:v>891</x:v>
      </x:c>
      <x:c r="B896" s="22" t="str">
        <x:v>exploit-database-papers</x:v>
      </x:c>
      <x:c r="C896" s="31" t="str">
        <x:v>U</x:v>
      </x:c>
      <x:c r="D896" s="22" t="str">
        <x:v>Unassessed</x:v>
      </x:c>
      <x:c r="E896" s="22" t="str">
        <x:v>MALWARE</x:v>
      </x:c>
      <x:c r="F896" s="22" t="str">
        <x:v>Malware / file-security observations</x:v>
      </x:c>
      <x:c r="G896" s="22" t="str">
        <x:v>A detection may be wrong; validate context and never upload confidential evidence without reviewing sharing terms.</x:v>
      </x:c>
      <x:c r="H896" s="22" t="str">
        <x:v>Verify publisher, source and current function before reliance</x:v>
      </x:c>
      <x:c r="I896" s="22" t="str">
        <x:v>Not checked</x:v>
      </x:c>
      <x:c r="J896" s="22" t="str">
        <x:v>Saved bookmark metadata only</x:v>
      </x:c>
      <x:c r="K896" s="22" t="str"/>
      <x:c r="L896" s="24" t="str"/>
      <x:c r="M896" s="24" t="str">
        <x:v>https://github.com/offensive-security/exploitdb-papers</x:v>
      </x:c>
      <x:c r="N896" s="22" t="str">
        <x:v>305386978</x:v>
      </x:c>
      <x:c r="O896" s="22" t="n">
        <x:v>1041</x:v>
      </x:c>
      <x:c r="P896" s="22" t="n">
        <x:v>14</x:v>
      </x:c>
      <x:c r="Q896" s="22" t="str"/>
      <x:c r="R896" s="22" t="n">
        <x:f>COUNTIF($M$6:$M$1177,M896)</x:f>
        <x:v>1</x:v>
      </x:c>
      <x:c r="S896" s="22" t="str">
        <x:v>Other / utility</x:v>
      </x:c>
      <x:c r="T896" s="22" t="str">
        <x:v>Not established</x:v>
      </x:c>
    </x:row>
    <x:row r="897" ht="48" customHeight="1">
      <x:c r="A897" s="22" t="n">
        <x:v>892</x:v>
      </x:c>
      <x:c r="B897" s="22" t="str">
        <x:v>exploitdb-bin-sploits</x:v>
      </x:c>
      <x:c r="C897" s="31" t="str">
        <x:v>U</x:v>
      </x:c>
      <x:c r="D897" s="22" t="str">
        <x:v>Unassessed</x:v>
      </x:c>
      <x:c r="E897" s="22" t="str">
        <x:v>MALWARE</x:v>
      </x:c>
      <x:c r="F897" s="22" t="str">
        <x:v>Malware / file-security observations</x:v>
      </x:c>
      <x:c r="G897" s="22" t="str">
        <x:v>A detection may be wrong; validate context and never upload confidential evidence without reviewing sharing terms.</x:v>
      </x:c>
      <x:c r="H897" s="22" t="str">
        <x:v>Verify publisher, source and current function before reliance</x:v>
      </x:c>
      <x:c r="I897" s="22" t="str">
        <x:v>Not checked</x:v>
      </x:c>
      <x:c r="J897" s="22" t="str">
        <x:v>Saved bookmark metadata only</x:v>
      </x:c>
      <x:c r="K897" s="22" t="str"/>
      <x:c r="L897" s="24" t="str"/>
      <x:c r="M897" s="24" t="str">
        <x:v>https://github.com/offensive-security/exploitdb-bin-sploits</x:v>
      </x:c>
      <x:c r="N897" s="22" t="str">
        <x:v>305386986</x:v>
      </x:c>
      <x:c r="O897" s="22" t="n">
        <x:v>1041</x:v>
      </x:c>
      <x:c r="P897" s="22" t="n">
        <x:v>15</x:v>
      </x:c>
      <x:c r="Q897" s="22" t="str"/>
      <x:c r="R897" s="22" t="n">
        <x:f>COUNTIF($M$6:$M$1177,M897)</x:f>
        <x:v>1</x:v>
      </x:c>
      <x:c r="S897" s="22" t="str">
        <x:v>Other / utility</x:v>
      </x:c>
      <x:c r="T897" s="22" t="str">
        <x:v>Not established</x:v>
      </x:c>
    </x:row>
    <x:row r="898" ht="48" customHeight="1">
      <x:c r="A898" s="22" t="n">
        <x:v>893</x:v>
      </x:c>
      <x:c r="B898" s="22" t="str">
        <x:v>Webcam Search Engine</x:v>
      </x:c>
      <x:c r="C898" s="43" t="str">
        <x:v>C-P</x:v>
      </x:c>
      <x:c r="D898" s="22" t="str">
        <x:v>Provisional</x:v>
      </x:c>
      <x:c r="E898" s="22" t="str">
        <x:v>IoT</x:v>
      </x:c>
      <x:c r="F898" s="22" t="str">
        <x:v>Custom-search discovery only</x:v>
      </x:c>
      <x:c r="G898" s="22" t="str">
        <x:v>The saved URL identifies a custom search. This engine's configuration, coverage and query results were not tested.</x:v>
      </x:c>
      <x:c r="H898" s="22" t="str">
        <x:v>Open and verify the original result; do not count the search as corroboration</x:v>
      </x:c>
      <x:c r="I898" s="22" t="str">
        <x:v>Not checked</x:v>
      </x:c>
      <x:c r="J898" s="22" t="str">
        <x:v>Saved bookmark metadata only</x:v>
      </x:c>
      <x:c r="K898" s="22" t="str"/>
      <x:c r="L898" s="24" t="str"/>
      <x:c r="M898" s="24" t="str">
        <x:v>https://cse.google.com/cse?cx=013991603413798772546:gjcdtyiytey#gsc.tab=0</x:v>
      </x:c>
      <x:c r="N898" s="22" t="str">
        <x:v>286996697</x:v>
      </x:c>
      <x:c r="O898" s="22" t="n">
        <x:v>1041</x:v>
      </x:c>
      <x:c r="P898" s="22" t="n">
        <x:v>1</x:v>
      </x:c>
      <x:c r="Q898" s="22" t="str"/>
      <x:c r="R898" s="22" t="n">
        <x:f>COUNTIF($M$6:$M$1177,M898)</x:f>
        <x:v>1</x:v>
      </x:c>
      <x:c r="S898" s="22" t="str">
        <x:v>Other / utility</x:v>
      </x:c>
      <x:c r="T898" s="22" t="str">
        <x:v>Low</x:v>
      </x:c>
    </x:row>
    <x:row r="899" ht="48" customHeight="1">
      <x:c r="A899" s="22" t="n">
        <x:v>894</x:v>
      </x:c>
      <x:c r="B899" s="22" t="str">
        <x:v>Insecam</x:v>
      </x:c>
      <x:c r="C899" s="31" t="str">
        <x:v>U</x:v>
      </x:c>
      <x:c r="D899" s="22" t="str">
        <x:v>Unassessed</x:v>
      </x:c>
      <x:c r="E899" s="22" t="str">
        <x:v>IoT</x:v>
      </x:c>
      <x:c r="F899" s="22" t="str">
        <x:v>Internet-device observations</x:v>
      </x:c>
      <x:c r="G899" s="22" t="str">
        <x:v>An exposed service or approximate network location does not identify a person or authorize access.</x:v>
      </x:c>
      <x:c r="H899" s="22" t="str">
        <x:v>Verify publisher, source and current function before reliance</x:v>
      </x:c>
      <x:c r="I899" s="22" t="str">
        <x:v>Not checked</x:v>
      </x:c>
      <x:c r="J899" s="22" t="str">
        <x:v>Saved bookmark metadata only</x:v>
      </x:c>
      <x:c r="K899" s="22" t="str"/>
      <x:c r="L899" s="24" t="str"/>
      <x:c r="M899" s="24" t="str">
        <x:v>http://www.insecam.org/</x:v>
      </x:c>
      <x:c r="N899" s="22" t="str">
        <x:v>268392525</x:v>
      </x:c>
      <x:c r="O899" s="22" t="n">
        <x:v>1041</x:v>
      </x:c>
      <x:c r="P899" s="22" t="n">
        <x:v>2</x:v>
      </x:c>
      <x:c r="Q899" s="22" t="str"/>
      <x:c r="R899" s="22" t="n">
        <x:f>COUNTIF($M$6:$M$1177,M899)</x:f>
        <x:v>1</x:v>
      </x:c>
      <x:c r="S899" s="22" t="str">
        <x:v>Other / utility</x:v>
      </x:c>
      <x:c r="T899" s="22" t="str">
        <x:v>Not established</x:v>
      </x:c>
    </x:row>
    <x:row r="900" ht="48" customHeight="1">
      <x:c r="A900" s="22" t="n">
        <x:v>895</x:v>
      </x:c>
      <x:c r="B900" s="22" t="str">
        <x:v>Camhacker.com</x:v>
      </x:c>
      <x:c r="C900" s="31" t="str">
        <x:v>U</x:v>
      </x:c>
      <x:c r="D900" s="22" t="str">
        <x:v>Unassessed</x:v>
      </x:c>
      <x:c r="E900" s="22" t="str">
        <x:v>IoT</x:v>
      </x:c>
      <x:c r="F900" s="22" t="str">
        <x:v>Internet-device observations</x:v>
      </x:c>
      <x:c r="G900" s="22" t="str">
        <x:v>An exposed service or approximate network location does not identify a person or authorize access.</x:v>
      </x:c>
      <x:c r="H900" s="22" t="str">
        <x:v>Verify publisher, source and current function before reliance</x:v>
      </x:c>
      <x:c r="I900" s="22" t="str">
        <x:v>Not checked</x:v>
      </x:c>
      <x:c r="J900" s="22" t="str">
        <x:v>Saved bookmark metadata only</x:v>
      </x:c>
      <x:c r="K900" s="22" t="str"/>
      <x:c r="L900" s="24" t="str"/>
      <x:c r="M900" s="24" t="str">
        <x:v>https://www.camhacker.com/</x:v>
      </x:c>
      <x:c r="N900" s="22" t="str">
        <x:v>268512039</x:v>
      </x:c>
      <x:c r="O900" s="22" t="n">
        <x:v>1041</x:v>
      </x:c>
      <x:c r="P900" s="22" t="n">
        <x:v>3</x:v>
      </x:c>
      <x:c r="Q900" s="22" t="str"/>
      <x:c r="R900" s="22" t="n">
        <x:f>COUNTIF($M$6:$M$1177,M900)</x:f>
        <x:v>1</x:v>
      </x:c>
      <x:c r="S900" s="22" t="str">
        <x:v>Other / utility</x:v>
      </x:c>
      <x:c r="T900" s="22" t="str">
        <x:v>Not established</x:v>
      </x:c>
    </x:row>
    <x:row r="901" ht="48" customHeight="1">
      <x:c r="A901" s="22" t="n">
        <x:v>896</x:v>
      </x:c>
      <x:c r="B901" s="22" t="str">
        <x:v>EarthCam</x:v>
      </x:c>
      <x:c r="C901" s="31" t="str">
        <x:v>U</x:v>
      </x:c>
      <x:c r="D901" s="22" t="str">
        <x:v>Unassessed</x:v>
      </x:c>
      <x:c r="E901" s="22" t="str">
        <x:v>IoT</x:v>
      </x:c>
      <x:c r="F901" s="22" t="str">
        <x:v>Internet-device observations</x:v>
      </x:c>
      <x:c r="G901" s="22" t="str">
        <x:v>An exposed service or approximate network location does not identify a person or authorize access.</x:v>
      </x:c>
      <x:c r="H901" s="22" t="str">
        <x:v>Verify publisher, source and current function before reliance</x:v>
      </x:c>
      <x:c r="I901" s="22" t="str">
        <x:v>Not checked</x:v>
      </x:c>
      <x:c r="J901" s="22" t="str">
        <x:v>Saved bookmark metadata only</x:v>
      </x:c>
      <x:c r="K901" s="22" t="str"/>
      <x:c r="L901" s="24" t="str"/>
      <x:c r="M901" s="24" t="str">
        <x:v>https://www.earthcam.com/</x:v>
      </x:c>
      <x:c r="N901" s="22" t="str">
        <x:v>268392509</x:v>
      </x:c>
      <x:c r="O901" s="22" t="n">
        <x:v>1041</x:v>
      </x:c>
      <x:c r="P901" s="22" t="n">
        <x:v>4</x:v>
      </x:c>
      <x:c r="Q901" s="22" t="str"/>
      <x:c r="R901" s="22" t="n">
        <x:f>COUNTIF($M$6:$M$1177,M901)</x:f>
        <x:v>1</x:v>
      </x:c>
      <x:c r="S901" s="22" t="str">
        <x:v>Other / utility</x:v>
      </x:c>
      <x:c r="T901" s="22" t="str">
        <x:v>Not established</x:v>
      </x:c>
    </x:row>
    <x:row r="902" ht="48" customHeight="1">
      <x:c r="A902" s="22" t="n">
        <x:v>897</x:v>
      </x:c>
      <x:c r="B902" s="22" t="str">
        <x:v>Airport Webcams</x:v>
      </x:c>
      <x:c r="C902" s="31" t="str">
        <x:v>U</x:v>
      </x:c>
      <x:c r="D902" s="22" t="str">
        <x:v>Unassessed</x:v>
      </x:c>
      <x:c r="E902" s="22" t="str">
        <x:v>IoT</x:v>
      </x:c>
      <x:c r="F902" s="22" t="str">
        <x:v>Internet-device observations</x:v>
      </x:c>
      <x:c r="G902" s="22" t="str">
        <x:v>An exposed service or approximate network location does not identify a person or authorize access.</x:v>
      </x:c>
      <x:c r="H902" s="22" t="str">
        <x:v>Verify publisher, source and current function before reliance</x:v>
      </x:c>
      <x:c r="I902" s="22" t="str">
        <x:v>Not checked</x:v>
      </x:c>
      <x:c r="J902" s="22" t="str">
        <x:v>Saved bookmark metadata only</x:v>
      </x:c>
      <x:c r="K902" s="22" t="str"/>
      <x:c r="L902" s="24" t="str"/>
      <x:c r="M902" s="24" t="str">
        <x:v>https://airportwebcams.net/</x:v>
      </x:c>
      <x:c r="N902" s="22" t="str">
        <x:v>268392510</x:v>
      </x:c>
      <x:c r="O902" s="22" t="n">
        <x:v>1041</x:v>
      </x:c>
      <x:c r="P902" s="22" t="n">
        <x:v>5</x:v>
      </x:c>
      <x:c r="Q902" s="22" t="str"/>
      <x:c r="R902" s="22" t="n">
        <x:f>COUNTIF($M$6:$M$1177,M902)</x:f>
        <x:v>1</x:v>
      </x:c>
      <x:c r="S902" s="22" t="str">
        <x:v>Other / utility</x:v>
      </x:c>
      <x:c r="T902" s="22" t="str">
        <x:v>Not established</x:v>
      </x:c>
    </x:row>
    <x:row r="903" ht="48" customHeight="1">
      <x:c r="A903" s="22" t="n">
        <x:v>898</x:v>
      </x:c>
      <x:c r="B903" s="22" t="str">
        <x:v>The Webcam Network</x:v>
      </x:c>
      <x:c r="C903" s="31" t="str">
        <x:v>U</x:v>
      </x:c>
      <x:c r="D903" s="22" t="str">
        <x:v>Unassessed</x:v>
      </x:c>
      <x:c r="E903" s="22" t="str">
        <x:v>IoT</x:v>
      </x:c>
      <x:c r="F903" s="22" t="str">
        <x:v>Internet-device observations</x:v>
      </x:c>
      <x:c r="G903" s="22" t="str">
        <x:v>An exposed service or approximate network location does not identify a person or authorize access.</x:v>
      </x:c>
      <x:c r="H903" s="22" t="str">
        <x:v>Verify publisher, source and current function before reliance</x:v>
      </x:c>
      <x:c r="I903" s="22" t="str">
        <x:v>Not checked</x:v>
      </x:c>
      <x:c r="J903" s="22" t="str">
        <x:v>Saved bookmark metadata only</x:v>
      </x:c>
      <x:c r="K903" s="22" t="str"/>
      <x:c r="L903" s="24" t="str"/>
      <x:c r="M903" s="24" t="str">
        <x:v>http://www.the-webcam-network.com/</x:v>
      </x:c>
      <x:c r="N903" s="22" t="str">
        <x:v>268392524</x:v>
      </x:c>
      <x:c r="O903" s="22" t="n">
        <x:v>1041</x:v>
      </x:c>
      <x:c r="P903" s="22" t="n">
        <x:v>6</x:v>
      </x:c>
      <x:c r="Q903" s="22" t="str"/>
      <x:c r="R903" s="22" t="n">
        <x:f>COUNTIF($M$6:$M$1177,M903)</x:f>
        <x:v>1</x:v>
      </x:c>
      <x:c r="S903" s="22" t="str">
        <x:v>Other / utility</x:v>
      </x:c>
      <x:c r="T903" s="22" t="str">
        <x:v>Not established</x:v>
      </x:c>
    </x:row>
    <x:row r="904" ht="48" customHeight="1">
      <x:c r="A904" s="22" t="n">
        <x:v>899</x:v>
      </x:c>
      <x:c r="B904" s="22" t="str">
        <x:v>Default Router Login</x:v>
      </x:c>
      <x:c r="C904" s="31" t="str">
        <x:v>U</x:v>
      </x:c>
      <x:c r="D904" s="22" t="str">
        <x:v>Unassessed</x:v>
      </x:c>
      <x:c r="E904" s="22" t="str">
        <x:v>IoT</x:v>
      </x:c>
      <x:c r="F904" s="22" t="str">
        <x:v>Internet-device observations</x:v>
      </x:c>
      <x:c r="G904" s="22" t="str">
        <x:v>An exposed service or approximate network location does not identify a person or authorize access.</x:v>
      </x:c>
      <x:c r="H904" s="22" t="str">
        <x:v>Verify publisher, source and current function before reliance</x:v>
      </x:c>
      <x:c r="I904" s="22" t="str">
        <x:v>Not checked</x:v>
      </x:c>
      <x:c r="J904" s="22" t="str">
        <x:v>Saved bookmark metadata only</x:v>
      </x:c>
      <x:c r="K904" s="22" t="str"/>
      <x:c r="L904" s="24" t="str"/>
      <x:c r="M904" s="24" t="str">
        <x:v>https://www.cleancss.com/router-default/</x:v>
      </x:c>
      <x:c r="N904" s="22" t="str">
        <x:v>268392529</x:v>
      </x:c>
      <x:c r="O904" s="22" t="n">
        <x:v>1041</x:v>
      </x:c>
      <x:c r="P904" s="22" t="n">
        <x:v>7</x:v>
      </x:c>
      <x:c r="Q904" s="22" t="str"/>
      <x:c r="R904" s="22" t="n">
        <x:f>COUNTIF($M$6:$M$1177,M904)</x:f>
        <x:v>1</x:v>
      </x:c>
      <x:c r="S904" s="22" t="str">
        <x:v>Other / utility</x:v>
      </x:c>
      <x:c r="T904" s="22" t="str">
        <x:v>Not established</x:v>
      </x:c>
    </x:row>
    <x:row r="905" ht="48" customHeight="1">
      <x:c r="A905" s="22" t="n">
        <x:v>900</x:v>
      </x:c>
      <x:c r="B905" s="22" t="str">
        <x:v>Live Bar and Pub Webcams</x:v>
      </x:c>
      <x:c r="C905" s="31" t="str">
        <x:v>U</x:v>
      </x:c>
      <x:c r="D905" s="22" t="str">
        <x:v>Unassessed</x:v>
      </x:c>
      <x:c r="E905" s="22" t="str">
        <x:v>IoT</x:v>
      </x:c>
      <x:c r="F905" s="22" t="str">
        <x:v>Internet-device observations</x:v>
      </x:c>
      <x:c r="G905" s="22" t="str">
        <x:v>An exposed service or approximate network location does not identify a person or authorize access.</x:v>
      </x:c>
      <x:c r="H905" s="22" t="str">
        <x:v>Verify publisher, source and current function before reliance</x:v>
      </x:c>
      <x:c r="I905" s="22" t="str">
        <x:v>Not checked</x:v>
      </x:c>
      <x:c r="J905" s="22" t="str">
        <x:v>Saved bookmark metadata only</x:v>
      </x:c>
      <x:c r="K905" s="22" t="str"/>
      <x:c r="L905" s="24" t="str"/>
      <x:c r="M905" s="24" t="str">
        <x:v>http://gobefore.me/cams/</x:v>
      </x:c>
      <x:c r="N905" s="22" t="str">
        <x:v>268512089</x:v>
      </x:c>
      <x:c r="O905" s="22" t="n">
        <x:v>1041</x:v>
      </x:c>
      <x:c r="P905" s="22" t="n">
        <x:v>8</x:v>
      </x:c>
      <x:c r="Q905" s="22" t="str"/>
      <x:c r="R905" s="22" t="n">
        <x:f>COUNTIF($M$6:$M$1177,M905)</x:f>
        <x:v>1</x:v>
      </x:c>
      <x:c r="S905" s="22" t="str">
        <x:v>Other / utility</x:v>
      </x:c>
      <x:c r="T905" s="22" t="str">
        <x:v>Not established</x:v>
      </x:c>
    </x:row>
    <x:row r="906" ht="48" customHeight="1">
      <x:c r="A906" s="22" t="n">
        <x:v>901</x:v>
      </x:c>
      <x:c r="B906" s="22" t="str">
        <x:v>Webcams Abroad live images</x:v>
      </x:c>
      <x:c r="C906" s="31" t="str">
        <x:v>U</x:v>
      </x:c>
      <x:c r="D906" s="22" t="str">
        <x:v>Unassessed</x:v>
      </x:c>
      <x:c r="E906" s="22" t="str">
        <x:v>IoT</x:v>
      </x:c>
      <x:c r="F906" s="22" t="str">
        <x:v>Internet-device observations</x:v>
      </x:c>
      <x:c r="G906" s="22" t="str">
        <x:v>An exposed service or approximate network location does not identify a person or authorize access.</x:v>
      </x:c>
      <x:c r="H906" s="22" t="str">
        <x:v>Verify publisher, source and current function before reliance</x:v>
      </x:c>
      <x:c r="I906" s="22" t="str">
        <x:v>Not checked</x:v>
      </x:c>
      <x:c r="J906" s="22" t="str">
        <x:v>Saved bookmark metadata only</x:v>
      </x:c>
      <x:c r="K906" s="22" t="str"/>
      <x:c r="L906" s="24" t="str"/>
      <x:c r="M906" s="24" t="str">
        <x:v>https://www.webcamsabroad.com/</x:v>
      </x:c>
      <x:c r="N906" s="22" t="str">
        <x:v>268512090</x:v>
      </x:c>
      <x:c r="O906" s="22" t="n">
        <x:v>1041</x:v>
      </x:c>
      <x:c r="P906" s="22" t="n">
        <x:v>9</x:v>
      </x:c>
      <x:c r="Q906" s="22" t="str"/>
      <x:c r="R906" s="22" t="n">
        <x:f>COUNTIF($M$6:$M$1177,M906)</x:f>
        <x:v>1</x:v>
      </x:c>
      <x:c r="S906" s="22" t="str">
        <x:v>Other / utility</x:v>
      </x:c>
      <x:c r="T906" s="22" t="str">
        <x:v>Not established</x:v>
      </x:c>
    </x:row>
    <x:row r="907" ht="48" customHeight="1">
      <x:c r="A907" s="22" t="n">
        <x:v>902</x:v>
      </x:c>
      <x:c r="B907" s="22" t="str">
        <x:v>WEBCAM LIVE</x:v>
      </x:c>
      <x:c r="C907" s="31" t="str">
        <x:v>U</x:v>
      </x:c>
      <x:c r="D907" s="22" t="str">
        <x:v>Unassessed</x:v>
      </x:c>
      <x:c r="E907" s="22" t="str">
        <x:v>IoT</x:v>
      </x:c>
      <x:c r="F907" s="22" t="str">
        <x:v>Internet-device observations</x:v>
      </x:c>
      <x:c r="G907" s="22" t="str">
        <x:v>An exposed service or approximate network location does not identify a person or authorize access.</x:v>
      </x:c>
      <x:c r="H907" s="22" t="str">
        <x:v>Verify publisher, source and current function before reliance</x:v>
      </x:c>
      <x:c r="I907" s="22" t="str">
        <x:v>Not checked</x:v>
      </x:c>
      <x:c r="J907" s="22" t="str">
        <x:v>Saved bookmark metadata only</x:v>
      </x:c>
      <x:c r="K907" s="22" t="str"/>
      <x:c r="L907" s="24" t="str"/>
      <x:c r="M907" s="24" t="str">
        <x:v>https://www.whatsupcams.com/en/</x:v>
      </x:c>
      <x:c r="N907" s="22" t="str">
        <x:v>268512170</x:v>
      </x:c>
      <x:c r="O907" s="22" t="n">
        <x:v>1041</x:v>
      </x:c>
      <x:c r="P907" s="22" t="n">
        <x:v>10</x:v>
      </x:c>
      <x:c r="Q907" s="22" t="str"/>
      <x:c r="R907" s="22" t="n">
        <x:f>COUNTIF($M$6:$M$1177,M907)</x:f>
        <x:v>1</x:v>
      </x:c>
      <x:c r="S907" s="22" t="str">
        <x:v>Other / utility</x:v>
      </x:c>
      <x:c r="T907" s="22" t="str">
        <x:v>Not established</x:v>
      </x:c>
    </x:row>
    <x:row r="908" ht="48" customHeight="1">
      <x:c r="A908" s="22" t="n">
        <x:v>903</x:v>
      </x:c>
      <x:c r="B908" s="22" t="str">
        <x:v>city-webcams.com</x:v>
      </x:c>
      <x:c r="C908" s="31" t="str">
        <x:v>U</x:v>
      </x:c>
      <x:c r="D908" s="22" t="str">
        <x:v>Unassessed</x:v>
      </x:c>
      <x:c r="E908" s="22" t="str">
        <x:v>IoT</x:v>
      </x:c>
      <x:c r="F908" s="22" t="str">
        <x:v>Internet-device observations</x:v>
      </x:c>
      <x:c r="G908" s="22" t="str">
        <x:v>An exposed service or approximate network location does not identify a person or authorize access.</x:v>
      </x:c>
      <x:c r="H908" s="22" t="str">
        <x:v>Verify publisher, source and current function before reliance</x:v>
      </x:c>
      <x:c r="I908" s="22" t="str">
        <x:v>Not checked</x:v>
      </x:c>
      <x:c r="J908" s="22" t="str">
        <x:v>Saved bookmark metadata only</x:v>
      </x:c>
      <x:c r="K908" s="22" t="str"/>
      <x:c r="L908" s="24" t="str"/>
      <x:c r="M908" s="24" t="str">
        <x:v>https://city-webcams.com/</x:v>
      </x:c>
      <x:c r="N908" s="22" t="str">
        <x:v>268512173</x:v>
      </x:c>
      <x:c r="O908" s="22" t="n">
        <x:v>1041</x:v>
      </x:c>
      <x:c r="P908" s="22" t="n">
        <x:v>11</x:v>
      </x:c>
      <x:c r="Q908" s="22" t="str"/>
      <x:c r="R908" s="22" t="n">
        <x:f>COUNTIF($M$6:$M$1177,M908)</x:f>
        <x:v>1</x:v>
      </x:c>
      <x:c r="S908" s="22" t="str">
        <x:v>Other / utility</x:v>
      </x:c>
      <x:c r="T908" s="22" t="str">
        <x:v>Not established</x:v>
      </x:c>
    </x:row>
    <x:row r="909" ht="48" customHeight="1">
      <x:c r="A909" s="22" t="n">
        <x:v>904</x:v>
      </x:c>
      <x:c r="B909" s="22" t="str">
        <x:v>thingful</x:v>
      </x:c>
      <x:c r="C909" s="31" t="str">
        <x:v>U</x:v>
      </x:c>
      <x:c r="D909" s="22" t="str">
        <x:v>Unassessed</x:v>
      </x:c>
      <x:c r="E909" s="22" t="str">
        <x:v>IoT</x:v>
      </x:c>
      <x:c r="F909" s="22" t="str">
        <x:v>Internet-device observations</x:v>
      </x:c>
      <x:c r="G909" s="22" t="str">
        <x:v>An exposed service or approximate network location does not identify a person or authorize access.</x:v>
      </x:c>
      <x:c r="H909" s="22" t="str">
        <x:v>Verify publisher, source and current function before reliance</x:v>
      </x:c>
      <x:c r="I909" s="22" t="str">
        <x:v>Not checked</x:v>
      </x:c>
      <x:c r="J909" s="22" t="str">
        <x:v>Saved bookmark metadata only</x:v>
      </x:c>
      <x:c r="K909" s="22" t="str"/>
      <x:c r="L909" s="24" t="str"/>
      <x:c r="M909" s="24" t="str">
        <x:v>http://www.thingful.net/</x:v>
      </x:c>
      <x:c r="N909" s="22" t="str">
        <x:v>268512266</x:v>
      </x:c>
      <x:c r="O909" s="22" t="n">
        <x:v>1041</x:v>
      </x:c>
      <x:c r="P909" s="22" t="n">
        <x:v>12</x:v>
      </x:c>
      <x:c r="Q909" s="22" t="str"/>
      <x:c r="R909" s="22" t="n">
        <x:f>COUNTIF($M$6:$M$1177,M909)</x:f>
        <x:v>1</x:v>
      </x:c>
      <x:c r="S909" s="22" t="str">
        <x:v>Other / utility</x:v>
      </x:c>
      <x:c r="T909" s="22" t="str">
        <x:v>Not established</x:v>
      </x:c>
    </x:row>
    <x:row r="910" ht="48" customHeight="1">
      <x:c r="A910" s="22" t="n">
        <x:v>905</x:v>
      </x:c>
      <x:c r="B910" s="22" t="str">
        <x:v>Live World Webcam</x:v>
      </x:c>
      <x:c r="C910" s="31" t="str">
        <x:v>U</x:v>
      </x:c>
      <x:c r="D910" s="22" t="str">
        <x:v>Unassessed</x:v>
      </x:c>
      <x:c r="E910" s="22" t="str">
        <x:v>IoT</x:v>
      </x:c>
      <x:c r="F910" s="22" t="str">
        <x:v>Internet-device observations</x:v>
      </x:c>
      <x:c r="G910" s="22" t="str">
        <x:v>An exposed service or approximate network location does not identify a person or authorize access.</x:v>
      </x:c>
      <x:c r="H910" s="22" t="str">
        <x:v>Verify publisher, source and current function before reliance</x:v>
      </x:c>
      <x:c r="I910" s="22" t="str">
        <x:v>Not checked</x:v>
      </x:c>
      <x:c r="J910" s="22" t="str">
        <x:v>Saved bookmark metadata only</x:v>
      </x:c>
      <x:c r="K910" s="22" t="str"/>
      <x:c r="L910" s="24" t="str"/>
      <x:c r="M910" s="24" t="str">
        <x:v>http://liveworldwebcam.net/</x:v>
      </x:c>
      <x:c r="N910" s="22" t="str">
        <x:v>268514353</x:v>
      </x:c>
      <x:c r="O910" s="22" t="n">
        <x:v>1041</x:v>
      </x:c>
      <x:c r="P910" s="22" t="n">
        <x:v>13</x:v>
      </x:c>
      <x:c r="Q910" s="22" t="str"/>
      <x:c r="R910" s="22" t="n">
        <x:f>COUNTIF($M$6:$M$1177,M910)</x:f>
        <x:v>1</x:v>
      </x:c>
      <x:c r="S910" s="22" t="str">
        <x:v>Other / utility</x:v>
      </x:c>
      <x:c r="T910" s="22" t="str">
        <x:v>Not established</x:v>
      </x:c>
    </x:row>
    <x:row r="911" ht="48" customHeight="1">
      <x:c r="A911" s="22" t="n">
        <x:v>906</x:v>
      </x:c>
      <x:c r="B911" s="22" t="str">
        <x:v>Live Cams | Iplivecams</x:v>
      </x:c>
      <x:c r="C911" s="31" t="str">
        <x:v>U</x:v>
      </x:c>
      <x:c r="D911" s="22" t="str">
        <x:v>Unassessed</x:v>
      </x:c>
      <x:c r="E911" s="22" t="str">
        <x:v>IoT</x:v>
      </x:c>
      <x:c r="F911" s="22" t="str">
        <x:v>Internet-device observations</x:v>
      </x:c>
      <x:c r="G911" s="22" t="str">
        <x:v>An exposed service or approximate network location does not identify a person or authorize access.</x:v>
      </x:c>
      <x:c r="H911" s="22" t="str">
        <x:v>Verify publisher, source and current function before reliance</x:v>
      </x:c>
      <x:c r="I911" s="22" t="str">
        <x:v>Not checked</x:v>
      </x:c>
      <x:c r="J911" s="22" t="str">
        <x:v>Saved bookmark metadata only</x:v>
      </x:c>
      <x:c r="K911" s="22" t="str"/>
      <x:c r="L911" s="24" t="str"/>
      <x:c r="M911" s="24" t="str">
        <x:v>https://www.iplivecams.com/live-cams/</x:v>
      </x:c>
      <x:c r="N911" s="22" t="str">
        <x:v>268514355</x:v>
      </x:c>
      <x:c r="O911" s="22" t="n">
        <x:v>1041</x:v>
      </x:c>
      <x:c r="P911" s="22" t="n">
        <x:v>14</x:v>
      </x:c>
      <x:c r="Q911" s="22" t="str"/>
      <x:c r="R911" s="22" t="n">
        <x:f>COUNTIF($M$6:$M$1177,M911)</x:f>
        <x:v>1</x:v>
      </x:c>
      <x:c r="S911" s="22" t="str">
        <x:v>Other / utility</x:v>
      </x:c>
      <x:c r="T911" s="22" t="str">
        <x:v>Not established</x:v>
      </x:c>
    </x:row>
    <x:row r="912" ht="48" customHeight="1">
      <x:c r="A912" s="22" t="n">
        <x:v>907</x:v>
      </x:c>
      <x:c r="B912" s="22" t="str">
        <x:v>Webcamtaxi</x:v>
      </x:c>
      <x:c r="C912" s="31" t="str">
        <x:v>U</x:v>
      </x:c>
      <x:c r="D912" s="22" t="str">
        <x:v>Unassessed</x:v>
      </x:c>
      <x:c r="E912" s="22" t="str">
        <x:v>IoT</x:v>
      </x:c>
      <x:c r="F912" s="22" t="str">
        <x:v>Internet-device observations</x:v>
      </x:c>
      <x:c r="G912" s="22" t="str">
        <x:v>An exposed service or approximate network location does not identify a person or authorize access.</x:v>
      </x:c>
      <x:c r="H912" s="22" t="str">
        <x:v>Verify publisher, source and current function before reliance</x:v>
      </x:c>
      <x:c r="I912" s="22" t="str">
        <x:v>Not checked</x:v>
      </x:c>
      <x:c r="J912" s="22" t="str">
        <x:v>Saved bookmark metadata only</x:v>
      </x:c>
      <x:c r="K912" s="22" t="str"/>
      <x:c r="L912" s="24" t="str"/>
      <x:c r="M912" s="24" t="str">
        <x:v>https://www.webcamtaxi.com/en/</x:v>
      </x:c>
      <x:c r="N912" s="22" t="str">
        <x:v>268514357</x:v>
      </x:c>
      <x:c r="O912" s="22" t="n">
        <x:v>1041</x:v>
      </x:c>
      <x:c r="P912" s="22" t="n">
        <x:v>15</x:v>
      </x:c>
      <x:c r="Q912" s="22" t="str"/>
      <x:c r="R912" s="22" t="n">
        <x:f>COUNTIF($M$6:$M$1177,M912)</x:f>
        <x:v>1</x:v>
      </x:c>
      <x:c r="S912" s="22" t="str">
        <x:v>Other / utility</x:v>
      </x:c>
      <x:c r="T912" s="22" t="str">
        <x:v>Not established</x:v>
      </x:c>
    </x:row>
    <x:row r="913" ht="48" customHeight="1">
      <x:c r="A913" s="22" t="n">
        <x:v>908</x:v>
      </x:c>
      <x:c r="B913" s="22" t="str">
        <x:v>Explorecams.com</x:v>
      </x:c>
      <x:c r="C913" s="31" t="str">
        <x:v>U</x:v>
      </x:c>
      <x:c r="D913" s="22" t="str">
        <x:v>Unassessed</x:v>
      </x:c>
      <x:c r="E913" s="22" t="str">
        <x:v>IoT</x:v>
      </x:c>
      <x:c r="F913" s="22" t="str">
        <x:v>Internet-device observations</x:v>
      </x:c>
      <x:c r="G913" s="22" t="str">
        <x:v>An exposed service or approximate network location does not identify a person or authorize access.</x:v>
      </x:c>
      <x:c r="H913" s="22" t="str">
        <x:v>Verify publisher, source and current function before reliance</x:v>
      </x:c>
      <x:c r="I913" s="22" t="str">
        <x:v>Not checked</x:v>
      </x:c>
      <x:c r="J913" s="22" t="str">
        <x:v>Saved bookmark metadata only</x:v>
      </x:c>
      <x:c r="K913" s="22" t="str"/>
      <x:c r="L913" s="24" t="str"/>
      <x:c r="M913" s="24" t="str">
        <x:v>https://explorecams.com/</x:v>
      </x:c>
      <x:c r="N913" s="22" t="str">
        <x:v>268640347</x:v>
      </x:c>
      <x:c r="O913" s="22" t="n">
        <x:v>1041</x:v>
      </x:c>
      <x:c r="P913" s="22" t="n">
        <x:v>16</x:v>
      </x:c>
      <x:c r="Q913" s="22" t="str"/>
      <x:c r="R913" s="22" t="n">
        <x:f>COUNTIF($M$6:$M$1177,M913)</x:f>
        <x:v>1</x:v>
      </x:c>
      <x:c r="S913" s="22" t="str">
        <x:v>Other / utility</x:v>
      </x:c>
      <x:c r="T913" s="22" t="str">
        <x:v>Not established</x:v>
      </x:c>
    </x:row>
    <x:row r="914" ht="48" customHeight="1">
      <x:c r="A914" s="22" t="n">
        <x:v>909</x:v>
      </x:c>
      <x:c r="B914" s="22" t="str">
        <x:v>C4-cams</x:v>
      </x:c>
      <x:c r="C914" s="31" t="str">
        <x:v>U</x:v>
      </x:c>
      <x:c r="D914" s="22" t="str">
        <x:v>Unassessed</x:v>
      </x:c>
      <x:c r="E914" s="22" t="str">
        <x:v>IoT</x:v>
      </x:c>
      <x:c r="F914" s="22" t="str">
        <x:v>Internet-device observations</x:v>
      </x:c>
      <x:c r="G914" s="22" t="str">
        <x:v>An exposed service or approximate network location does not identify a person or authorize access.</x:v>
      </x:c>
      <x:c r="H914" s="22" t="str">
        <x:v>Verify publisher, source and current function before reliance</x:v>
      </x:c>
      <x:c r="I914" s="22" t="str">
        <x:v>Not checked</x:v>
      </x:c>
      <x:c r="J914" s="22" t="str">
        <x:v>Saved bookmark metadata only</x:v>
      </x:c>
      <x:c r="K914" s="22" t="str"/>
      <x:c r="L914" s="24" t="str"/>
      <x:c r="M914" s="24" t="str">
        <x:v>http://c4-cams.qwazwsx.xyz/c4-cams/</x:v>
      </x:c>
      <x:c r="N914" s="22" t="str">
        <x:v>287837478</x:v>
      </x:c>
      <x:c r="O914" s="22" t="n">
        <x:v>1041</x:v>
      </x:c>
      <x:c r="P914" s="22" t="n">
        <x:v>17</x:v>
      </x:c>
      <x:c r="Q914" s="22" t="str"/>
      <x:c r="R914" s="22" t="n">
        <x:f>COUNTIF($M$6:$M$1177,M914)</x:f>
        <x:v>1</x:v>
      </x:c>
      <x:c r="S914" s="22" t="str">
        <x:v>Other / utility</x:v>
      </x:c>
      <x:c r="T914" s="22" t="str">
        <x:v>Not established</x:v>
      </x:c>
    </x:row>
    <x:row r="915" ht="48" customHeight="1">
      <x:c r="A915" s="22" t="n">
        <x:v>910</x:v>
      </x:c>
      <x:c r="B915" s="22" t="str">
        <x:v>Nest Cam Directory</x:v>
      </x:c>
      <x:c r="C915" s="31" t="str">
        <x:v>U</x:v>
      </x:c>
      <x:c r="D915" s="22" t="str">
        <x:v>Unassessed</x:v>
      </x:c>
      <x:c r="E915" s="22" t="str">
        <x:v>IoT</x:v>
      </x:c>
      <x:c r="F915" s="22" t="str">
        <x:v>Internet-device observations</x:v>
      </x:c>
      <x:c r="G915" s="22" t="str">
        <x:v>An exposed service or approximate network location does not identify a person or authorize access.</x:v>
      </x:c>
      <x:c r="H915" s="22" t="str">
        <x:v>Verify publisher, source and current function before reliance</x:v>
      </x:c>
      <x:c r="I915" s="22" t="str">
        <x:v>Not checked</x:v>
      </x:c>
      <x:c r="J915" s="22" t="str">
        <x:v>Saved bookmark metadata only</x:v>
      </x:c>
      <x:c r="K915" s="22" t="str"/>
      <x:c r="L915" s="24" t="str"/>
      <x:c r="M915" s="24" t="str">
        <x:v>https://www.nestcamdirectory.com/</x:v>
      </x:c>
      <x:c r="N915" s="22" t="str">
        <x:v>287837526</x:v>
      </x:c>
      <x:c r="O915" s="22" t="n">
        <x:v>1041</x:v>
      </x:c>
      <x:c r="P915" s="22" t="n">
        <x:v>18</x:v>
      </x:c>
      <x:c r="Q915" s="22" t="str"/>
      <x:c r="R915" s="22" t="n">
        <x:f>COUNTIF($M$6:$M$1177,M915)</x:f>
        <x:v>1</x:v>
      </x:c>
      <x:c r="S915" s="22" t="str">
        <x:v>Other / utility</x:v>
      </x:c>
      <x:c r="T915" s="22" t="str">
        <x:v>Not established</x:v>
      </x:c>
    </x:row>
    <x:row r="916" ht="48" customHeight="1">
      <x:c r="A916" s="22" t="n">
        <x:v>911</x:v>
      </x:c>
      <x:c r="B916" s="22" t="str">
        <x:v>Opentopia</x:v>
      </x:c>
      <x:c r="C916" s="31" t="str">
        <x:v>U</x:v>
      </x:c>
      <x:c r="D916" s="22" t="str">
        <x:v>Unassessed</x:v>
      </x:c>
      <x:c r="E916" s="22" t="str">
        <x:v>IoT</x:v>
      </x:c>
      <x:c r="F916" s="22" t="str">
        <x:v>Internet-device observations</x:v>
      </x:c>
      <x:c r="G916" s="22" t="str">
        <x:v>An exposed service or approximate network location does not identify a person or authorize access.</x:v>
      </x:c>
      <x:c r="H916" s="22" t="str">
        <x:v>Verify publisher, source and current function before reliance</x:v>
      </x:c>
      <x:c r="I916" s="22" t="str">
        <x:v>Not checked</x:v>
      </x:c>
      <x:c r="J916" s="22" t="str">
        <x:v>Saved bookmark metadata only</x:v>
      </x:c>
      <x:c r="K916" s="22" t="str"/>
      <x:c r="L916" s="24" t="str"/>
      <x:c r="M916" s="24" t="str">
        <x:v>http://www.opentopia.com/</x:v>
      </x:c>
      <x:c r="N916" s="22" t="str">
        <x:v>287837531</x:v>
      </x:c>
      <x:c r="O916" s="22" t="n">
        <x:v>1041</x:v>
      </x:c>
      <x:c r="P916" s="22" t="n">
        <x:v>19</x:v>
      </x:c>
      <x:c r="Q916" s="22" t="str"/>
      <x:c r="R916" s="22" t="n">
        <x:f>COUNTIF($M$6:$M$1177,M916)</x:f>
        <x:v>1</x:v>
      </x:c>
      <x:c r="S916" s="22" t="str">
        <x:v>Other / utility</x:v>
      </x:c>
      <x:c r="T916" s="22" t="str">
        <x:v>Not established</x:v>
      </x:c>
    </x:row>
    <x:row r="917" ht="48" customHeight="1">
      <x:c r="A917" s="22" t="n">
        <x:v>912</x:v>
      </x:c>
      <x:c r="B917" s="22" t="str">
        <x:v>WorldCam</x:v>
      </x:c>
      <x:c r="C917" s="31" t="str">
        <x:v>U</x:v>
      </x:c>
      <x:c r="D917" s="22" t="str">
        <x:v>Unassessed</x:v>
      </x:c>
      <x:c r="E917" s="22" t="str">
        <x:v>IoT</x:v>
      </x:c>
      <x:c r="F917" s="22" t="str">
        <x:v>Internet-device observations</x:v>
      </x:c>
      <x:c r="G917" s="22" t="str">
        <x:v>An exposed service or approximate network location does not identify a person or authorize access.</x:v>
      </x:c>
      <x:c r="H917" s="22" t="str">
        <x:v>Verify publisher, source and current function before reliance</x:v>
      </x:c>
      <x:c r="I917" s="22" t="str">
        <x:v>Not checked</x:v>
      </x:c>
      <x:c r="J917" s="22" t="str">
        <x:v>Saved bookmark metadata only</x:v>
      </x:c>
      <x:c r="K917" s="22" t="str"/>
      <x:c r="L917" s="24" t="str"/>
      <x:c r="M917" s="24" t="str">
        <x:v>https://worldcam.eu/</x:v>
      </x:c>
      <x:c r="N917" s="22" t="str">
        <x:v>287837639</x:v>
      </x:c>
      <x:c r="O917" s="22" t="n">
        <x:v>1041</x:v>
      </x:c>
      <x:c r="P917" s="22" t="n">
        <x:v>20</x:v>
      </x:c>
      <x:c r="Q917" s="22" t="str"/>
      <x:c r="R917" s="22" t="n">
        <x:f>COUNTIF($M$6:$M$1177,M917)</x:f>
        <x:v>1</x:v>
      </x:c>
      <x:c r="S917" s="22" t="str">
        <x:v>Other / utility</x:v>
      </x:c>
      <x:c r="T917" s="22" t="str">
        <x:v>Not established</x:v>
      </x:c>
    </x:row>
    <x:row r="918" ht="48" customHeight="1">
      <x:c r="A918" s="22" t="n">
        <x:v>913</x:v>
      </x:c>
      <x:c r="B918" s="22" t="str">
        <x:v>Hawaii Traffic Cameras</x:v>
      </x:c>
      <x:c r="C918" s="31" t="str">
        <x:v>U</x:v>
      </x:c>
      <x:c r="D918" s="22" t="str">
        <x:v>Unassessed</x:v>
      </x:c>
      <x:c r="E918" s="22" t="str">
        <x:v>IoT</x:v>
      </x:c>
      <x:c r="F918" s="22" t="str">
        <x:v>Internet-device observations</x:v>
      </x:c>
      <x:c r="G918" s="22" t="str">
        <x:v>An exposed service or approximate network location does not identify a person or authorize access.</x:v>
      </x:c>
      <x:c r="H918" s="22" t="str">
        <x:v>Verify publisher, source and current function before reliance</x:v>
      </x:c>
      <x:c r="I918" s="22" t="str">
        <x:v>Not checked</x:v>
      </x:c>
      <x:c r="J918" s="22" t="str">
        <x:v>Saved bookmark metadata only</x:v>
      </x:c>
      <x:c r="K918" s="22" t="str"/>
      <x:c r="L918" s="24" t="str"/>
      <x:c r="M918" s="24" t="str">
        <x:v>http://goakamai.org/home</x:v>
      </x:c>
      <x:c r="N918" s="22" t="str">
        <x:v>297941920</x:v>
      </x:c>
      <x:c r="O918" s="22" t="n">
        <x:v>1041</x:v>
      </x:c>
      <x:c r="P918" s="22" t="n">
        <x:v>21</x:v>
      </x:c>
      <x:c r="Q918" s="22" t="str"/>
      <x:c r="R918" s="22" t="n">
        <x:f>COUNTIF($M$6:$M$1177,M918)</x:f>
        <x:v>1</x:v>
      </x:c>
      <x:c r="S918" s="22" t="str">
        <x:v>Other / utility</x:v>
      </x:c>
      <x:c r="T918" s="22" t="str">
        <x:v>Not established</x:v>
      </x:c>
    </x:row>
    <x:row r="919" ht="48" customHeight="1">
      <x:c r="A919" s="22" t="n">
        <x:v>914</x:v>
      </x:c>
      <x:c r="B919" s="22" t="str">
        <x:v>Honolulu Traffic Cams</x:v>
      </x:c>
      <x:c r="C919" s="31" t="str">
        <x:v>U</x:v>
      </x:c>
      <x:c r="D919" s="22" t="str">
        <x:v>Unassessed</x:v>
      </x:c>
      <x:c r="E919" s="22" t="str">
        <x:v>IoT</x:v>
      </x:c>
      <x:c r="F919" s="22" t="str">
        <x:v>Internet-device observations</x:v>
      </x:c>
      <x:c r="G919" s="22" t="str">
        <x:v>An exposed service or approximate network location does not identify a person or authorize access.</x:v>
      </x:c>
      <x:c r="H919" s="22" t="str">
        <x:v>Verify publisher, source and current function before reliance</x:v>
      </x:c>
      <x:c r="I919" s="22" t="str">
        <x:v>Not checked</x:v>
      </x:c>
      <x:c r="J919" s="22" t="str">
        <x:v>Saved bookmark metadata only</x:v>
      </x:c>
      <x:c r="K919" s="22" t="str"/>
      <x:c r="L919" s="24" t="str"/>
      <x:c r="M919" s="24" t="str">
        <x:v>http://www2.honolulu.gov/honolulumyway/?trafficcam</x:v>
      </x:c>
      <x:c r="N919" s="22" t="str">
        <x:v>297941927</x:v>
      </x:c>
      <x:c r="O919" s="22" t="n">
        <x:v>1041</x:v>
      </x:c>
      <x:c r="P919" s="22" t="n">
        <x:v>22</x:v>
      </x:c>
      <x:c r="Q919" s="22" t="str"/>
      <x:c r="R919" s="22" t="n">
        <x:f>COUNTIF($M$6:$M$1177,M919)</x:f>
        <x:v>1</x:v>
      </x:c>
      <x:c r="S919" s="22" t="str">
        <x:v>Other / utility</x:v>
      </x:c>
      <x:c r="T919" s="22" t="str">
        <x:v>Not established</x:v>
      </x:c>
    </x:row>
    <x:row r="920" ht="48" customHeight="1">
      <x:c r="A920" s="22" t="n">
        <x:v>915</x:v>
      </x:c>
      <x:c r="B920" s="22" t="str">
        <x:v>Lake County Fire Cameras</x:v>
      </x:c>
      <x:c r="C920" s="31" t="str">
        <x:v>U</x:v>
      </x:c>
      <x:c r="D920" s="22" t="str">
        <x:v>Unassessed</x:v>
      </x:c>
      <x:c r="E920" s="22" t="str">
        <x:v>IoT</x:v>
      </x:c>
      <x:c r="F920" s="22" t="str">
        <x:v>Internet-device observations</x:v>
      </x:c>
      <x:c r="G920" s="22" t="str">
        <x:v>An exposed service or approximate network location does not identify a person or authorize access.</x:v>
      </x:c>
      <x:c r="H920" s="22" t="str">
        <x:v>Verify publisher, source and current function before reliance</x:v>
      </x:c>
      <x:c r="I920" s="22" t="str">
        <x:v>Not checked</x:v>
      </x:c>
      <x:c r="J920" s="22" t="str">
        <x:v>Saved bookmark metadata only</x:v>
      </x:c>
      <x:c r="K920" s="22" t="str"/>
      <x:c r="L920" s="24" t="str"/>
      <x:c r="M920" s="24" t="str">
        <x:v>https://www.arcgis.com/apps/webappviewer/index.html?id=0f7aa08cc4b74fc6a0c4308d4eace6b3</x:v>
      </x:c>
      <x:c r="N920" s="22" t="str">
        <x:v>297941865</x:v>
      </x:c>
      <x:c r="O920" s="22" t="n">
        <x:v>1041</x:v>
      </x:c>
      <x:c r="P920" s="22" t="n">
        <x:v>23</x:v>
      </x:c>
      <x:c r="Q920" s="22" t="str"/>
      <x:c r="R920" s="22" t="n">
        <x:f>COUNTIF($M$6:$M$1177,M920)</x:f>
        <x:v>1</x:v>
      </x:c>
      <x:c r="S920" s="22" t="str">
        <x:v>Other / utility</x:v>
      </x:c>
      <x:c r="T920" s="22" t="str">
        <x:v>Not established</x:v>
      </x:c>
    </x:row>
    <x:row r="921" ht="48" customHeight="1">
      <x:c r="A921" s="22" t="n">
        <x:v>916</x:v>
      </x:c>
      <x:c r="B921" s="22" t="str">
        <x:v>VDOT Traffic Cams</x:v>
      </x:c>
      <x:c r="C921" s="31" t="str">
        <x:v>U</x:v>
      </x:c>
      <x:c r="D921" s="22" t="str">
        <x:v>Unassessed</x:v>
      </x:c>
      <x:c r="E921" s="22" t="str">
        <x:v>IoT</x:v>
      </x:c>
      <x:c r="F921" s="22" t="str">
        <x:v>Internet-device observations</x:v>
      </x:c>
      <x:c r="G921" s="22" t="str">
        <x:v>An exposed service or approximate network location does not identify a person or authorize access.</x:v>
      </x:c>
      <x:c r="H921" s="22" t="str">
        <x:v>Verify publisher, source and current function before reliance</x:v>
      </x:c>
      <x:c r="I921" s="22" t="str">
        <x:v>Not checked</x:v>
      </x:c>
      <x:c r="J921" s="22" t="str">
        <x:v>Saved bookmark metadata only</x:v>
      </x:c>
      <x:c r="K921" s="22" t="str"/>
      <x:c r="L921" s="24" t="str"/>
      <x:c r="M921" s="24" t="str">
        <x:v>https://www.arcgis.com/apps/dashboards/a0d3fb34cda44f5b8b10be1b245f24a3</x:v>
      </x:c>
      <x:c r="N921" s="22" t="str">
        <x:v>297941917</x:v>
      </x:c>
      <x:c r="O921" s="22" t="n">
        <x:v>1041</x:v>
      </x:c>
      <x:c r="P921" s="22" t="n">
        <x:v>24</x:v>
      </x:c>
      <x:c r="Q921" s="22" t="str"/>
      <x:c r="R921" s="22" t="n">
        <x:f>COUNTIF($M$6:$M$1177,M921)</x:f>
        <x:v>1</x:v>
      </x:c>
      <x:c r="S921" s="22" t="str">
        <x:v>Other / utility</x:v>
      </x:c>
      <x:c r="T921" s="22" t="str">
        <x:v>Not established</x:v>
      </x:c>
    </x:row>
    <x:row r="922" ht="48" customHeight="1">
      <x:c r="A922" s="22" t="n">
        <x:v>917</x:v>
      </x:c>
      <x:c r="B922" s="22" t="str">
        <x:v>Lubbock Live Traffic Cameras</x:v>
      </x:c>
      <x:c r="C922" s="31" t="str">
        <x:v>U</x:v>
      </x:c>
      <x:c r="D922" s="22" t="str">
        <x:v>Unassessed</x:v>
      </x:c>
      <x:c r="E922" s="22" t="str">
        <x:v>IoT</x:v>
      </x:c>
      <x:c r="F922" s="22" t="str">
        <x:v>Internet-device observations</x:v>
      </x:c>
      <x:c r="G922" s="22" t="str">
        <x:v>An exposed service or approximate network location does not identify a person or authorize access.</x:v>
      </x:c>
      <x:c r="H922" s="22" t="str">
        <x:v>Verify publisher, source and current function before reliance</x:v>
      </x:c>
      <x:c r="I922" s="22" t="str">
        <x:v>Not checked</x:v>
      </x:c>
      <x:c r="J922" s="22" t="str">
        <x:v>Saved bookmark metadata only</x:v>
      </x:c>
      <x:c r="K922" s="22" t="str"/>
      <x:c r="L922" s="24" t="str"/>
      <x:c r="M922" s="24" t="str">
        <x:v>https://www.arcgis.com/apps/webappviewer/index.html?id=affe50ac55824c7a8c757d3980787e31</x:v>
      </x:c>
      <x:c r="N922" s="22" t="str">
        <x:v>297941966</x:v>
      </x:c>
      <x:c r="O922" s="22" t="n">
        <x:v>1041</x:v>
      </x:c>
      <x:c r="P922" s="22" t="n">
        <x:v>25</x:v>
      </x:c>
      <x:c r="Q922" s="22" t="str"/>
      <x:c r="R922" s="22" t="n">
        <x:f>COUNTIF($M$6:$M$1177,M922)</x:f>
        <x:v>1</x:v>
      </x:c>
      <x:c r="S922" s="22" t="str">
        <x:v>Other / utility</x:v>
      </x:c>
      <x:c r="T922" s="22" t="str">
        <x:v>Not established</x:v>
      </x:c>
    </x:row>
    <x:row r="923" ht="48" customHeight="1">
      <x:c r="A923" s="22" t="n">
        <x:v>918</x:v>
      </x:c>
      <x:c r="B923" s="22" t="str">
        <x:v>Hong Kong Traffic Data &amp; Cams</x:v>
      </x:c>
      <x:c r="C923" s="31" t="str">
        <x:v>U</x:v>
      </x:c>
      <x:c r="D923" s="22" t="str">
        <x:v>Unassessed</x:v>
      </x:c>
      <x:c r="E923" s="22" t="str">
        <x:v>IoT</x:v>
      </x:c>
      <x:c r="F923" s="22" t="str">
        <x:v>Internet-device observations</x:v>
      </x:c>
      <x:c r="G923" s="22" t="str">
        <x:v>An exposed service or approximate network location does not identify a person or authorize access.</x:v>
      </x:c>
      <x:c r="H923" s="22" t="str">
        <x:v>Verify publisher, source and current function before reliance</x:v>
      </x:c>
      <x:c r="I923" s="22" t="str">
        <x:v>Not checked</x:v>
      </x:c>
      <x:c r="J923" s="22" t="str">
        <x:v>Saved bookmark metadata only</x:v>
      </x:c>
      <x:c r="K923" s="22" t="str"/>
      <x:c r="L923" s="24" t="str"/>
      <x:c r="M923" s="24" t="str">
        <x:v>https://www.arcgis.com/apps/dashboards/47be6372a0434beaba99ae9c9f1d598d</x:v>
      </x:c>
      <x:c r="N923" s="22" t="str">
        <x:v>297942024</x:v>
      </x:c>
      <x:c r="O923" s="22" t="n">
        <x:v>1041</x:v>
      </x:c>
      <x:c r="P923" s="22" t="n">
        <x:v>26</x:v>
      </x:c>
      <x:c r="Q923" s="22" t="str"/>
      <x:c r="R923" s="22" t="n">
        <x:f>COUNTIF($M$6:$M$1177,M923)</x:f>
        <x:v>1</x:v>
      </x:c>
      <x:c r="S923" s="22" t="str">
        <x:v>Other / utility</x:v>
      </x:c>
      <x:c r="T923" s="22" t="str">
        <x:v>Not established</x:v>
      </x:c>
    </x:row>
    <x:row r="924" ht="48" customHeight="1">
      <x:c r="A924" s="22" t="n">
        <x:v>919</x:v>
      </x:c>
      <x:c r="B924" s="22" t="str">
        <x:v>Baton Rouge Traffic Cams</x:v>
      </x:c>
      <x:c r="C924" s="31" t="str">
        <x:v>U</x:v>
      </x:c>
      <x:c r="D924" s="22" t="str">
        <x:v>Unassessed</x:v>
      </x:c>
      <x:c r="E924" s="22" t="str">
        <x:v>IoT</x:v>
      </x:c>
      <x:c r="F924" s="22" t="str">
        <x:v>Internet-device observations</x:v>
      </x:c>
      <x:c r="G924" s="22" t="str">
        <x:v>An exposed service or approximate network location does not identify a person or authorize access.</x:v>
      </x:c>
      <x:c r="H924" s="22" t="str">
        <x:v>Verify publisher, source and current function before reliance</x:v>
      </x:c>
      <x:c r="I924" s="22" t="str">
        <x:v>Not checked</x:v>
      </x:c>
      <x:c r="J924" s="22" t="str">
        <x:v>Saved bookmark metadata only</x:v>
      </x:c>
      <x:c r="K924" s="22" t="str"/>
      <x:c r="L924" s="24" t="str"/>
      <x:c r="M924" s="24" t="str">
        <x:v>https://www.arcgis.com/apps/webappviewer/index.html?id=0ec05ffb0d2d4735a969e8f31f820a7b</x:v>
      </x:c>
      <x:c r="N924" s="22" t="str">
        <x:v>297942031</x:v>
      </x:c>
      <x:c r="O924" s="22" t="n">
        <x:v>1041</x:v>
      </x:c>
      <x:c r="P924" s="22" t="n">
        <x:v>27</x:v>
      </x:c>
      <x:c r="Q924" s="22" t="str"/>
      <x:c r="R924" s="22" t="n">
        <x:f>COUNTIF($M$6:$M$1177,M924)</x:f>
        <x:v>1</x:v>
      </x:c>
      <x:c r="S924" s="22" t="str">
        <x:v>Other / utility</x:v>
      </x:c>
      <x:c r="T924" s="22" t="str">
        <x:v>Not established</x:v>
      </x:c>
    </x:row>
    <x:row r="925" ht="48" customHeight="1">
      <x:c r="A925" s="22" t="n">
        <x:v>920</x:v>
      </x:c>
      <x:c r="B925" s="22" t="str">
        <x:v>Surveillance under Surveillance</x:v>
      </x:c>
      <x:c r="C925" s="31" t="str">
        <x:v>U</x:v>
      </x:c>
      <x:c r="D925" s="22" t="str">
        <x:v>Unassessed</x:v>
      </x:c>
      <x:c r="E925" s="22" t="str">
        <x:v>IoT</x:v>
      </x:c>
      <x:c r="F925" s="22" t="str">
        <x:v>Internet-device observations</x:v>
      </x:c>
      <x:c r="G925" s="22" t="str">
        <x:v>An exposed service or approximate network location does not identify a person or authorize access.</x:v>
      </x:c>
      <x:c r="H925" s="22" t="str">
        <x:v>Verify publisher, source and current function before reliance</x:v>
      </x:c>
      <x:c r="I925" s="22" t="str">
        <x:v>Not checked</x:v>
      </x:c>
      <x:c r="J925" s="22" t="str">
        <x:v>Saved bookmark metadata only</x:v>
      </x:c>
      <x:c r="K925" s="22" t="str"/>
      <x:c r="L925" s="24" t="str"/>
      <x:c r="M925" s="24" t="str">
        <x:v>https://sunders.uber.space/</x:v>
      </x:c>
      <x:c r="N925" s="22" t="str">
        <x:v>311648308</x:v>
      </x:c>
      <x:c r="O925" s="22" t="n">
        <x:v>1041</x:v>
      </x:c>
      <x:c r="P925" s="22" t="n">
        <x:v>28</x:v>
      </x:c>
      <x:c r="Q925" s="22" t="str"/>
      <x:c r="R925" s="22" t="n">
        <x:f>COUNTIF($M$6:$M$1177,M925)</x:f>
        <x:v>1</x:v>
      </x:c>
      <x:c r="S925" s="22" t="str">
        <x:v>Other / utility</x:v>
      </x:c>
      <x:c r="T925" s="22" t="str">
        <x:v>Not established</x:v>
      </x:c>
    </x:row>
    <x:row r="926" ht="48" customHeight="1">
      <x:c r="A926" s="22" t="n">
        <x:v>921</x:v>
      </x:c>
      <x:c r="B926" s="22" t="str">
        <x:v>Ukraine Live Cams</x:v>
      </x:c>
      <x:c r="C926" s="31" t="str">
        <x:v>U</x:v>
      </x:c>
      <x:c r="D926" s="22" t="str">
        <x:v>Unassessed</x:v>
      </x:c>
      <x:c r="E926" s="22" t="str">
        <x:v>IoT</x:v>
      </x:c>
      <x:c r="F926" s="22" t="str">
        <x:v>Internet-device observations</x:v>
      </x:c>
      <x:c r="G926" s="22" t="str">
        <x:v>An exposed service or approximate network location does not identify a person or authorize access.</x:v>
      </x:c>
      <x:c r="H926" s="22" t="str">
        <x:v>Verify publisher, source and current function before reliance</x:v>
      </x:c>
      <x:c r="I926" s="22" t="str">
        <x:v>Not checked</x:v>
      </x:c>
      <x:c r="J926" s="22" t="str">
        <x:v>Saved bookmark metadata only</x:v>
      </x:c>
      <x:c r="K926" s="22" t="str"/>
      <x:c r="L926" s="24" t="str"/>
      <x:c r="M926" s="24" t="str">
        <x:v>https://nagix.github.io/ukraine-livecams/#5.5/47.774/31.685/0/45</x:v>
      </x:c>
      <x:c r="N926" s="22" t="str">
        <x:v>311648310</x:v>
      </x:c>
      <x:c r="O926" s="22" t="n">
        <x:v>1041</x:v>
      </x:c>
      <x:c r="P926" s="22" t="n">
        <x:v>29</x:v>
      </x:c>
      <x:c r="Q926" s="22" t="str"/>
      <x:c r="R926" s="22" t="n">
        <x:f>COUNTIF($M$6:$M$1177,M926)</x:f>
        <x:v>1</x:v>
      </x:c>
      <x:c r="S926" s="22" t="str">
        <x:v>Other / utility</x:v>
      </x:c>
      <x:c r="T926" s="22" t="str">
        <x:v>Not established</x:v>
      </x:c>
    </x:row>
    <x:row r="927" ht="48" customHeight="1">
      <x:c r="A927" s="22" t="n">
        <x:v>922</x:v>
      </x:c>
      <x:c r="B927" s="22" t="str">
        <x:v>Fisgonia</x:v>
      </x:c>
      <x:c r="C927" s="31" t="str">
        <x:v>U</x:v>
      </x:c>
      <x:c r="D927" s="22" t="str">
        <x:v>Unassessed</x:v>
      </x:c>
      <x:c r="E927" s="22" t="str">
        <x:v>IoT</x:v>
      </x:c>
      <x:c r="F927" s="22" t="str">
        <x:v>Internet-device observations</x:v>
      </x:c>
      <x:c r="G927" s="22" t="str">
        <x:v>An exposed service or approximate network location does not identify a person or authorize access.</x:v>
      </x:c>
      <x:c r="H927" s="22" t="str">
        <x:v>Verify publisher, source and current function before reliance</x:v>
      </x:c>
      <x:c r="I927" s="22" t="str">
        <x:v>Not checked</x:v>
      </x:c>
      <x:c r="J927" s="22" t="str">
        <x:v>Saved bookmark metadata only</x:v>
      </x:c>
      <x:c r="K927" s="22" t="str"/>
      <x:c r="L927" s="24" t="str"/>
      <x:c r="M927" s="24" t="str">
        <x:v>http://www.fisgonia.com/</x:v>
      </x:c>
      <x:c r="N927" s="22" t="str">
        <x:v>311648313</x:v>
      </x:c>
      <x:c r="O927" s="22" t="n">
        <x:v>1041</x:v>
      </x:c>
      <x:c r="P927" s="22" t="n">
        <x:v>30</x:v>
      </x:c>
      <x:c r="Q927" s="22" t="str"/>
      <x:c r="R927" s="22" t="n">
        <x:f>COUNTIF($M$6:$M$1177,M927)</x:f>
        <x:v>1</x:v>
      </x:c>
      <x:c r="S927" s="22" t="str">
        <x:v>Other / utility</x:v>
      </x:c>
      <x:c r="T927" s="22" t="str">
        <x:v>Not established</x:v>
      </x:c>
    </x:row>
    <x:row r="928" ht="48" customHeight="1">
      <x:c r="A928" s="22" t="n">
        <x:v>923</x:v>
      </x:c>
      <x:c r="B928" s="22" t="str">
        <x:v>Google Maps</x:v>
      </x:c>
      <x:c r="C928" s="31" t="str">
        <x:v>U</x:v>
      </x:c>
      <x:c r="D928" s="22" t="str">
        <x:v>Unassessed</x:v>
      </x:c>
      <x:c r="E928" s="22" t="str">
        <x:v>MAPS</x:v>
      </x:c>
      <x:c r="F928" s="22" t="str">
        <x:v>Map or geospatial context</x:v>
      </x:c>
      <x:c r="G928" s="22" t="str">
        <x:v>Verify the layer publisher, imagery/observation date and local accuracy; proximity is not a relationship.</x:v>
      </x:c>
      <x:c r="H928" s="22" t="str">
        <x:v>Verify publisher, source and current function before reliance</x:v>
      </x:c>
      <x:c r="I928" s="22" t="str">
        <x:v>Not checked</x:v>
      </x:c>
      <x:c r="J928" s="22" t="str">
        <x:v>Saved bookmark metadata only</x:v>
      </x:c>
      <x:c r="K928" s="22" t="str"/>
      <x:c r="L928" s="24" t="str"/>
      <x:c r="M928" s="24" t="str">
        <x:v>https://www.google.com/maps</x:v>
      </x:c>
      <x:c r="N928" s="22" t="str">
        <x:v>268408936</x:v>
      </x:c>
      <x:c r="O928" s="22" t="n">
        <x:v>1041</x:v>
      </x:c>
      <x:c r="P928" s="22" t="n">
        <x:v>1</x:v>
      </x:c>
      <x:c r="Q928" s="22" t="str"/>
      <x:c r="R928" s="22" t="n">
        <x:f>COUNTIF($M$6:$M$1177,M928)</x:f>
        <x:v>1</x:v>
      </x:c>
      <x:c r="S928" s="22" t="str">
        <x:v>Other / utility</x:v>
      </x:c>
      <x:c r="T928" s="22" t="str">
        <x:v>Not established</x:v>
      </x:c>
    </x:row>
    <x:row r="929" ht="48" customHeight="1">
      <x:c r="A929" s="22" t="n">
        <x:v>924</x:v>
      </x:c>
      <x:c r="B929" s="22" t="str">
        <x:v>Bing Maps</x:v>
      </x:c>
      <x:c r="C929" s="31" t="str">
        <x:v>U</x:v>
      </x:c>
      <x:c r="D929" s="22" t="str">
        <x:v>Unassessed</x:v>
      </x:c>
      <x:c r="E929" s="22" t="str">
        <x:v>MAPS</x:v>
      </x:c>
      <x:c r="F929" s="22" t="str">
        <x:v>Map or geospatial context</x:v>
      </x:c>
      <x:c r="G929" s="22" t="str">
        <x:v>Verify the layer publisher, imagery/observation date and local accuracy; proximity is not a relationship.</x:v>
      </x:c>
      <x:c r="H929" s="22" t="str">
        <x:v>Verify publisher, source and current function before reliance</x:v>
      </x:c>
      <x:c r="I929" s="22" t="str">
        <x:v>Not checked</x:v>
      </x:c>
      <x:c r="J929" s="22" t="str">
        <x:v>Saved bookmark metadata only</x:v>
      </x:c>
      <x:c r="K929" s="22" t="str"/>
      <x:c r="L929" s="24" t="str"/>
      <x:c r="M929" s="24" t="str">
        <x:v>https://www.bing.com/maps</x:v>
      </x:c>
      <x:c r="N929" s="22" t="str">
        <x:v>268408937</x:v>
      </x:c>
      <x:c r="O929" s="22" t="n">
        <x:v>1041</x:v>
      </x:c>
      <x:c r="P929" s="22" t="n">
        <x:v>2</x:v>
      </x:c>
      <x:c r="Q929" s="22" t="str"/>
      <x:c r="R929" s="22" t="n">
        <x:f>COUNTIF($M$6:$M$1177,M929)</x:f>
        <x:v>1</x:v>
      </x:c>
      <x:c r="S929" s="22" t="str">
        <x:v>Other / utility</x:v>
      </x:c>
      <x:c r="T929" s="22" t="str">
        <x:v>Not established</x:v>
      </x:c>
    </x:row>
    <x:row r="930" ht="48" customHeight="1">
      <x:c r="A930" s="22" t="n">
        <x:v>925</x:v>
      </x:c>
      <x:c r="B930" s="22" t="str">
        <x:v>Yandex.Maps</x:v>
      </x:c>
      <x:c r="C930" s="31" t="str">
        <x:v>U</x:v>
      </x:c>
      <x:c r="D930" s="22" t="str">
        <x:v>Unassessed</x:v>
      </x:c>
      <x:c r="E930" s="22" t="str">
        <x:v>MAPS</x:v>
      </x:c>
      <x:c r="F930" s="22" t="str">
        <x:v>Map or geospatial context</x:v>
      </x:c>
      <x:c r="G930" s="22" t="str">
        <x:v>Verify the layer publisher, imagery/observation date and local accuracy; proximity is not a relationship.</x:v>
      </x:c>
      <x:c r="H930" s="22" t="str">
        <x:v>Verify publisher, source and current function before reliance</x:v>
      </x:c>
      <x:c r="I930" s="22" t="str">
        <x:v>Not checked</x:v>
      </x:c>
      <x:c r="J930" s="22" t="str">
        <x:v>Saved bookmark metadata only</x:v>
      </x:c>
      <x:c r="K930" s="22" t="str"/>
      <x:c r="L930" s="24" t="str"/>
      <x:c r="M930" s="24" t="str">
        <x:v>https://yandex.com/maps/</x:v>
      </x:c>
      <x:c r="N930" s="22" t="str">
        <x:v>268408987</x:v>
      </x:c>
      <x:c r="O930" s="22" t="n">
        <x:v>1041</x:v>
      </x:c>
      <x:c r="P930" s="22" t="n">
        <x:v>3</x:v>
      </x:c>
      <x:c r="Q930" s="22" t="str"/>
      <x:c r="R930" s="22" t="n">
        <x:f>COUNTIF($M$6:$M$1177,M930)</x:f>
        <x:v>1</x:v>
      </x:c>
      <x:c r="S930" s="22" t="str">
        <x:v>Other / utility</x:v>
      </x:c>
      <x:c r="T930" s="22" t="str">
        <x:v>Not established</x:v>
      </x:c>
    </x:row>
    <x:row r="931" ht="48" customHeight="1">
      <x:c r="A931" s="22" t="n">
        <x:v>926</x:v>
      </x:c>
      <x:c r="B931" s="22" t="str">
        <x:v>Generate a panorama</x:v>
      </x:c>
      <x:c r="C931" s="31" t="str">
        <x:v>U</x:v>
      </x:c>
      <x:c r="D931" s="22" t="str">
        <x:v>Unassessed</x:v>
      </x:c>
      <x:c r="E931" s="22" t="str">
        <x:v>MAPS</x:v>
      </x:c>
      <x:c r="F931" s="22" t="str">
        <x:v>Map or geospatial context</x:v>
      </x:c>
      <x:c r="G931" s="22" t="str">
        <x:v>Verify the layer publisher, imagery/observation date and local accuracy; proximity is not a relationship.</x:v>
      </x:c>
      <x:c r="H931" s="22" t="str">
        <x:v>Verify publisher, source and current function before reliance</x:v>
      </x:c>
      <x:c r="I931" s="22" t="str">
        <x:v>Not checked</x:v>
      </x:c>
      <x:c r="J931" s="22" t="str">
        <x:v>Saved bookmark metadata only</x:v>
      </x:c>
      <x:c r="K931" s="22" t="str"/>
      <x:c r="L931" s="24" t="str"/>
      <x:c r="M931" s="24" t="str">
        <x:v>https://www.udeuschle.de/panoramas/makepanoramas_en.htm</x:v>
      </x:c>
      <x:c r="N931" s="22" t="str">
        <x:v>271575751</x:v>
      </x:c>
      <x:c r="O931" s="22" t="n">
        <x:v>1041</x:v>
      </x:c>
      <x:c r="P931" s="22" t="n">
        <x:v>4</x:v>
      </x:c>
      <x:c r="Q931" s="22" t="str"/>
      <x:c r="R931" s="22" t="n">
        <x:f>COUNTIF($M$6:$M$1177,M931)</x:f>
        <x:v>1</x:v>
      </x:c>
      <x:c r="S931" s="22" t="str">
        <x:v>Other / utility</x:v>
      </x:c>
      <x:c r="T931" s="22" t="str">
        <x:v>Not established</x:v>
      </x:c>
    </x:row>
    <x:row r="932" ht="48" customHeight="1">
      <x:c r="A932" s="22" t="n">
        <x:v>927</x:v>
      </x:c>
      <x:c r="B932" s="22" t="str">
        <x:v>Mapillary</x:v>
      </x:c>
      <x:c r="C932" s="31" t="str">
        <x:v>U</x:v>
      </x:c>
      <x:c r="D932" s="22" t="str">
        <x:v>Unassessed</x:v>
      </x:c>
      <x:c r="E932" s="22" t="str">
        <x:v>MAPS</x:v>
      </x:c>
      <x:c r="F932" s="22" t="str">
        <x:v>Map or geospatial context</x:v>
      </x:c>
      <x:c r="G932" s="22" t="str">
        <x:v>Verify the layer publisher, imagery/observation date and local accuracy; proximity is not a relationship.</x:v>
      </x:c>
      <x:c r="H932" s="22" t="str">
        <x:v>Verify publisher, source and current function before reliance</x:v>
      </x:c>
      <x:c r="I932" s="22" t="str">
        <x:v>Not checked</x:v>
      </x:c>
      <x:c r="J932" s="22" t="str">
        <x:v>Saved bookmark metadata only</x:v>
      </x:c>
      <x:c r="K932" s="22" t="str"/>
      <x:c r="L932" s="24" t="str"/>
      <x:c r="M932" s="24" t="str">
        <x:v>https://www.mapillary.com/app/</x:v>
      </x:c>
      <x:c r="N932" s="22" t="str">
        <x:v>268508905</x:v>
      </x:c>
      <x:c r="O932" s="22" t="n">
        <x:v>1041</x:v>
      </x:c>
      <x:c r="P932" s="22" t="n">
        <x:v>5</x:v>
      </x:c>
      <x:c r="Q932" s="22" t="str"/>
      <x:c r="R932" s="22" t="n">
        <x:f>COUNTIF($M$6:$M$1177,M932)</x:f>
        <x:v>1</x:v>
      </x:c>
      <x:c r="S932" s="22" t="str">
        <x:v>Other / utility</x:v>
      </x:c>
      <x:c r="T932" s="22" t="str">
        <x:v>Not established</x:v>
      </x:c>
    </x:row>
    <x:row r="933" ht="48" customHeight="1">
      <x:c r="A933" s="22" t="n">
        <x:v>928</x:v>
      </x:c>
      <x:c r="B933" s="22" t="str">
        <x:v>Geonarra.com</x:v>
      </x:c>
      <x:c r="C933" s="31" t="str">
        <x:v>U</x:v>
      </x:c>
      <x:c r="D933" s="22" t="str">
        <x:v>Unassessed</x:v>
      </x:c>
      <x:c r="E933" s="22" t="str">
        <x:v>MAPS</x:v>
      </x:c>
      <x:c r="F933" s="22" t="str">
        <x:v>Map or geospatial context</x:v>
      </x:c>
      <x:c r="G933" s="22" t="str">
        <x:v>Verify the layer publisher, imagery/observation date and local accuracy; proximity is not a relationship.</x:v>
      </x:c>
      <x:c r="H933" s="22" t="str">
        <x:v>Verify publisher, source and current function before reliance</x:v>
      </x:c>
      <x:c r="I933" s="22" t="str">
        <x:v>Not checked</x:v>
      </x:c>
      <x:c r="J933" s="22" t="str">
        <x:v>Saved bookmark metadata only</x:v>
      </x:c>
      <x:c r="K933" s="22" t="str"/>
      <x:c r="L933" s="24" t="str"/>
      <x:c r="M933" s="24" t="str">
        <x:v>https://www.geonarra.com/</x:v>
      </x:c>
      <x:c r="N933" s="22" t="str">
        <x:v>268508802</x:v>
      </x:c>
      <x:c r="O933" s="22" t="n">
        <x:v>1041</x:v>
      </x:c>
      <x:c r="P933" s="22" t="n">
        <x:v>6</x:v>
      </x:c>
      <x:c r="Q933" s="22" t="str"/>
      <x:c r="R933" s="22" t="n">
        <x:f>COUNTIF($M$6:$M$1177,M933)</x:f>
        <x:v>1</x:v>
      </x:c>
      <x:c r="S933" s="22" t="str">
        <x:v>Other / utility</x:v>
      </x:c>
      <x:c r="T933" s="22" t="str">
        <x:v>Not established</x:v>
      </x:c>
    </x:row>
    <x:row r="934" ht="48" customHeight="1">
      <x:c r="A934" s="22" t="n">
        <x:v>929</x:v>
      </x:c>
      <x:c r="B934" s="22" t="str">
        <x:v>Waze</x:v>
      </x:c>
      <x:c r="C934" s="31" t="str">
        <x:v>U</x:v>
      </x:c>
      <x:c r="D934" s="22" t="str">
        <x:v>Unassessed</x:v>
      </x:c>
      <x:c r="E934" s="22" t="str">
        <x:v>MAPS</x:v>
      </x:c>
      <x:c r="F934" s="22" t="str">
        <x:v>Map or geospatial context</x:v>
      </x:c>
      <x:c r="G934" s="22" t="str">
        <x:v>Verify the layer publisher, imagery/observation date and local accuracy; proximity is not a relationship.</x:v>
      </x:c>
      <x:c r="H934" s="22" t="str">
        <x:v>Verify publisher, source and current function before reliance</x:v>
      </x:c>
      <x:c r="I934" s="22" t="str">
        <x:v>Not checked</x:v>
      </x:c>
      <x:c r="J934" s="22" t="str">
        <x:v>Saved bookmark metadata only</x:v>
      </x:c>
      <x:c r="K934" s="22" t="str"/>
      <x:c r="L934" s="24" t="str"/>
      <x:c r="M934" s="24" t="str">
        <x:v>https://www.waze.com/live-map</x:v>
      </x:c>
      <x:c r="N934" s="22" t="str">
        <x:v>294298211</x:v>
      </x:c>
      <x:c r="O934" s="22" t="n">
        <x:v>1041</x:v>
      </x:c>
      <x:c r="P934" s="22" t="n">
        <x:v>7</x:v>
      </x:c>
      <x:c r="Q934" s="22" t="str"/>
      <x:c r="R934" s="22" t="n">
        <x:f>COUNTIF($M$6:$M$1177,M934)</x:f>
        <x:v>1</x:v>
      </x:c>
      <x:c r="S934" s="22" t="str">
        <x:v>Other / utility</x:v>
      </x:c>
      <x:c r="T934" s="22" t="str">
        <x:v>Not established</x:v>
      </x:c>
    </x:row>
    <x:row r="935" ht="48" customHeight="1">
      <x:c r="A935" s="22" t="n">
        <x:v>930</x:v>
      </x:c>
      <x:c r="B935" s="22" t="str">
        <x:v>百度地图</x:v>
      </x:c>
      <x:c r="C935" s="31" t="str">
        <x:v>U</x:v>
      </x:c>
      <x:c r="D935" s="22" t="str">
        <x:v>Unassessed</x:v>
      </x:c>
      <x:c r="E935" s="22" t="str">
        <x:v>MAPS</x:v>
      </x:c>
      <x:c r="F935" s="22" t="str">
        <x:v>Map or geospatial context</x:v>
      </x:c>
      <x:c r="G935" s="22" t="str">
        <x:v>Verify the layer publisher, imagery/observation date and local accuracy; proximity is not a relationship.</x:v>
      </x:c>
      <x:c r="H935" s="22" t="str">
        <x:v>Verify publisher, source and current function before reliance</x:v>
      </x:c>
      <x:c r="I935" s="22" t="str">
        <x:v>Not checked</x:v>
      </x:c>
      <x:c r="J935" s="22" t="str">
        <x:v>Saved bookmark metadata only</x:v>
      </x:c>
      <x:c r="K935" s="22" t="str"/>
      <x:c r="L935" s="24" t="str"/>
      <x:c r="M935" s="24" t="str">
        <x:v>https://map.baidu.com/</x:v>
      </x:c>
      <x:c r="N935" s="22" t="str">
        <x:v>268408989</x:v>
      </x:c>
      <x:c r="O935" s="22" t="n">
        <x:v>1041</x:v>
      </x:c>
      <x:c r="P935" s="22" t="n">
        <x:v>8</x:v>
      </x:c>
      <x:c r="Q935" s="22" t="str"/>
      <x:c r="R935" s="22" t="n">
        <x:f>COUNTIF($M$6:$M$1177,M935)</x:f>
        <x:v>1</x:v>
      </x:c>
      <x:c r="S935" s="22" t="str">
        <x:v>Other / utility</x:v>
      </x:c>
      <x:c r="T935" s="22" t="str">
        <x:v>Not established</x:v>
      </x:c>
    </x:row>
    <x:row r="936" ht="48" customHeight="1">
      <x:c r="A936" s="22" t="n">
        <x:v>931</x:v>
      </x:c>
      <x:c r="B936" s="22" t="str">
        <x:v>DigitalGlobe</x:v>
      </x:c>
      <x:c r="C936" s="31" t="str">
        <x:v>U</x:v>
      </x:c>
      <x:c r="D936" s="22" t="str">
        <x:v>Unassessed</x:v>
      </x:c>
      <x:c r="E936" s="22" t="str">
        <x:v>MAPS</x:v>
      </x:c>
      <x:c r="F936" s="22" t="str">
        <x:v>Map or geospatial context</x:v>
      </x:c>
      <x:c r="G936" s="22" t="str">
        <x:v>Verify the layer publisher, imagery/observation date and local accuracy; proximity is not a relationship.</x:v>
      </x:c>
      <x:c r="H936" s="22" t="str">
        <x:v>Verify publisher, source and current function before reliance</x:v>
      </x:c>
      <x:c r="I936" s="22" t="str">
        <x:v>Not checked</x:v>
      </x:c>
      <x:c r="J936" s="22" t="str">
        <x:v>Saved bookmark metadata only</x:v>
      </x:c>
      <x:c r="K936" s="22" t="str"/>
      <x:c r="L936" s="24" t="str"/>
      <x:c r="M936" s="24" t="str">
        <x:v>https://discover.digitalglobe.com/</x:v>
      </x:c>
      <x:c r="N936" s="22" t="str">
        <x:v>268409036</x:v>
      </x:c>
      <x:c r="O936" s="22" t="n">
        <x:v>1041</x:v>
      </x:c>
      <x:c r="P936" s="22" t="n">
        <x:v>9</x:v>
      </x:c>
      <x:c r="Q936" s="22" t="str"/>
      <x:c r="R936" s="22" t="n">
        <x:f>COUNTIF($M$6:$M$1177,M936)</x:f>
        <x:v>1</x:v>
      </x:c>
      <x:c r="S936" s="22" t="str">
        <x:v>Other / utility</x:v>
      </x:c>
      <x:c r="T936" s="22" t="str">
        <x:v>Not established</x:v>
      </x:c>
    </x:row>
    <x:row r="937" ht="48" customHeight="1">
      <x:c r="A937" s="22" t="n">
        <x:v>932</x:v>
      </x:c>
      <x:c r="B937" s="22" t="str">
        <x:v>MapQuest</x:v>
      </x:c>
      <x:c r="C937" s="31" t="str">
        <x:v>U</x:v>
      </x:c>
      <x:c r="D937" s="22" t="str">
        <x:v>Unassessed</x:v>
      </x:c>
      <x:c r="E937" s="22" t="str">
        <x:v>MAPS</x:v>
      </x:c>
      <x:c r="F937" s="22" t="str">
        <x:v>Map or geospatial context</x:v>
      </x:c>
      <x:c r="G937" s="22" t="str">
        <x:v>Verify the layer publisher, imagery/observation date and local accuracy; proximity is not a relationship.</x:v>
      </x:c>
      <x:c r="H937" s="22" t="str">
        <x:v>Verify publisher, source and current function before reliance</x:v>
      </x:c>
      <x:c r="I937" s="22" t="str">
        <x:v>Not checked</x:v>
      </x:c>
      <x:c r="J937" s="22" t="str">
        <x:v>Saved bookmark metadata only</x:v>
      </x:c>
      <x:c r="K937" s="22" t="str"/>
      <x:c r="L937" s="24" t="str"/>
      <x:c r="M937" s="24" t="str">
        <x:v>https://www.mapquest.com/</x:v>
      </x:c>
      <x:c r="N937" s="22" t="str">
        <x:v>268408941</x:v>
      </x:c>
      <x:c r="O937" s="22" t="n">
        <x:v>1041</x:v>
      </x:c>
      <x:c r="P937" s="22" t="n">
        <x:v>10</x:v>
      </x:c>
      <x:c r="Q937" s="22" t="str"/>
      <x:c r="R937" s="22" t="n">
        <x:f>COUNTIF($M$6:$M$1177,M937)</x:f>
        <x:v>1</x:v>
      </x:c>
      <x:c r="S937" s="22" t="str">
        <x:v>Other / utility</x:v>
      </x:c>
      <x:c r="T937" s="22" t="str">
        <x:v>Not established</x:v>
      </x:c>
    </x:row>
    <x:row r="938" ht="54" customHeight="1">
      <x:c r="A938" s="22" t="n">
        <x:v>933</x:v>
      </x:c>
      <x:c r="B938" s="22" t="str">
        <x:v>OpenStreetMap</x:v>
      </x:c>
      <x:c r="C938" s="35" t="str">
        <x:v>B</x:v>
      </x:c>
      <x:c r="D938" s="22" t="str">
        <x:v>Documented</x:v>
      </x:c>
      <x:c r="E938" s="22" t="str">
        <x:v>MAPS</x:v>
      </x:c>
      <x:c r="F938" s="22" t="str">
        <x:v>Community-maintained geographical context</x:v>
      </x:c>
      <x:c r="G938" s="22" t="str">
        <x:v>Community mapping with documented sources and editing. Verify the local feature and date; map proximity does not establish personal association.</x:v>
      </x:c>
      <x:c r="H938" s="22" t="str">
        <x:v>Corroborate before attribution</x:v>
      </x:c>
      <x:c r="I938" s="22" t="str">
        <x:v>Content readable; lookup not tested</x:v>
      </x:c>
      <x:c r="J938" s="22" t="str">
        <x:v>Publisher methodology</x:v>
      </x:c>
      <x:c r="K938" s="22" t="str">
        <x:v>S091</x:v>
      </x:c>
      <x:c r="L938" s="24" t="str">
        <x:v>https://www.openstreetmap.org/about</x:v>
      </x:c>
      <x:c r="M938" s="24" t="str">
        <x:v>https://www.openstreetmap.org/</x:v>
      </x:c>
      <x:c r="N938" s="22" t="str">
        <x:v>268408942</x:v>
      </x:c>
      <x:c r="O938" s="22" t="n">
        <x:v>1041</x:v>
      </x:c>
      <x:c r="P938" s="22" t="n">
        <x:v>11</x:v>
      </x:c>
      <x:c r="Q938" s="22" t="str">
        <x:v>2026-09-15</x:v>
      </x:c>
      <x:c r="R938" s="22" t="n">
        <x:f>COUNTIF($M$6:$M$1177,M938)</x:f>
        <x:v>1</x:v>
      </x:c>
      <x:c r="S938" s="22" t="str">
        <x:v>Other / utility</x:v>
      </x:c>
      <x:c r="T938" s="22" t="str">
        <x:v>Scoped desk assessment</x:v>
      </x:c>
    </x:row>
    <x:row r="939" ht="48" customHeight="1">
      <x:c r="A939" s="22" t="n">
        <x:v>934</x:v>
      </x:c>
      <x:c r="B939" s="22" t="str">
        <x:v>Maps.descarteslabs.com</x:v>
      </x:c>
      <x:c r="C939" s="31" t="str">
        <x:v>U</x:v>
      </x:c>
      <x:c r="D939" s="22" t="str">
        <x:v>Unassessed</x:v>
      </x:c>
      <x:c r="E939" s="22" t="str">
        <x:v>MAPS</x:v>
      </x:c>
      <x:c r="F939" s="22" t="str">
        <x:v>Map or geospatial context</x:v>
      </x:c>
      <x:c r="G939" s="22" t="str">
        <x:v>Verify the layer publisher, imagery/observation date and local accuracy; proximity is not a relationship.</x:v>
      </x:c>
      <x:c r="H939" s="22" t="str">
        <x:v>Verify publisher, source and current function before reliance</x:v>
      </x:c>
      <x:c r="I939" s="22" t="str">
        <x:v>Not checked</x:v>
      </x:c>
      <x:c r="J939" s="22" t="str">
        <x:v>Saved bookmark metadata only</x:v>
      </x:c>
      <x:c r="K939" s="22" t="str"/>
      <x:c r="L939" s="24" t="str"/>
      <x:c r="M939" s="24" t="str">
        <x:v>https://maps.descarteslabs.com/</x:v>
      </x:c>
      <x:c r="N939" s="22" t="str">
        <x:v>268409156</x:v>
      </x:c>
      <x:c r="O939" s="22" t="n">
        <x:v>1041</x:v>
      </x:c>
      <x:c r="P939" s="22" t="n">
        <x:v>12</x:v>
      </x:c>
      <x:c r="Q939" s="22" t="str"/>
      <x:c r="R939" s="22" t="n">
        <x:f>COUNTIF($M$6:$M$1177,M939)</x:f>
        <x:v>1</x:v>
      </x:c>
      <x:c r="S939" s="22" t="str">
        <x:v>Other / utility</x:v>
      </x:c>
      <x:c r="T939" s="22" t="str">
        <x:v>Not established</x:v>
      </x:c>
    </x:row>
    <x:row r="940" ht="48" customHeight="1">
      <x:c r="A940" s="22" t="n">
        <x:v>935</x:v>
      </x:c>
      <x:c r="B940" s="22" t="str">
        <x:v>ArcGIS Wildfire Map</x:v>
      </x:c>
      <x:c r="C940" s="31" t="str">
        <x:v>U</x:v>
      </x:c>
      <x:c r="D940" s="22" t="str">
        <x:v>Unassessed</x:v>
      </x:c>
      <x:c r="E940" s="22" t="str">
        <x:v>MAPS</x:v>
      </x:c>
      <x:c r="F940" s="22" t="str">
        <x:v>Map or geospatial context</x:v>
      </x:c>
      <x:c r="G940" s="22" t="str">
        <x:v>Verify the layer publisher, imagery/observation date and local accuracy; proximity is not a relationship.</x:v>
      </x:c>
      <x:c r="H940" s="22" t="str">
        <x:v>Verify publisher, source and current function before reliance</x:v>
      </x:c>
      <x:c r="I940" s="22" t="str">
        <x:v>Not checked</x:v>
      </x:c>
      <x:c r="J940" s="22" t="str">
        <x:v>Saved bookmark metadata only</x:v>
      </x:c>
      <x:c r="K940" s="22" t="str"/>
      <x:c r="L940" s="24" t="str"/>
      <x:c r="M940" s="24" t="str">
        <x:v>https://www.arcgis.com/home/webmap/viewer.html?webmap=df8bcc10430f48878b01c96e907a1fc3#!</x:v>
      </x:c>
      <x:c r="N940" s="22" t="str">
        <x:v>268409100</x:v>
      </x:c>
      <x:c r="O940" s="22" t="n">
        <x:v>1041</x:v>
      </x:c>
      <x:c r="P940" s="22" t="n">
        <x:v>13</x:v>
      </x:c>
      <x:c r="Q940" s="22" t="str"/>
      <x:c r="R940" s="22" t="n">
        <x:f>COUNTIF($M$6:$M$1177,M940)</x:f>
        <x:v>1</x:v>
      </x:c>
      <x:c r="S940" s="22" t="str">
        <x:v>Other / utility</x:v>
      </x:c>
      <x:c r="T940" s="22" t="str">
        <x:v>Not established</x:v>
      </x:c>
    </x:row>
    <x:row r="941" ht="48" customHeight="1">
      <x:c r="A941" s="22" t="n">
        <x:v>936</x:v>
      </x:c>
      <x:c r="B941" s="22" t="str">
        <x:v>Living Atlas of the World | ArcGIS</x:v>
      </x:c>
      <x:c r="C941" s="31" t="str">
        <x:v>U</x:v>
      </x:c>
      <x:c r="D941" s="22" t="str">
        <x:v>Unassessed</x:v>
      </x:c>
      <x:c r="E941" s="22" t="str">
        <x:v>MAPS</x:v>
      </x:c>
      <x:c r="F941" s="22" t="str">
        <x:v>Map or geospatial context</x:v>
      </x:c>
      <x:c r="G941" s="22" t="str">
        <x:v>Verify the layer publisher, imagery/observation date and local accuracy; proximity is not a relationship.</x:v>
      </x:c>
      <x:c r="H941" s="22" t="str">
        <x:v>Verify publisher, source and current function before reliance</x:v>
      </x:c>
      <x:c r="I941" s="22" t="str">
        <x:v>Not checked</x:v>
      </x:c>
      <x:c r="J941" s="22" t="str">
        <x:v>Saved bookmark metadata only</x:v>
      </x:c>
      <x:c r="K941" s="22" t="str"/>
      <x:c r="L941" s="24" t="str"/>
      <x:c r="M941" s="24" t="str">
        <x:v>https://livingatlas.arcgis.com/en/browse/</x:v>
      </x:c>
      <x:c r="N941" s="22" t="str">
        <x:v>289966137</x:v>
      </x:c>
      <x:c r="O941" s="22" t="n">
        <x:v>1041</x:v>
      </x:c>
      <x:c r="P941" s="22" t="n">
        <x:v>14</x:v>
      </x:c>
      <x:c r="Q941" s="22" t="str"/>
      <x:c r="R941" s="22" t="n">
        <x:f>COUNTIF($M$6:$M$1177,M941)</x:f>
        <x:v>1</x:v>
      </x:c>
      <x:c r="S941" s="22" t="str">
        <x:v>Other / utility</x:v>
      </x:c>
      <x:c r="T941" s="22" t="str">
        <x:v>Not established</x:v>
      </x:c>
    </x:row>
    <x:row r="942" ht="48" customHeight="1">
      <x:c r="A942" s="22" t="n">
        <x:v>937</x:v>
      </x:c>
      <x:c r="B942" s="22" t="str">
        <x:v>FIRMS</x:v>
      </x:c>
      <x:c r="C942" s="31" t="str">
        <x:v>U</x:v>
      </x:c>
      <x:c r="D942" s="22" t="str">
        <x:v>Unassessed</x:v>
      </x:c>
      <x:c r="E942" s="22" t="str">
        <x:v>MAPS</x:v>
      </x:c>
      <x:c r="F942" s="22" t="str">
        <x:v>Map or geospatial context</x:v>
      </x:c>
      <x:c r="G942" s="22" t="str">
        <x:v>Verify the layer publisher, imagery/observation date and local accuracy; proximity is not a relationship.</x:v>
      </x:c>
      <x:c r="H942" s="22" t="str">
        <x:v>Verify publisher, source and current function before reliance</x:v>
      </x:c>
      <x:c r="I942" s="22" t="str">
        <x:v>Not checked</x:v>
      </x:c>
      <x:c r="J942" s="22" t="str">
        <x:v>Saved bookmark metadata only</x:v>
      </x:c>
      <x:c r="K942" s="22" t="str"/>
      <x:c r="L942" s="24" t="str"/>
      <x:c r="M942" s="24" t="str">
        <x:v>https://firms.modaps.eosdis.nasa.gov/map/</x:v>
      </x:c>
      <x:c r="N942" s="22" t="str">
        <x:v>268409109</x:v>
      </x:c>
      <x:c r="O942" s="22" t="n">
        <x:v>1041</x:v>
      </x:c>
      <x:c r="P942" s="22" t="n">
        <x:v>15</x:v>
      </x:c>
      <x:c r="Q942" s="22" t="str"/>
      <x:c r="R942" s="22" t="n">
        <x:f>COUNTIF($M$6:$M$1177,M942)</x:f>
        <x:v>1</x:v>
      </x:c>
      <x:c r="S942" s="22" t="str">
        <x:v>Other / utility</x:v>
      </x:c>
      <x:c r="T942" s="22" t="str">
        <x:v>Not established</x:v>
      </x:c>
    </x:row>
    <x:row r="943" ht="48" customHeight="1">
      <x:c r="A943" s="22" t="n">
        <x:v>938</x:v>
      </x:c>
      <x:c r="B943" s="22" t="str">
        <x:v>COVID-19 Map</x:v>
      </x:c>
      <x:c r="C943" s="31" t="str">
        <x:v>U</x:v>
      </x:c>
      <x:c r="D943" s="22" t="str">
        <x:v>Unassessed</x:v>
      </x:c>
      <x:c r="E943" s="22" t="str">
        <x:v>MAPS</x:v>
      </x:c>
      <x:c r="F943" s="22" t="str">
        <x:v>Map or geospatial context</x:v>
      </x:c>
      <x:c r="G943" s="22" t="str">
        <x:v>Verify the layer publisher, imagery/observation date and local accuracy; proximity is not a relationship.</x:v>
      </x:c>
      <x:c r="H943" s="22" t="str">
        <x:v>Verify publisher, source and current function before reliance</x:v>
      </x:c>
      <x:c r="I943" s="22" t="str">
        <x:v>Not checked</x:v>
      </x:c>
      <x:c r="J943" s="22" t="str">
        <x:v>Saved bookmark metadata only</x:v>
      </x:c>
      <x:c r="K943" s="22" t="str"/>
      <x:c r="L943" s="24" t="str"/>
      <x:c r="M943" s="24" t="str">
        <x:v>https://coronavirus.jhu.edu/map.html</x:v>
      </x:c>
      <x:c r="N943" s="22" t="str">
        <x:v>268409110</x:v>
      </x:c>
      <x:c r="O943" s="22" t="n">
        <x:v>1041</x:v>
      </x:c>
      <x:c r="P943" s="22" t="n">
        <x:v>16</x:v>
      </x:c>
      <x:c r="Q943" s="22" t="str"/>
      <x:c r="R943" s="22" t="n">
        <x:f>COUNTIF($M$6:$M$1177,M943)</x:f>
        <x:v>1</x:v>
      </x:c>
      <x:c r="S943" s="22" t="str">
        <x:v>Other / utility</x:v>
      </x:c>
      <x:c r="T943" s="22" t="str">
        <x:v>Not established</x:v>
      </x:c>
    </x:row>
    <x:row r="944" ht="48" customHeight="1">
      <x:c r="A944" s="22" t="n">
        <x:v>939</x:v>
      </x:c>
      <x:c r="B944" s="22" t="str">
        <x:v>Ukraine Interactive map</x:v>
      </x:c>
      <x:c r="C944" s="31" t="str">
        <x:v>U</x:v>
      </x:c>
      <x:c r="D944" s="22" t="str">
        <x:v>Unassessed</x:v>
      </x:c>
      <x:c r="E944" s="22" t="str">
        <x:v>MAPS</x:v>
      </x:c>
      <x:c r="F944" s="22" t="str">
        <x:v>Map or geospatial context</x:v>
      </x:c>
      <x:c r="G944" s="22" t="str">
        <x:v>Verify the layer publisher, imagery/observation date and local accuracy; proximity is not a relationship.</x:v>
      </x:c>
      <x:c r="H944" s="22" t="str">
        <x:v>Verify publisher, source and current function before reliance</x:v>
      </x:c>
      <x:c r="I944" s="22" t="str">
        <x:v>Not checked</x:v>
      </x:c>
      <x:c r="J944" s="22" t="str">
        <x:v>Saved bookmark metadata only</x:v>
      </x:c>
      <x:c r="K944" s="22" t="str"/>
      <x:c r="L944" s="24" t="str"/>
      <x:c r="M944" s="24" t="str">
        <x:v>https://liveuamap.com/</x:v>
      </x:c>
      <x:c r="N944" s="22" t="str">
        <x:v>268409157</x:v>
      </x:c>
      <x:c r="O944" s="22" t="n">
        <x:v>1041</x:v>
      </x:c>
      <x:c r="P944" s="22" t="n">
        <x:v>17</x:v>
      </x:c>
      <x:c r="Q944" s="22" t="str"/>
      <x:c r="R944" s="22" t="n">
        <x:f>COUNTIF($M$6:$M$1177,M944)</x:f>
        <x:v>1</x:v>
      </x:c>
      <x:c r="S944" s="22" t="str">
        <x:v>Other / utility</x:v>
      </x:c>
      <x:c r="T944" s="22" t="str">
        <x:v>Not established</x:v>
      </x:c>
    </x:row>
    <x:row r="945" ht="48" customHeight="1">
      <x:c r="A945" s="22" t="n">
        <x:v>940</x:v>
      </x:c>
      <x:c r="B945" s="22" t="str">
        <x:v>Satellites.pro</x:v>
      </x:c>
      <x:c r="C945" s="31" t="str">
        <x:v>U</x:v>
      </x:c>
      <x:c r="D945" s="22" t="str">
        <x:v>Unassessed</x:v>
      </x:c>
      <x:c r="E945" s="22" t="str">
        <x:v>MAPS</x:v>
      </x:c>
      <x:c r="F945" s="22" t="str">
        <x:v>Map or geospatial context</x:v>
      </x:c>
      <x:c r="G945" s="22" t="str">
        <x:v>Verify the layer publisher, imagery/observation date and local accuracy; proximity is not a relationship.</x:v>
      </x:c>
      <x:c r="H945" s="22" t="str">
        <x:v>Verify publisher, source and current function before reliance</x:v>
      </x:c>
      <x:c r="I945" s="22" t="str">
        <x:v>Not checked</x:v>
      </x:c>
      <x:c r="J945" s="22" t="str">
        <x:v>Saved bookmark metadata only</x:v>
      </x:c>
      <x:c r="K945" s="22" t="str"/>
      <x:c r="L945" s="24" t="str"/>
      <x:c r="M945" s="24" t="str">
        <x:v>https://satellites.pro/</x:v>
      </x:c>
      <x:c r="N945" s="22" t="str">
        <x:v>268409159</x:v>
      </x:c>
      <x:c r="O945" s="22" t="n">
        <x:v>1041</x:v>
      </x:c>
      <x:c r="P945" s="22" t="n">
        <x:v>18</x:v>
      </x:c>
      <x:c r="Q945" s="22" t="str"/>
      <x:c r="R945" s="22" t="n">
        <x:f>COUNTIF($M$6:$M$1177,M945)</x:f>
        <x:v>1</x:v>
      </x:c>
      <x:c r="S945" s="22" t="str">
        <x:v>Other / utility</x:v>
      </x:c>
      <x:c r="T945" s="22" t="str">
        <x:v>Not established</x:v>
      </x:c>
    </x:row>
    <x:row r="946" ht="48" customHeight="1">
      <x:c r="A946" s="22" t="n">
        <x:v>941</x:v>
      </x:c>
      <x:c r="B946" s="22" t="str">
        <x:v>Military bases around the world. - uMap</x:v>
      </x:c>
      <x:c r="C946" s="31" t="str">
        <x:v>U</x:v>
      </x:c>
      <x:c r="D946" s="22" t="str">
        <x:v>Unassessed</x:v>
      </x:c>
      <x:c r="E946" s="22" t="str">
        <x:v>MAPS</x:v>
      </x:c>
      <x:c r="F946" s="22" t="str">
        <x:v>Map or geospatial context</x:v>
      </x:c>
      <x:c r="G946" s="22" t="str">
        <x:v>Verify the layer publisher, imagery/observation date and local accuracy; proximity is not a relationship.</x:v>
      </x:c>
      <x:c r="H946" s="22" t="str">
        <x:v>Verify publisher, source and current function before reliance</x:v>
      </x:c>
      <x:c r="I946" s="22" t="str">
        <x:v>Not checked</x:v>
      </x:c>
      <x:c r="J946" s="22" t="str">
        <x:v>Saved bookmark metadata only</x:v>
      </x:c>
      <x:c r="K946" s="22" t="str"/>
      <x:c r="L946" s="24" t="str"/>
      <x:c r="M946" s="24" t="str">
        <x:v>https://umap.openstreetmap.fr/en/map/military-bases-around-the-world_510207</x:v>
      </x:c>
      <x:c r="N946" s="22" t="str">
        <x:v>268409162</x:v>
      </x:c>
      <x:c r="O946" s="22" t="n">
        <x:v>1041</x:v>
      </x:c>
      <x:c r="P946" s="22" t="n">
        <x:v>19</x:v>
      </x:c>
      <x:c r="Q946" s="22" t="str"/>
      <x:c r="R946" s="22" t="n">
        <x:f>COUNTIF($M$6:$M$1177,M946)</x:f>
        <x:v>1</x:v>
      </x:c>
      <x:c r="S946" s="22" t="str">
        <x:v>Other / utility</x:v>
      </x:c>
      <x:c r="T946" s="22" t="str">
        <x:v>Not established</x:v>
      </x:c>
    </x:row>
    <x:row r="947" ht="48" customHeight="1">
      <x:c r="A947" s="22" t="n">
        <x:v>942</x:v>
      </x:c>
      <x:c r="B947" s="22" t="str">
        <x:v>Wikimapia</x:v>
      </x:c>
      <x:c r="C947" s="31" t="str">
        <x:v>U</x:v>
      </x:c>
      <x:c r="D947" s="22" t="str">
        <x:v>Unassessed</x:v>
      </x:c>
      <x:c r="E947" s="22" t="str">
        <x:v>MAPS</x:v>
      </x:c>
      <x:c r="F947" s="22" t="str">
        <x:v>Map or geospatial context</x:v>
      </x:c>
      <x:c r="G947" s="22" t="str">
        <x:v>Verify the layer publisher, imagery/observation date and local accuracy; proximity is not a relationship.</x:v>
      </x:c>
      <x:c r="H947" s="22" t="str">
        <x:v>Verify publisher, source and current function before reliance</x:v>
      </x:c>
      <x:c r="I947" s="22" t="str">
        <x:v>Not checked</x:v>
      </x:c>
      <x:c r="J947" s="22" t="str">
        <x:v>Saved bookmark metadata only</x:v>
      </x:c>
      <x:c r="K947" s="22" t="str"/>
      <x:c r="L947" s="24" t="str"/>
      <x:c r="M947" s="24" t="str">
        <x:v>http://wikimapia.org/</x:v>
      </x:c>
      <x:c r="N947" s="22" t="str">
        <x:v>268409164</x:v>
      </x:c>
      <x:c r="O947" s="22" t="n">
        <x:v>1041</x:v>
      </x:c>
      <x:c r="P947" s="22" t="n">
        <x:v>20</x:v>
      </x:c>
      <x:c r="Q947" s="22" t="str"/>
      <x:c r="R947" s="22" t="n">
        <x:f>COUNTIF($M$6:$M$1177,M947)</x:f>
        <x:v>1</x:v>
      </x:c>
      <x:c r="S947" s="22" t="str">
        <x:v>Other / utility</x:v>
      </x:c>
      <x:c r="T947" s="22" t="str">
        <x:v>Not established</x:v>
      </x:c>
    </x:row>
    <x:row r="948" ht="48" customHeight="1">
      <x:c r="A948" s="22" t="n">
        <x:v>943</x:v>
      </x:c>
      <x:c r="B948" s="22" t="str">
        <x:v>Map of Syrian Civil War</x:v>
      </x:c>
      <x:c r="C948" s="31" t="str">
        <x:v>U</x:v>
      </x:c>
      <x:c r="D948" s="22" t="str">
        <x:v>Unassessed</x:v>
      </x:c>
      <x:c r="E948" s="22" t="str">
        <x:v>MAPS</x:v>
      </x:c>
      <x:c r="F948" s="22" t="str">
        <x:v>Map or geospatial context</x:v>
      </x:c>
      <x:c r="G948" s="22" t="str">
        <x:v>Verify the layer publisher, imagery/observation date and local accuracy; proximity is not a relationship.</x:v>
      </x:c>
      <x:c r="H948" s="22" t="str">
        <x:v>Verify publisher, source and current function before reliance</x:v>
      </x:c>
      <x:c r="I948" s="22" t="str">
        <x:v>Not checked</x:v>
      </x:c>
      <x:c r="J948" s="22" t="str">
        <x:v>Saved bookmark metadata only</x:v>
      </x:c>
      <x:c r="K948" s="22" t="str"/>
      <x:c r="L948" s="24" t="str"/>
      <x:c r="M948" s="24" t="str">
        <x:v>https://syria.liveuamap.com/</x:v>
      </x:c>
      <x:c r="N948" s="22" t="str">
        <x:v>268409165</x:v>
      </x:c>
      <x:c r="O948" s="22" t="n">
        <x:v>1041</x:v>
      </x:c>
      <x:c r="P948" s="22" t="n">
        <x:v>21</x:v>
      </x:c>
      <x:c r="Q948" s="22" t="str"/>
      <x:c r="R948" s="22" t="n">
        <x:f>COUNTIF($M$6:$M$1177,M948)</x:f>
        <x:v>1</x:v>
      </x:c>
      <x:c r="S948" s="22" t="str">
        <x:v>Other / utility</x:v>
      </x:c>
      <x:c r="T948" s="22" t="str">
        <x:v>Not established</x:v>
      </x:c>
    </x:row>
    <x:row r="949" ht="48" customHeight="1">
      <x:c r="A949" s="22" t="n">
        <x:v>944</x:v>
      </x:c>
      <x:c r="B949" s="22" t="str">
        <x:v>Radio Garden</x:v>
      </x:c>
      <x:c r="C949" s="31" t="str">
        <x:v>U</x:v>
      </x:c>
      <x:c r="D949" s="22" t="str">
        <x:v>Unassessed</x:v>
      </x:c>
      <x:c r="E949" s="22" t="str">
        <x:v>MAPS</x:v>
      </x:c>
      <x:c r="F949" s="22" t="str">
        <x:v>Map or geospatial context</x:v>
      </x:c>
      <x:c r="G949" s="22" t="str">
        <x:v>Verify the layer publisher, imagery/observation date and local accuracy; proximity is not a relationship.</x:v>
      </x:c>
      <x:c r="H949" s="22" t="str">
        <x:v>Verify publisher, source and current function before reliance</x:v>
      </x:c>
      <x:c r="I949" s="22" t="str">
        <x:v>Not checked</x:v>
      </x:c>
      <x:c r="J949" s="22" t="str">
        <x:v>Saved bookmark metadata only</x:v>
      </x:c>
      <x:c r="K949" s="22" t="str"/>
      <x:c r="L949" s="24" t="str"/>
      <x:c r="M949" s="24" t="str">
        <x:v>http://radio.garden/search</x:v>
      </x:c>
      <x:c r="N949" s="22" t="str">
        <x:v>268513966</x:v>
      </x:c>
      <x:c r="O949" s="22" t="n">
        <x:v>1041</x:v>
      </x:c>
      <x:c r="P949" s="22" t="n">
        <x:v>22</x:v>
      </x:c>
      <x:c r="Q949" s="22" t="str"/>
      <x:c r="R949" s="22" t="n">
        <x:f>COUNTIF($M$6:$M$1177,M949)</x:f>
        <x:v>1</x:v>
      </x:c>
      <x:c r="S949" s="22" t="str">
        <x:v>Other / utility</x:v>
      </x:c>
      <x:c r="T949" s="22" t="str">
        <x:v>Not established</x:v>
      </x:c>
    </x:row>
    <x:row r="950" ht="48" customHeight="1">
      <x:c r="A950" s="22" t="n">
        <x:v>945</x:v>
      </x:c>
      <x:c r="B950" s="22" t="str">
        <x:v>Windy</x:v>
      </x:c>
      <x:c r="C950" s="31" t="str">
        <x:v>U</x:v>
      </x:c>
      <x:c r="D950" s="22" t="str">
        <x:v>Unassessed</x:v>
      </x:c>
      <x:c r="E950" s="22" t="str">
        <x:v>MAPS</x:v>
      </x:c>
      <x:c r="F950" s="22" t="str">
        <x:v>Map or geospatial context</x:v>
      </x:c>
      <x:c r="G950" s="22" t="str">
        <x:v>Verify the layer publisher, imagery/observation date and local accuracy; proximity is not a relationship.</x:v>
      </x:c>
      <x:c r="H950" s="22" t="str">
        <x:v>Verify publisher, source and current function before reliance</x:v>
      </x:c>
      <x:c r="I950" s="22" t="str">
        <x:v>Not checked</x:v>
      </x:c>
      <x:c r="J950" s="22" t="str">
        <x:v>Saved bookmark metadata only</x:v>
      </x:c>
      <x:c r="K950" s="22" t="str"/>
      <x:c r="L950" s="24" t="str"/>
      <x:c r="M950" s="24" t="str">
        <x:v>https://www.windy.com/-Webcams/webcams</x:v>
      </x:c>
      <x:c r="N950" s="22" t="str">
        <x:v>287837539</x:v>
      </x:c>
      <x:c r="O950" s="22" t="n">
        <x:v>1041</x:v>
      </x:c>
      <x:c r="P950" s="22" t="n">
        <x:v>23</x:v>
      </x:c>
      <x:c r="Q950" s="22" t="str"/>
      <x:c r="R950" s="22" t="n">
        <x:f>COUNTIF($M$6:$M$1177,M950)</x:f>
        <x:v>1</x:v>
      </x:c>
      <x:c r="S950" s="22" t="str">
        <x:v>Other / utility</x:v>
      </x:c>
      <x:c r="T950" s="22" t="str">
        <x:v>Not established</x:v>
      </x:c>
    </x:row>
    <x:row r="951" ht="48" customHeight="1">
      <x:c r="A951" s="22" t="n">
        <x:v>946</x:v>
      </x:c>
      <x:c r="B951" s="22" t="str">
        <x:v>Gpx File Editor</x:v>
      </x:c>
      <x:c r="C951" s="31" t="str">
        <x:v>U</x:v>
      </x:c>
      <x:c r="D951" s="22" t="str">
        <x:v>Unassessed</x:v>
      </x:c>
      <x:c r="E951" s="22" t="str">
        <x:v>MAPS</x:v>
      </x:c>
      <x:c r="F951" s="22" t="str">
        <x:v>Map or geospatial context</x:v>
      </x:c>
      <x:c r="G951" s="22" t="str">
        <x:v>Verify the layer publisher, imagery/observation date and local accuracy; proximity is not a relationship.</x:v>
      </x:c>
      <x:c r="H951" s="22" t="str">
        <x:v>Verify publisher, source and current function before reliance</x:v>
      </x:c>
      <x:c r="I951" s="22" t="str">
        <x:v>Not checked</x:v>
      </x:c>
      <x:c r="J951" s="22" t="str">
        <x:v>Saved bookmark metadata only</x:v>
      </x:c>
      <x:c r="K951" s="22" t="str"/>
      <x:c r="L951" s="24" t="str"/>
      <x:c r="M951" s="24" t="str">
        <x:v>https://gpx.studio/</x:v>
      </x:c>
      <x:c r="N951" s="22" t="str">
        <x:v>286014022</x:v>
      </x:c>
      <x:c r="O951" s="22" t="n">
        <x:v>1041</x:v>
      </x:c>
      <x:c r="P951" s="22" t="n">
        <x:v>24</x:v>
      </x:c>
      <x:c r="Q951" s="22" t="str"/>
      <x:c r="R951" s="22" t="n">
        <x:f>COUNTIF($M$6:$M$1177,M951)</x:f>
        <x:v>1</x:v>
      </x:c>
      <x:c r="S951" s="22" t="str">
        <x:v>Other / utility</x:v>
      </x:c>
      <x:c r="T951" s="22" t="str">
        <x:v>Not established</x:v>
      </x:c>
    </x:row>
    <x:row r="952" ht="48" customHeight="1">
      <x:c r="A952" s="22" t="n">
        <x:v>947</x:v>
      </x:c>
      <x:c r="B952" s="22" t="str">
        <x:v>OALLEY</x:v>
      </x:c>
      <x:c r="C952" s="31" t="str">
        <x:v>U</x:v>
      </x:c>
      <x:c r="D952" s="22" t="str">
        <x:v>Unassessed</x:v>
      </x:c>
      <x:c r="E952" s="22" t="str">
        <x:v>MAPS</x:v>
      </x:c>
      <x:c r="F952" s="22" t="str">
        <x:v>Map or geospatial context</x:v>
      </x:c>
      <x:c r="G952" s="22" t="str">
        <x:v>Verify the layer publisher, imagery/observation date and local accuracy; proximity is not a relationship.</x:v>
      </x:c>
      <x:c r="H952" s="22" t="str">
        <x:v>Verify publisher, source and current function before reliance</x:v>
      </x:c>
      <x:c r="I952" s="22" t="str">
        <x:v>Not checked</x:v>
      </x:c>
      <x:c r="J952" s="22" t="str">
        <x:v>Saved bookmark metadata only</x:v>
      </x:c>
      <x:c r="K952" s="22" t="str"/>
      <x:c r="L952" s="24" t="str"/>
      <x:c r="M952" s="24" t="str">
        <x:v>https://www.oalley.net/app/</x:v>
      </x:c>
      <x:c r="N952" s="22" t="str">
        <x:v>286809558</x:v>
      </x:c>
      <x:c r="O952" s="22" t="n">
        <x:v>1041</x:v>
      </x:c>
      <x:c r="P952" s="22" t="n">
        <x:v>25</x:v>
      </x:c>
      <x:c r="Q952" s="22" t="str"/>
      <x:c r="R952" s="22" t="n">
        <x:f>COUNTIF($M$6:$M$1177,M952)</x:f>
        <x:v>1</x:v>
      </x:c>
      <x:c r="S952" s="22" t="str">
        <x:v>Other / utility</x:v>
      </x:c>
      <x:c r="T952" s="22" t="str">
        <x:v>Not established</x:v>
      </x:c>
    </x:row>
    <x:row r="953" ht="48" customHeight="1">
      <x:c r="A953" s="22" t="n">
        <x:v>948</x:v>
      </x:c>
      <x:c r="B953" s="22" t="str">
        <x:v>fgdc_gp_demos's public fiddles</x:v>
      </x:c>
      <x:c r="C953" s="31" t="str">
        <x:v>U</x:v>
      </x:c>
      <x:c r="D953" s="22" t="str">
        <x:v>Unassessed</x:v>
      </x:c>
      <x:c r="E953" s="22" t="str">
        <x:v>MAPS</x:v>
      </x:c>
      <x:c r="F953" s="22" t="str">
        <x:v>Map or geospatial context</x:v>
      </x:c>
      <x:c r="G953" s="22" t="str">
        <x:v>Verify the layer publisher, imagery/observation date and local accuracy; proximity is not a relationship.</x:v>
      </x:c>
      <x:c r="H953" s="22" t="str">
        <x:v>Verify publisher, source and current function before reliance</x:v>
      </x:c>
      <x:c r="I953" s="22" t="str">
        <x:v>Not checked</x:v>
      </x:c>
      <x:c r="J953" s="22" t="str">
        <x:v>Saved bookmark metadata only</x:v>
      </x:c>
      <x:c r="K953" s="22" t="str"/>
      <x:c r="L953" s="24" t="str"/>
      <x:c r="M953" s="24" t="str">
        <x:v>https://jsfiddle.net/user/fgdc_gp_demos/fiddles/</x:v>
      </x:c>
      <x:c r="N953" s="22" t="str">
        <x:v>286821309</x:v>
      </x:c>
      <x:c r="O953" s="22" t="n">
        <x:v>1041</x:v>
      </x:c>
      <x:c r="P953" s="22" t="n">
        <x:v>26</x:v>
      </x:c>
      <x:c r="Q953" s="22" t="str"/>
      <x:c r="R953" s="22" t="n">
        <x:f>COUNTIF($M$6:$M$1177,M953)</x:f>
        <x:v>1</x:v>
      </x:c>
      <x:c r="S953" s="22" t="str">
        <x:v>Other / utility</x:v>
      </x:c>
      <x:c r="T953" s="22" t="str">
        <x:v>Not established</x:v>
      </x:c>
    </x:row>
    <x:row r="954" ht="48" customHeight="1">
      <x:c r="A954" s="22" t="n">
        <x:v>949</x:v>
      </x:c>
      <x:c r="B954" s="22" t="str">
        <x:v>KartaView</x:v>
      </x:c>
      <x:c r="C954" s="31" t="str">
        <x:v>U</x:v>
      </x:c>
      <x:c r="D954" s="22" t="str">
        <x:v>Unassessed</x:v>
      </x:c>
      <x:c r="E954" s="22" t="str">
        <x:v>MAPS</x:v>
      </x:c>
      <x:c r="F954" s="22" t="str">
        <x:v>Map or geospatial context</x:v>
      </x:c>
      <x:c r="G954" s="22" t="str">
        <x:v>Verify the layer publisher, imagery/observation date and local accuracy; proximity is not a relationship.</x:v>
      </x:c>
      <x:c r="H954" s="22" t="str">
        <x:v>Verify publisher, source and current function before reliance</x:v>
      </x:c>
      <x:c r="I954" s="22" t="str">
        <x:v>Not checked</x:v>
      </x:c>
      <x:c r="J954" s="22" t="str">
        <x:v>Saved bookmark metadata only</x:v>
      </x:c>
      <x:c r="K954" s="22" t="str"/>
      <x:c r="L954" s="24" t="str"/>
      <x:c r="M954" s="24" t="str">
        <x:v>https://kartaview.org/map/</x:v>
      </x:c>
      <x:c r="N954" s="22" t="str">
        <x:v>288253662</x:v>
      </x:c>
      <x:c r="O954" s="22" t="n">
        <x:v>1041</x:v>
      </x:c>
      <x:c r="P954" s="22" t="n">
        <x:v>27</x:v>
      </x:c>
      <x:c r="Q954" s="22" t="str"/>
      <x:c r="R954" s="22" t="n">
        <x:f>COUNTIF($M$6:$M$1177,M954)</x:f>
        <x:v>1</x:v>
      </x:c>
      <x:c r="S954" s="22" t="str">
        <x:v>Other / utility</x:v>
      </x:c>
      <x:c r="T954" s="22" t="str">
        <x:v>Not established</x:v>
      </x:c>
    </x:row>
    <x:row r="955" ht="48" customHeight="1">
      <x:c r="A955" s="22" t="n">
        <x:v>950</x:v>
      </x:c>
      <x:c r="B955" s="22" t="str">
        <x:v>Google Map Search Engine</x:v>
      </x:c>
      <x:c r="C955" s="43" t="str">
        <x:v>C-P</x:v>
      </x:c>
      <x:c r="D955" s="22" t="str">
        <x:v>Provisional</x:v>
      </x:c>
      <x:c r="E955" s="22" t="str">
        <x:v>MAPS</x:v>
      </x:c>
      <x:c r="F955" s="22" t="str">
        <x:v>Custom-search discovery only</x:v>
      </x:c>
      <x:c r="G955" s="22" t="str">
        <x:v>The saved URL identifies a custom search. This engine's configuration, coverage and query results were not tested.</x:v>
      </x:c>
      <x:c r="H955" s="22" t="str">
        <x:v>Open and verify the original result; do not count the search as corroboration</x:v>
      </x:c>
      <x:c r="I955" s="22" t="str">
        <x:v>Not checked</x:v>
      </x:c>
      <x:c r="J955" s="22" t="str">
        <x:v>Saved bookmark metadata only</x:v>
      </x:c>
      <x:c r="K955" s="22" t="str"/>
      <x:c r="L955" s="24" t="str"/>
      <x:c r="M955" s="24" t="str">
        <x:v>https://cse.google.com/cse?cx=013991603413798772546:mofb1uoaebi</x:v>
      </x:c>
      <x:c r="N955" s="22" t="str">
        <x:v>290065445</x:v>
      </x:c>
      <x:c r="O955" s="22" t="n">
        <x:v>1041</x:v>
      </x:c>
      <x:c r="P955" s="22" t="n">
        <x:v>28</x:v>
      </x:c>
      <x:c r="Q955" s="22" t="str"/>
      <x:c r="R955" s="22" t="n">
        <x:f>COUNTIF($M$6:$M$1177,M955)</x:f>
        <x:v>1</x:v>
      </x:c>
      <x:c r="S955" s="22" t="str">
        <x:v>Other / utility</x:v>
      </x:c>
      <x:c r="T955" s="22" t="str">
        <x:v>Low</x:v>
      </x:c>
    </x:row>
    <x:row r="956" ht="48" customHeight="1">
      <x:c r="A956" s="22" t="n">
        <x:v>951</x:v>
      </x:c>
      <x:c r="B956" s="22" t="str">
        <x:v>Power Plants in the United States</x:v>
      </x:c>
      <x:c r="C956" s="31" t="str">
        <x:v>U</x:v>
      </x:c>
      <x:c r="D956" s="22" t="str">
        <x:v>Unassessed</x:v>
      </x:c>
      <x:c r="E956" s="22" t="str">
        <x:v>MAPS</x:v>
      </x:c>
      <x:c r="F956" s="22" t="str">
        <x:v>Map or geospatial context</x:v>
      </x:c>
      <x:c r="G956" s="22" t="str">
        <x:v>Verify the layer publisher, imagery/observation date and local accuracy; proximity is not a relationship.</x:v>
      </x:c>
      <x:c r="H956" s="22" t="str">
        <x:v>Verify publisher, source and current function before reliance</x:v>
      </x:c>
      <x:c r="I956" s="22" t="str">
        <x:v>Not checked</x:v>
      </x:c>
      <x:c r="J956" s="22" t="str">
        <x:v>Saved bookmark metadata only</x:v>
      </x:c>
      <x:c r="K956" s="22" t="str"/>
      <x:c r="L956" s="24" t="str"/>
      <x:c r="M956" s="24" t="str">
        <x:v>https://www.arcgis.com/apps/dashboards/201fc98c0d74482d8b3acb0c4cc47f16</x:v>
      </x:c>
      <x:c r="N956" s="22" t="str">
        <x:v>294298391</x:v>
      </x:c>
      <x:c r="O956" s="22" t="n">
        <x:v>1041</x:v>
      </x:c>
      <x:c r="P956" s="22" t="n">
        <x:v>29</x:v>
      </x:c>
      <x:c r="Q956" s="22" t="str"/>
      <x:c r="R956" s="22" t="n">
        <x:f>COUNTIF($M$6:$M$1177,M956)</x:f>
        <x:v>1</x:v>
      </x:c>
      <x:c r="S956" s="22" t="str">
        <x:v>Other / utility</x:v>
      </x:c>
      <x:c r="T956" s="22" t="str">
        <x:v>Not established</x:v>
      </x:c>
    </x:row>
    <x:row r="957" ht="48" customHeight="1">
      <x:c r="A957" s="22" t="n">
        <x:v>952</x:v>
      </x:c>
      <x:c r="B957" s="22" t="str">
        <x:v>UK Onshore Oil and Gas Activity</x:v>
      </x:c>
      <x:c r="C957" s="31" t="str">
        <x:v>U</x:v>
      </x:c>
      <x:c r="D957" s="22" t="str">
        <x:v>Unassessed</x:v>
      </x:c>
      <x:c r="E957" s="22" t="str">
        <x:v>MAPS</x:v>
      </x:c>
      <x:c r="F957" s="22" t="str">
        <x:v>Map or geospatial context</x:v>
      </x:c>
      <x:c r="G957" s="22" t="str">
        <x:v>Verify the layer publisher, imagery/observation date and local accuracy; proximity is not a relationship.</x:v>
      </x:c>
      <x:c r="H957" s="22" t="str">
        <x:v>Verify publisher, source and current function before reliance</x:v>
      </x:c>
      <x:c r="I957" s="22" t="str">
        <x:v>Not checked</x:v>
      </x:c>
      <x:c r="J957" s="22" t="str">
        <x:v>Saved bookmark metadata only</x:v>
      </x:c>
      <x:c r="K957" s="22" t="str"/>
      <x:c r="L957" s="24" t="str"/>
      <x:c r="M957" s="24" t="str">
        <x:v>https://www.arcgis.com/apps/webappviewer/index.html?id=29c31fa4b00248418e545d222e57ddaa</x:v>
      </x:c>
      <x:c r="N957" s="22" t="str">
        <x:v>297704593</x:v>
      </x:c>
      <x:c r="O957" s="22" t="n">
        <x:v>1041</x:v>
      </x:c>
      <x:c r="P957" s="22" t="n">
        <x:v>30</x:v>
      </x:c>
      <x:c r="Q957" s="22" t="str"/>
      <x:c r="R957" s="22" t="n">
        <x:f>COUNTIF($M$6:$M$1177,M957)</x:f>
        <x:v>1</x:v>
      </x:c>
      <x:c r="S957" s="22" t="str">
        <x:v>Other / utility</x:v>
      </x:c>
      <x:c r="T957" s="22" t="str">
        <x:v>Not established</x:v>
      </x:c>
    </x:row>
    <x:row r="958" ht="48" customHeight="1">
      <x:c r="A958" s="22" t="n">
        <x:v>953</x:v>
      </x:c>
      <x:c r="B958" s="22" t="str">
        <x:v>Walmart Store Status</x:v>
      </x:c>
      <x:c r="C958" s="31" t="str">
        <x:v>U</x:v>
      </x:c>
      <x:c r="D958" s="22" t="str">
        <x:v>Unassessed</x:v>
      </x:c>
      <x:c r="E958" s="22" t="str">
        <x:v>MAPS</x:v>
      </x:c>
      <x:c r="F958" s="22" t="str">
        <x:v>Map or geospatial context</x:v>
      </x:c>
      <x:c r="G958" s="22" t="str">
        <x:v>Verify the layer publisher, imagery/observation date and local accuracy; proximity is not a relationship.</x:v>
      </x:c>
      <x:c r="H958" s="22" t="str">
        <x:v>Verify publisher, source and current function before reliance</x:v>
      </x:c>
      <x:c r="I958" s="22" t="str">
        <x:v>Not checked</x:v>
      </x:c>
      <x:c r="J958" s="22" t="str">
        <x:v>Saved bookmark metadata only</x:v>
      </x:c>
      <x:c r="K958" s="22" t="str"/>
      <x:c r="L958" s="24" t="str"/>
      <x:c r="M958" s="24" t="str">
        <x:v>https://www.arcgis.com/apps/dashboards/4e573c79e1224081805165d25b4f33c7</x:v>
      </x:c>
      <x:c r="N958" s="22" t="str">
        <x:v>294298395</x:v>
      </x:c>
      <x:c r="O958" s="22" t="n">
        <x:v>1041</x:v>
      </x:c>
      <x:c r="P958" s="22" t="n">
        <x:v>31</x:v>
      </x:c>
      <x:c r="Q958" s="22" t="str"/>
      <x:c r="R958" s="22" t="n">
        <x:f>COUNTIF($M$6:$M$1177,M958)</x:f>
        <x:v>1</x:v>
      </x:c>
      <x:c r="S958" s="22" t="str">
        <x:v>Other / utility</x:v>
      </x:c>
      <x:c r="T958" s="22" t="str">
        <x:v>Not established</x:v>
      </x:c>
    </x:row>
    <x:row r="959" ht="48" customHeight="1">
      <x:c r="A959" s="22" t="n">
        <x:v>954</x:v>
      </x:c>
      <x:c r="B959" s="22" t="str">
        <x:v>MODIS Wildfire</x:v>
      </x:c>
      <x:c r="C959" s="31" t="str">
        <x:v>U</x:v>
      </x:c>
      <x:c r="D959" s="22" t="str">
        <x:v>Unassessed</x:v>
      </x:c>
      <x:c r="E959" s="22" t="str">
        <x:v>MAPS</x:v>
      </x:c>
      <x:c r="F959" s="22" t="str">
        <x:v>Map or geospatial context</x:v>
      </x:c>
      <x:c r="G959" s="22" t="str">
        <x:v>Verify the layer publisher, imagery/observation date and local accuracy; proximity is not a relationship.</x:v>
      </x:c>
      <x:c r="H959" s="22" t="str">
        <x:v>Verify publisher, source and current function before reliance</x:v>
      </x:c>
      <x:c r="I959" s="22" t="str">
        <x:v>Not checked</x:v>
      </x:c>
      <x:c r="J959" s="22" t="str">
        <x:v>Saved bookmark metadata only</x:v>
      </x:c>
      <x:c r="K959" s="22" t="str"/>
      <x:c r="L959" s="24" t="str"/>
      <x:c r="M959" s="24" t="str">
        <x:v>https://www.arcgis.com/apps/dashboards/bf5df3a49a624521844a2e5e1ec7df05</x:v>
      </x:c>
      <x:c r="N959" s="22" t="str">
        <x:v>294298144</x:v>
      </x:c>
      <x:c r="O959" s="22" t="n">
        <x:v>1041</x:v>
      </x:c>
      <x:c r="P959" s="22" t="n">
        <x:v>32</x:v>
      </x:c>
      <x:c r="Q959" s="22" t="str"/>
      <x:c r="R959" s="22" t="n">
        <x:f>COUNTIF($M$6:$M$1177,M959)</x:f>
        <x:v>1</x:v>
      </x:c>
      <x:c r="S959" s="22" t="str">
        <x:v>Other / utility</x:v>
      </x:c>
      <x:c r="T959" s="22" t="str">
        <x:v>Not established</x:v>
      </x:c>
    </x:row>
    <x:row r="960" ht="48" customHeight="1">
      <x:c r="A960" s="22" t="n">
        <x:v>955</x:v>
      </x:c>
      <x:c r="B960" s="22" t="str">
        <x:v>Earthquake Watch</x:v>
      </x:c>
      <x:c r="C960" s="31" t="str">
        <x:v>U</x:v>
      </x:c>
      <x:c r="D960" s="22" t="str">
        <x:v>Unassessed</x:v>
      </x:c>
      <x:c r="E960" s="22" t="str">
        <x:v>MAPS</x:v>
      </x:c>
      <x:c r="F960" s="22" t="str">
        <x:v>Map or geospatial context</x:v>
      </x:c>
      <x:c r="G960" s="22" t="str">
        <x:v>Verify the layer publisher, imagery/observation date and local accuracy; proximity is not a relationship.</x:v>
      </x:c>
      <x:c r="H960" s="22" t="str">
        <x:v>Verify publisher, source and current function before reliance</x:v>
      </x:c>
      <x:c r="I960" s="22" t="str">
        <x:v>Not checked</x:v>
      </x:c>
      <x:c r="J960" s="22" t="str">
        <x:v>Saved bookmark metadata only</x:v>
      </x:c>
      <x:c r="K960" s="22" t="str"/>
      <x:c r="L960" s="24" t="str"/>
      <x:c r="M960" s="24" t="str">
        <x:v>https://www.arcgis.com/apps/dashboards/c8af9c5411814584b460cc87cb7c3780</x:v>
      </x:c>
      <x:c r="N960" s="22" t="str">
        <x:v>294298146</x:v>
      </x:c>
      <x:c r="O960" s="22" t="n">
        <x:v>1041</x:v>
      </x:c>
      <x:c r="P960" s="22" t="n">
        <x:v>33</x:v>
      </x:c>
      <x:c r="Q960" s="22" t="str"/>
      <x:c r="R960" s="22" t="n">
        <x:f>COUNTIF($M$6:$M$1177,M960)</x:f>
        <x:v>1</x:v>
      </x:c>
      <x:c r="S960" s="22" t="str">
        <x:v>Other / utility</x:v>
      </x:c>
      <x:c r="T960" s="22" t="str">
        <x:v>Not established</x:v>
      </x:c>
    </x:row>
    <x:row r="961" ht="48" customHeight="1">
      <x:c r="A961" s="22" t="n">
        <x:v>956</x:v>
      </x:c>
      <x:c r="B961" s="22" t="str">
        <x:v>InciWeb</x:v>
      </x:c>
      <x:c r="C961" s="31" t="str">
        <x:v>U</x:v>
      </x:c>
      <x:c r="D961" s="22" t="str">
        <x:v>Unassessed</x:v>
      </x:c>
      <x:c r="E961" s="22" t="str">
        <x:v>MAPS</x:v>
      </x:c>
      <x:c r="F961" s="22" t="str">
        <x:v>Map or geospatial context</x:v>
      </x:c>
      <x:c r="G961" s="22" t="str">
        <x:v>Verify the layer publisher, imagery/observation date and local accuracy; proximity is not a relationship.</x:v>
      </x:c>
      <x:c r="H961" s="22" t="str">
        <x:v>Verify publisher, source and current function before reliance</x:v>
      </x:c>
      <x:c r="I961" s="22" t="str">
        <x:v>Not checked</x:v>
      </x:c>
      <x:c r="J961" s="22" t="str">
        <x:v>Saved bookmark metadata only</x:v>
      </x:c>
      <x:c r="K961" s="22" t="str"/>
      <x:c r="L961" s="24" t="str"/>
      <x:c r="M961" s="24" t="str">
        <x:v>https://inciweb.nwcg.gov/</x:v>
      </x:c>
      <x:c r="N961" s="22" t="str">
        <x:v>294298384</x:v>
      </x:c>
      <x:c r="O961" s="22" t="n">
        <x:v>1041</x:v>
      </x:c>
      <x:c r="P961" s="22" t="n">
        <x:v>34</x:v>
      </x:c>
      <x:c r="Q961" s="22" t="str"/>
      <x:c r="R961" s="22" t="n">
        <x:f>COUNTIF($M$6:$M$1177,M961)</x:f>
        <x:v>1</x:v>
      </x:c>
      <x:c r="S961" s="22" t="str">
        <x:v>Other / utility</x:v>
      </x:c>
      <x:c r="T961" s="22" t="str">
        <x:v>Not established</x:v>
      </x:c>
    </x:row>
    <x:row r="962" ht="48" customHeight="1">
      <x:c r="A962" s="22" t="n">
        <x:v>957</x:v>
      </x:c>
      <x:c r="B962" s="22" t="str">
        <x:v>Earth</x:v>
      </x:c>
      <x:c r="C962" s="31" t="str">
        <x:v>U</x:v>
      </x:c>
      <x:c r="D962" s="22" t="str">
        <x:v>Unassessed</x:v>
      </x:c>
      <x:c r="E962" s="22" t="str">
        <x:v>MAPS</x:v>
      </x:c>
      <x:c r="F962" s="22" t="str">
        <x:v>Map or geospatial context</x:v>
      </x:c>
      <x:c r="G962" s="22" t="str">
        <x:v>Verify the layer publisher, imagery/observation date and local accuracy; proximity is not a relationship.</x:v>
      </x:c>
      <x:c r="H962" s="22" t="str">
        <x:v>Verify publisher, source and current function before reliance</x:v>
      </x:c>
      <x:c r="I962" s="22" t="str">
        <x:v>Not checked</x:v>
      </x:c>
      <x:c r="J962" s="22" t="str">
        <x:v>Saved bookmark metadata only</x:v>
      </x:c>
      <x:c r="K962" s="22" t="str"/>
      <x:c r="L962" s="24" t="str"/>
      <x:c r="M962" s="24" t="str">
        <x:v>https://earth.nullschool.net/#current</x:v>
      </x:c>
      <x:c r="N962" s="22" t="str">
        <x:v>297704546</x:v>
      </x:c>
      <x:c r="O962" s="22" t="n">
        <x:v>1041</x:v>
      </x:c>
      <x:c r="P962" s="22" t="n">
        <x:v>35</x:v>
      </x:c>
      <x:c r="Q962" s="22" t="str"/>
      <x:c r="R962" s="22" t="n">
        <x:f>COUNTIF($M$6:$M$1177,M962)</x:f>
        <x:v>1</x:v>
      </x:c>
      <x:c r="S962" s="22" t="str">
        <x:v>Other / utility</x:v>
      </x:c>
      <x:c r="T962" s="22" t="str">
        <x:v>Not established</x:v>
      </x:c>
    </x:row>
    <x:row r="963" ht="48" customHeight="1">
      <x:c r="A963" s="22" t="n">
        <x:v>958</x:v>
      </x:c>
      <x:c r="B963" s="22" t="str">
        <x:v>US Labor Strike Map</x:v>
      </x:c>
      <x:c r="C963" s="31" t="str">
        <x:v>U</x:v>
      </x:c>
      <x:c r="D963" s="22" t="str">
        <x:v>Unassessed</x:v>
      </x:c>
      <x:c r="E963" s="22" t="str">
        <x:v>MAPS</x:v>
      </x:c>
      <x:c r="F963" s="22" t="str">
        <x:v>Map or geospatial context</x:v>
      </x:c>
      <x:c r="G963" s="22" t="str">
        <x:v>Verify the layer publisher, imagery/observation date and local accuracy; proximity is not a relationship.</x:v>
      </x:c>
      <x:c r="H963" s="22" t="str">
        <x:v>Verify publisher, source and current function before reliance</x:v>
      </x:c>
      <x:c r="I963" s="22" t="str">
        <x:v>Not checked</x:v>
      </x:c>
      <x:c r="J963" s="22" t="str">
        <x:v>Saved bookmark metadata only</x:v>
      </x:c>
      <x:c r="K963" s="22" t="str"/>
      <x:c r="L963" s="24" t="str"/>
      <x:c r="M963" s="24" t="str">
        <x:v>https://www.google.com/maps/d/viewer?mid=1hE1nDR-Ff_sVgOS67IteJSxGZlvqIP3k</x:v>
      </x:c>
      <x:c r="N963" s="22" t="str">
        <x:v>297704476</x:v>
      </x:c>
      <x:c r="O963" s="22" t="n">
        <x:v>1041</x:v>
      </x:c>
      <x:c r="P963" s="22" t="n">
        <x:v>36</x:v>
      </x:c>
      <x:c r="Q963" s="22" t="str"/>
      <x:c r="R963" s="22" t="n">
        <x:f>COUNTIF($M$6:$M$1177,M963)</x:f>
        <x:v>1</x:v>
      </x:c>
      <x:c r="S963" s="22" t="str">
        <x:v>Other / utility</x:v>
      </x:c>
      <x:c r="T963" s="22" t="str">
        <x:v>Not established</x:v>
      </x:c>
    </x:row>
    <x:row r="964" ht="48" customHeight="1">
      <x:c r="A964" s="22" t="n">
        <x:v>959</x:v>
      </x:c>
      <x:c r="B964" s="22" t="str">
        <x:v>Active Agency Map</x:v>
      </x:c>
      <x:c r="C964" s="31" t="str">
        <x:v>U</x:v>
      </x:c>
      <x:c r="D964" s="22" t="str">
        <x:v>Unassessed</x:v>
      </x:c>
      <x:c r="E964" s="22" t="str">
        <x:v>MAPS</x:v>
      </x:c>
      <x:c r="F964" s="22" t="str">
        <x:v>Map or geospatial context</x:v>
      </x:c>
      <x:c r="G964" s="22" t="str">
        <x:v>Verify the layer publisher, imagery/observation date and local accuracy; proximity is not a relationship.</x:v>
      </x:c>
      <x:c r="H964" s="22" t="str">
        <x:v>Verify publisher, source and current function before reliance</x:v>
      </x:c>
      <x:c r="I964" s="22" t="str">
        <x:v>Not checked</x:v>
      </x:c>
      <x:c r="J964" s="22" t="str">
        <x:v>Saved bookmark metadata only</x:v>
      </x:c>
      <x:c r="K964" s="22" t="str"/>
      <x:c r="L964" s="24" t="str"/>
      <x:c r="M964" s="24" t="str">
        <x:v>https://www.google.com/maps/d/viewer?mid=1eYVDPh5itXq5acDT9b0BVeQwmESBa4cB</x:v>
      </x:c>
      <x:c r="N964" s="22" t="str">
        <x:v>297888756</x:v>
      </x:c>
      <x:c r="O964" s="22" t="n">
        <x:v>1041</x:v>
      </x:c>
      <x:c r="P964" s="22" t="n">
        <x:v>37</x:v>
      </x:c>
      <x:c r="Q964" s="22" t="str"/>
      <x:c r="R964" s="22" t="n">
        <x:f>COUNTIF($M$6:$M$1177,M964)</x:f>
        <x:v>1</x:v>
      </x:c>
      <x:c r="S964" s="22" t="str">
        <x:v>Other / utility</x:v>
      </x:c>
      <x:c r="T964" s="22" t="str">
        <x:v>Not established</x:v>
      </x:c>
    </x:row>
    <x:row r="965" ht="48" customHeight="1">
      <x:c r="A965" s="22" t="n">
        <x:v>960</x:v>
      </x:c>
      <x:c r="B965" s="22" t="str">
        <x:v>Ontario GiveSendGo Donors</x:v>
      </x:c>
      <x:c r="C965" s="31" t="str">
        <x:v>U</x:v>
      </x:c>
      <x:c r="D965" s="22" t="str">
        <x:v>Unassessed</x:v>
      </x:c>
      <x:c r="E965" s="22" t="str">
        <x:v>MAPS</x:v>
      </x:c>
      <x:c r="F965" s="22" t="str">
        <x:v>Map or geospatial context</x:v>
      </x:c>
      <x:c r="G965" s="22" t="str">
        <x:v>Verify the layer publisher, imagery/observation date and local accuracy; proximity is not a relationship.</x:v>
      </x:c>
      <x:c r="H965" s="22" t="str">
        <x:v>Verify publisher, source and current function before reliance</x:v>
      </x:c>
      <x:c r="I965" s="22" t="str">
        <x:v>Not checked</x:v>
      </x:c>
      <x:c r="J965" s="22" t="str">
        <x:v>Saved bookmark metadata only</x:v>
      </x:c>
      <x:c r="K965" s="22" t="str"/>
      <x:c r="L965" s="24" t="str"/>
      <x:c r="M965" s="24" t="str">
        <x:v>https://www.google.com/maps/d/viewer?mid=1heAgrb9bDuk287yqseyvhZ7-U_kz64hM</x:v>
      </x:c>
      <x:c r="N965" s="22" t="str">
        <x:v>303532757</x:v>
      </x:c>
      <x:c r="O965" s="22" t="n">
        <x:v>1041</x:v>
      </x:c>
      <x:c r="P965" s="22" t="n">
        <x:v>38</x:v>
      </x:c>
      <x:c r="Q965" s="22" t="str"/>
      <x:c r="R965" s="22" t="n">
        <x:f>COUNTIF($M$6:$M$1177,M965)</x:f>
        <x:v>1</x:v>
      </x:c>
      <x:c r="S965" s="22" t="str">
        <x:v>Other / utility</x:v>
      </x:c>
      <x:c r="T965" s="22" t="str">
        <x:v>Not established</x:v>
      </x:c>
    </x:row>
    <x:row r="966" ht="48" customHeight="1">
      <x:c r="A966" s="22" t="n">
        <x:v>961</x:v>
      </x:c>
      <x:c r="B966" s="22" t="str">
        <x:v>Live-action-map.com</x:v>
      </x:c>
      <x:c r="C966" s="31" t="str">
        <x:v>U</x:v>
      </x:c>
      <x:c r="D966" s="22" t="str">
        <x:v>Unassessed</x:v>
      </x:c>
      <x:c r="E966" s="22" t="str">
        <x:v>MAPS</x:v>
      </x:c>
      <x:c r="F966" s="22" t="str">
        <x:v>Map or geospatial context</x:v>
      </x:c>
      <x:c r="G966" s="22" t="str">
        <x:v>Verify the layer publisher, imagery/observation date and local accuracy; proximity is not a relationship.</x:v>
      </x:c>
      <x:c r="H966" s="22" t="str">
        <x:v>Verify publisher, source and current function before reliance</x:v>
      </x:c>
      <x:c r="I966" s="22" t="str">
        <x:v>Not checked</x:v>
      </x:c>
      <x:c r="J966" s="22" t="str">
        <x:v>Saved bookmark metadata only</x:v>
      </x:c>
      <x:c r="K966" s="22" t="str"/>
      <x:c r="L966" s="24" t="str"/>
      <x:c r="M966" s="24" t="str">
        <x:v>https://www.live-action-map.com/</x:v>
      </x:c>
      <x:c r="N966" s="22" t="str">
        <x:v>305289452</x:v>
      </x:c>
      <x:c r="O966" s="22" t="n">
        <x:v>1041</x:v>
      </x:c>
      <x:c r="P966" s="22" t="n">
        <x:v>39</x:v>
      </x:c>
      <x:c r="Q966" s="22" t="str"/>
      <x:c r="R966" s="22" t="n">
        <x:f>COUNTIF($M$6:$M$1177,M966)</x:f>
        <x:v>1</x:v>
      </x:c>
      <x:c r="S966" s="22" t="str">
        <x:v>Other / utility</x:v>
      </x:c>
      <x:c r="T966" s="22" t="str">
        <x:v>Not established</x:v>
      </x:c>
    </x:row>
    <x:row r="967" ht="48" customHeight="1">
      <x:c r="A967" s="22" t="n">
        <x:v>962</x:v>
      </x:c>
      <x:c r="B967" s="22" t="str">
        <x:v>awesome-maps-ukraine</x:v>
      </x:c>
      <x:c r="C967" s="31" t="str">
        <x:v>U</x:v>
      </x:c>
      <x:c r="D967" s="22" t="str">
        <x:v>Unassessed</x:v>
      </x:c>
      <x:c r="E967" s="22" t="str">
        <x:v>MAPS</x:v>
      </x:c>
      <x:c r="F967" s="22" t="str">
        <x:v>Map or geospatial context</x:v>
      </x:c>
      <x:c r="G967" s="22" t="str">
        <x:v>Verify the layer publisher, imagery/observation date and local accuracy; proximity is not a relationship.</x:v>
      </x:c>
      <x:c r="H967" s="22" t="str">
        <x:v>Verify publisher, source and current function before reliance</x:v>
      </x:c>
      <x:c r="I967" s="22" t="str">
        <x:v>Not checked</x:v>
      </x:c>
      <x:c r="J967" s="22" t="str">
        <x:v>Saved bookmark metadata only</x:v>
      </x:c>
      <x:c r="K967" s="22" t="str"/>
      <x:c r="L967" s="24" t="str"/>
      <x:c r="M967" s="24" t="str">
        <x:v>https://github.com/Symbian9/awesome-maps-ukraine</x:v>
      </x:c>
      <x:c r="N967" s="22" t="str">
        <x:v>305289455</x:v>
      </x:c>
      <x:c r="O967" s="22" t="n">
        <x:v>1041</x:v>
      </x:c>
      <x:c r="P967" s="22" t="n">
        <x:v>40</x:v>
      </x:c>
      <x:c r="Q967" s="22" t="str"/>
      <x:c r="R967" s="22" t="n">
        <x:f>COUNTIF($M$6:$M$1177,M967)</x:f>
        <x:v>1</x:v>
      </x:c>
      <x:c r="S967" s="22" t="str">
        <x:v>Other / utility</x:v>
      </x:c>
      <x:c r="T967" s="22" t="str">
        <x:v>Not established</x:v>
      </x:c>
    </x:row>
    <x:row r="968" ht="48" customHeight="1">
      <x:c r="A968" s="22" t="n">
        <x:v>963</x:v>
      </x:c>
      <x:c r="B968" s="22" t="str">
        <x:v>Допомога</x:v>
      </x:c>
      <x:c r="C968" s="31" t="str">
        <x:v>U</x:v>
      </x:c>
      <x:c r="D968" s="22" t="str">
        <x:v>Unassessed</x:v>
      </x:c>
      <x:c r="E968" s="22" t="str">
        <x:v>MAPS</x:v>
      </x:c>
      <x:c r="F968" s="22" t="str">
        <x:v>Map or geospatial context</x:v>
      </x:c>
      <x:c r="G968" s="22" t="str">
        <x:v>Verify the layer publisher, imagery/observation date and local accuracy; proximity is not a relationship.</x:v>
      </x:c>
      <x:c r="H968" s="22" t="str">
        <x:v>Verify publisher, source and current function before reliance</x:v>
      </x:c>
      <x:c r="I968" s="22" t="str">
        <x:v>Not checked</x:v>
      </x:c>
      <x:c r="J968" s="22" t="str">
        <x:v>Saved bookmark metadata only</x:v>
      </x:c>
      <x:c r="K968" s="22" t="str"/>
      <x:c r="L968" s="24" t="str"/>
      <x:c r="M968" s="24" t="str">
        <x:v>https://dopomoha.pl/</x:v>
      </x:c>
      <x:c r="N968" s="22" t="str">
        <x:v>305289560</x:v>
      </x:c>
      <x:c r="O968" s="22" t="n">
        <x:v>1042</x:v>
      </x:c>
      <x:c r="P968" s="22" t="n">
        <x:v>41</x:v>
      </x:c>
      <x:c r="Q968" s="22" t="str"/>
      <x:c r="R968" s="22" t="n">
        <x:f>COUNTIF($M$6:$M$1177,M968)</x:f>
        <x:v>1</x:v>
      </x:c>
      <x:c r="S968" s="22" t="str">
        <x:v>Other / utility</x:v>
      </x:c>
      <x:c r="T968" s="22" t="str">
        <x:v>Not established</x:v>
      </x:c>
    </x:row>
    <x:row r="969" ht="48" customHeight="1">
      <x:c r="A969" s="22" t="n">
        <x:v>964</x:v>
      </x:c>
      <x:c r="B969" s="22" t="str">
        <x:v>Ukraine Live Cams</x:v>
      </x:c>
      <x:c r="C969" s="31" t="str">
        <x:v>U</x:v>
      </x:c>
      <x:c r="D969" s="22" t="str">
        <x:v>Unassessed</x:v>
      </x:c>
      <x:c r="E969" s="22" t="str">
        <x:v>MAPS</x:v>
      </x:c>
      <x:c r="F969" s="22" t="str">
        <x:v>Map or geospatial context</x:v>
      </x:c>
      <x:c r="G969" s="22" t="str">
        <x:v>Verify the layer publisher, imagery/observation date and local accuracy; proximity is not a relationship.</x:v>
      </x:c>
      <x:c r="H969" s="22" t="str">
        <x:v>Verify publisher, source and current function before reliance</x:v>
      </x:c>
      <x:c r="I969" s="22" t="str">
        <x:v>Not checked</x:v>
      </x:c>
      <x:c r="J969" s="22" t="str">
        <x:v>Saved bookmark metadata only</x:v>
      </x:c>
      <x:c r="K969" s="22" t="str"/>
      <x:c r="L969" s="24" t="str"/>
      <x:c r="M969" s="24" t="str">
        <x:v>https://nagix.github.io/ukraine-livecams</x:v>
      </x:c>
      <x:c r="N969" s="22" t="str">
        <x:v>305289564</x:v>
      </x:c>
      <x:c r="O969" s="22" t="n">
        <x:v>1042</x:v>
      </x:c>
      <x:c r="P969" s="22" t="n">
        <x:v>42</x:v>
      </x:c>
      <x:c r="Q969" s="22" t="str"/>
      <x:c r="R969" s="22" t="n">
        <x:f>COUNTIF($M$6:$M$1177,M969)</x:f>
        <x:v>1</x:v>
      </x:c>
      <x:c r="S969" s="22" t="str">
        <x:v>Other / utility</x:v>
      </x:c>
      <x:c r="T969" s="22" t="str">
        <x:v>Not established</x:v>
      </x:c>
    </x:row>
    <x:row r="970" ht="48" customHeight="1">
      <x:c r="A970" s="22" t="n">
        <x:v>965</x:v>
      </x:c>
      <x:c r="B970" s="22" t="str">
        <x:v>Ukraine War Map/Heatmap</x:v>
      </x:c>
      <x:c r="C970" s="31" t="str">
        <x:v>U</x:v>
      </x:c>
      <x:c r="D970" s="22" t="str">
        <x:v>Unassessed</x:v>
      </x:c>
      <x:c r="E970" s="22" t="str">
        <x:v>MAPS</x:v>
      </x:c>
      <x:c r="F970" s="22" t="str">
        <x:v>Map or geospatial context</x:v>
      </x:c>
      <x:c r="G970" s="22" t="str">
        <x:v>Verify the layer publisher, imagery/observation date and local accuracy; proximity is not a relationship.</x:v>
      </x:c>
      <x:c r="H970" s="22" t="str">
        <x:v>Verify publisher, source and current function before reliance</x:v>
      </x:c>
      <x:c r="I970" s="22" t="str">
        <x:v>Not checked</x:v>
      </x:c>
      <x:c r="J970" s="22" t="str">
        <x:v>Saved bookmark metadata only</x:v>
      </x:c>
      <x:c r="K970" s="22" t="str"/>
      <x:c r="L970" s="24" t="str"/>
      <x:c r="M970" s="24" t="str">
        <x:v>https://ruarq.github.io/ukraine-war-heatmap</x:v>
      </x:c>
      <x:c r="N970" s="22" t="str">
        <x:v>305289614</x:v>
      </x:c>
      <x:c r="O970" s="22" t="n">
        <x:v>1042</x:v>
      </x:c>
      <x:c r="P970" s="22" t="n">
        <x:v>43</x:v>
      </x:c>
      <x:c r="Q970" s="22" t="str"/>
      <x:c r="R970" s="22" t="n">
        <x:f>COUNTIF($M$6:$M$1177,M970)</x:f>
        <x:v>1</x:v>
      </x:c>
      <x:c r="S970" s="22" t="str">
        <x:v>Other / utility</x:v>
      </x:c>
      <x:c r="T970" s="22" t="str">
        <x:v>Not established</x:v>
      </x:c>
    </x:row>
    <x:row r="971" ht="48" customHeight="1">
      <x:c r="A971" s="22" t="n">
        <x:v>966</x:v>
      </x:c>
      <x:c r="B971" s="22" t="str">
        <x:v>Live map of London Underground trains</x:v>
      </x:c>
      <x:c r="C971" s="31" t="str">
        <x:v>U</x:v>
      </x:c>
      <x:c r="D971" s="22" t="str">
        <x:v>Unassessed</x:v>
      </x:c>
      <x:c r="E971" s="22" t="str">
        <x:v>MAPS</x:v>
      </x:c>
      <x:c r="F971" s="22" t="str">
        <x:v>Map or geospatial context</x:v>
      </x:c>
      <x:c r="G971" s="22" t="str">
        <x:v>Verify the layer publisher, imagery/observation date and local accuracy; proximity is not a relationship.</x:v>
      </x:c>
      <x:c r="H971" s="22" t="str">
        <x:v>Verify publisher, source and current function before reliance</x:v>
      </x:c>
      <x:c r="I971" s="22" t="str">
        <x:v>Not checked</x:v>
      </x:c>
      <x:c r="J971" s="22" t="str">
        <x:v>Saved bookmark metadata only</x:v>
      </x:c>
      <x:c r="K971" s="22" t="str"/>
      <x:c r="L971" s="24" t="str"/>
      <x:c r="M971" s="24" t="str">
        <x:v>https://traintimes.org.uk/map/tube/</x:v>
      </x:c>
      <x:c r="N971" s="22" t="str">
        <x:v>305289635</x:v>
      </x:c>
      <x:c r="O971" s="22" t="n">
        <x:v>1042</x:v>
      </x:c>
      <x:c r="P971" s="22" t="n">
        <x:v>44</x:v>
      </x:c>
      <x:c r="Q971" s="22" t="str"/>
      <x:c r="R971" s="22" t="n">
        <x:f>COUNTIF($M$6:$M$1177,M971)</x:f>
        <x:v>1</x:v>
      </x:c>
      <x:c r="S971" s="22" t="str">
        <x:v>Other / utility</x:v>
      </x:c>
      <x:c r="T971" s="22" t="str">
        <x:v>Not established</x:v>
      </x:c>
    </x:row>
    <x:row r="972" ht="48" customHeight="1">
      <x:c r="A972" s="22" t="n">
        <x:v>967</x:v>
      </x:c>
      <x:c r="B972" s="22" t="str">
        <x:v>Livecorona.co.kr</x:v>
      </x:c>
      <x:c r="C972" s="31" t="str">
        <x:v>U</x:v>
      </x:c>
      <x:c r="D972" s="22" t="str">
        <x:v>Unassessed</x:v>
      </x:c>
      <x:c r="E972" s="22" t="str">
        <x:v>MAPS</x:v>
      </x:c>
      <x:c r="F972" s="22" t="str">
        <x:v>Map or geospatial context</x:v>
      </x:c>
      <x:c r="G972" s="22" t="str">
        <x:v>Verify the layer publisher, imagery/observation date and local accuracy; proximity is not a relationship.</x:v>
      </x:c>
      <x:c r="H972" s="22" t="str">
        <x:v>Verify publisher, source and current function before reliance</x:v>
      </x:c>
      <x:c r="I972" s="22" t="str">
        <x:v>Not checked</x:v>
      </x:c>
      <x:c r="J972" s="22" t="str">
        <x:v>Saved bookmark metadata only</x:v>
      </x:c>
      <x:c r="K972" s="22" t="str"/>
      <x:c r="L972" s="24" t="str"/>
      <x:c r="M972" s="24" t="str">
        <x:v>https://livecorona.co.kr/</x:v>
      </x:c>
      <x:c r="N972" s="22" t="str">
        <x:v>305290114</x:v>
      </x:c>
      <x:c r="O972" s="22" t="n">
        <x:v>1042</x:v>
      </x:c>
      <x:c r="P972" s="22" t="n">
        <x:v>45</x:v>
      </x:c>
      <x:c r="Q972" s="22" t="str"/>
      <x:c r="R972" s="22" t="n">
        <x:f>COUNTIF($M$6:$M$1177,M972)</x:f>
        <x:v>1</x:v>
      </x:c>
      <x:c r="S972" s="22" t="str">
        <x:v>Other / utility</x:v>
      </x:c>
      <x:c r="T972" s="22" t="str">
        <x:v>Not established</x:v>
      </x:c>
    </x:row>
    <x:row r="973" ht="48" customHeight="1">
      <x:c r="A973" s="22" t="n">
        <x:v>968</x:v>
      </x:c>
      <x:c r="B973" s="22" t="str">
        <x:v>TfL JamCams</x:v>
      </x:c>
      <x:c r="C973" s="31" t="str">
        <x:v>U</x:v>
      </x:c>
      <x:c r="D973" s="22" t="str">
        <x:v>Unassessed</x:v>
      </x:c>
      <x:c r="E973" s="22" t="str">
        <x:v>MAPS</x:v>
      </x:c>
      <x:c r="F973" s="22" t="str">
        <x:v>Map or geospatial context</x:v>
      </x:c>
      <x:c r="G973" s="22" t="str">
        <x:v>Verify the layer publisher, imagery/observation date and local accuracy; proximity is not a relationship.</x:v>
      </x:c>
      <x:c r="H973" s="22" t="str">
        <x:v>Verify publisher, source and current function before reliance</x:v>
      </x:c>
      <x:c r="I973" s="22" t="str">
        <x:v>Not checked</x:v>
      </x:c>
      <x:c r="J973" s="22" t="str">
        <x:v>Saved bookmark metadata only</x:v>
      </x:c>
      <x:c r="K973" s="22" t="str"/>
      <x:c r="L973" s="24" t="str"/>
      <x:c r="M973" s="24" t="str">
        <x:v>https://www.tfljamcams.net/</x:v>
      </x:c>
      <x:c r="N973" s="22" t="str">
        <x:v>305290135</x:v>
      </x:c>
      <x:c r="O973" s="22" t="n">
        <x:v>1042</x:v>
      </x:c>
      <x:c r="P973" s="22" t="n">
        <x:v>46</x:v>
      </x:c>
      <x:c r="Q973" s="22" t="str"/>
      <x:c r="R973" s="22" t="n">
        <x:f>COUNTIF($M$6:$M$1177,M973)</x:f>
        <x:v>1</x:v>
      </x:c>
      <x:c r="S973" s="22" t="str">
        <x:v>Other / utility</x:v>
      </x:c>
      <x:c r="T973" s="22" t="str">
        <x:v>Not established</x:v>
      </x:c>
    </x:row>
    <x:row r="974" ht="48" customHeight="1">
      <x:c r="A974" s="22" t="n">
        <x:v>969</x:v>
      </x:c>
      <x:c r="B974" s="22" t="str">
        <x:v>Cesium Stories</x:v>
      </x:c>
      <x:c r="C974" s="31" t="str">
        <x:v>U</x:v>
      </x:c>
      <x:c r="D974" s="22" t="str">
        <x:v>Unassessed</x:v>
      </x:c>
      <x:c r="E974" s="22" t="str">
        <x:v>MAPS</x:v>
      </x:c>
      <x:c r="F974" s="22" t="str">
        <x:v>Map or geospatial context</x:v>
      </x:c>
      <x:c r="G974" s="22" t="str">
        <x:v>Verify the layer publisher, imagery/observation date and local accuracy; proximity is not a relationship.</x:v>
      </x:c>
      <x:c r="H974" s="22" t="str">
        <x:v>Verify publisher, source and current function before reliance</x:v>
      </x:c>
      <x:c r="I974" s="22" t="str">
        <x:v>Not checked</x:v>
      </x:c>
      <x:c r="J974" s="22" t="str">
        <x:v>Saved bookmark metadata only</x:v>
      </x:c>
      <x:c r="K974" s="22" t="str"/>
      <x:c r="L974" s="24" t="str"/>
      <x:c r="M974" s="24" t="str">
        <x:v>https://cesium.com/ion/stories/viewer/?id=8be6f99c-0d4c-46ce-91a3-313e3cac62fe</x:v>
      </x:c>
      <x:c r="N974" s="22" t="str">
        <x:v>313463152</x:v>
      </x:c>
      <x:c r="O974" s="22" t="n">
        <x:v>1042</x:v>
      </x:c>
      <x:c r="P974" s="22" t="n">
        <x:v>47</x:v>
      </x:c>
      <x:c r="Q974" s="22" t="str"/>
      <x:c r="R974" s="22" t="n">
        <x:f>COUNTIF($M$6:$M$1177,M974)</x:f>
        <x:v>1</x:v>
      </x:c>
      <x:c r="S974" s="22" t="str">
        <x:v>Other / utility</x:v>
      </x:c>
      <x:c r="T974" s="22" t="str">
        <x:v>Not established</x:v>
      </x:c>
    </x:row>
    <x:row r="975" ht="48" customHeight="1">
      <x:c r="A975" s="22" t="n">
        <x:v>970</x:v>
      </x:c>
      <x:c r="B975" s="22" t="str">
        <x:v>GEOINT</x:v>
      </x:c>
      <x:c r="C975" s="31" t="str">
        <x:v>U</x:v>
      </x:c>
      <x:c r="D975" s="22" t="str">
        <x:v>Unassessed</x:v>
      </x:c>
      <x:c r="E975" s="22" t="str">
        <x:v>GEO</x:v>
      </x:c>
      <x:c r="F975" s="22" t="str">
        <x:v>Geospatial data / analysis</x:v>
      </x:c>
      <x:c r="G975" s="22" t="str">
        <x:v>Check geospatial source, resolution, collection date and inference method before drawing a location conclusion.</x:v>
      </x:c>
      <x:c r="H975" s="22" t="str">
        <x:v>Verify publisher, source and current function before reliance</x:v>
      </x:c>
      <x:c r="I975" s="22" t="str">
        <x:v>Not checked</x:v>
      </x:c>
      <x:c r="J975" s="22" t="str">
        <x:v>Saved bookmark metadata only</x:v>
      </x:c>
      <x:c r="K975" s="22" t="str"/>
      <x:c r="L975" s="24" t="str"/>
      <x:c r="M975" s="24" t="str">
        <x:v>https://start.me/p/W1kDAj/geoint</x:v>
      </x:c>
      <x:c r="N975" s="22" t="str">
        <x:v>288431711</x:v>
      </x:c>
      <x:c r="O975" s="22" t="n">
        <x:v>1042</x:v>
      </x:c>
      <x:c r="P975" s="22" t="n">
        <x:v>1</x:v>
      </x:c>
      <x:c r="Q975" s="22" t="str"/>
      <x:c r="R975" s="22" t="n">
        <x:f>COUNTIF($M$6:$M$1177,M975)</x:f>
        <x:v>1</x:v>
      </x:c>
      <x:c r="S975" s="22" t="str">
        <x:v>Other / utility</x:v>
      </x:c>
      <x:c r="T975" s="22" t="str">
        <x:v>Not established</x:v>
      </x:c>
    </x:row>
    <x:row r="976" ht="48" customHeight="1">
      <x:c r="A976" s="22" t="n">
        <x:v>971</x:v>
      </x:c>
      <x:c r="B976" s="22" t="str">
        <x:v>GeoNames</x:v>
      </x:c>
      <x:c r="C976" s="31" t="str">
        <x:v>U</x:v>
      </x:c>
      <x:c r="D976" s="22" t="str">
        <x:v>Unassessed</x:v>
      </x:c>
      <x:c r="E976" s="22" t="str">
        <x:v>GEO</x:v>
      </x:c>
      <x:c r="F976" s="22" t="str">
        <x:v>Geospatial data / analysis</x:v>
      </x:c>
      <x:c r="G976" s="22" t="str">
        <x:v>Check geospatial source, resolution, collection date and inference method before drawing a location conclusion.</x:v>
      </x:c>
      <x:c r="H976" s="22" t="str">
        <x:v>Verify publisher, source and current function before reliance</x:v>
      </x:c>
      <x:c r="I976" s="22" t="str">
        <x:v>Not checked</x:v>
      </x:c>
      <x:c r="J976" s="22" t="str">
        <x:v>Saved bookmark metadata only</x:v>
      </x:c>
      <x:c r="K976" s="22" t="str"/>
      <x:c r="L976" s="24" t="str"/>
      <x:c r="M976" s="24" t="str">
        <x:v>https://www.geonames.org/</x:v>
      </x:c>
      <x:c r="N976" s="22" t="str">
        <x:v>297337798</x:v>
      </x:c>
      <x:c r="O976" s="22" t="n">
        <x:v>1042</x:v>
      </x:c>
      <x:c r="P976" s="22" t="n">
        <x:v>2</x:v>
      </x:c>
      <x:c r="Q976" s="22" t="str"/>
      <x:c r="R976" s="22" t="n">
        <x:f>COUNTIF($M$6:$M$1177,M976)</x:f>
        <x:v>1</x:v>
      </x:c>
      <x:c r="S976" s="22" t="str">
        <x:v>Other / utility</x:v>
      </x:c>
      <x:c r="T976" s="22" t="str">
        <x:v>Not established</x:v>
      </x:c>
    </x:row>
    <x:row r="977" ht="48" customHeight="1">
      <x:c r="A977" s="22" t="n">
        <x:v>972</x:v>
      </x:c>
      <x:c r="B977" s="22" t="str">
        <x:v>Geoseer.net</x:v>
      </x:c>
      <x:c r="C977" s="31" t="str">
        <x:v>U</x:v>
      </x:c>
      <x:c r="D977" s="22" t="str">
        <x:v>Unassessed</x:v>
      </x:c>
      <x:c r="E977" s="22" t="str">
        <x:v>GEO</x:v>
      </x:c>
      <x:c r="F977" s="22" t="str">
        <x:v>Geospatial data / analysis</x:v>
      </x:c>
      <x:c r="G977" s="22" t="str">
        <x:v>Check geospatial source, resolution, collection date and inference method before drawing a location conclusion.</x:v>
      </x:c>
      <x:c r="H977" s="22" t="str">
        <x:v>Verify publisher, source and current function before reliance</x:v>
      </x:c>
      <x:c r="I977" s="22" t="str">
        <x:v>Not checked</x:v>
      </x:c>
      <x:c r="J977" s="22" t="str">
        <x:v>Saved bookmark metadata only</x:v>
      </x:c>
      <x:c r="K977" s="22" t="str"/>
      <x:c r="L977" s="24" t="str"/>
      <x:c r="M977" s="24" t="str">
        <x:v>https://www.geoseer.net/</x:v>
      </x:c>
      <x:c r="N977" s="22" t="str">
        <x:v>268511457</x:v>
      </x:c>
      <x:c r="O977" s="22" t="n">
        <x:v>1042</x:v>
      </x:c>
      <x:c r="P977" s="22" t="n">
        <x:v>3</x:v>
      </x:c>
      <x:c r="Q977" s="22" t="str"/>
      <x:c r="R977" s="22" t="n">
        <x:f>COUNTIF($M$6:$M$1177,M977)</x:f>
        <x:v>1</x:v>
      </x:c>
      <x:c r="S977" s="22" t="str">
        <x:v>Other / utility</x:v>
      </x:c>
      <x:c r="T977" s="22" t="str">
        <x:v>Not established</x:v>
      </x:c>
    </x:row>
    <x:row r="978" ht="48" customHeight="1">
      <x:c r="A978" s="22" t="n">
        <x:v>973</x:v>
      </x:c>
      <x:c r="B978" s="22" t="str">
        <x:v>GeoINT Search</x:v>
      </x:c>
      <x:c r="C978" s="43" t="str">
        <x:v>C-P</x:v>
      </x:c>
      <x:c r="D978" s="22" t="str">
        <x:v>Provisional</x:v>
      </x:c>
      <x:c r="E978" s="22" t="str">
        <x:v>GEO</x:v>
      </x:c>
      <x:c r="F978" s="22" t="str">
        <x:v>Custom-search discovery only</x:v>
      </x:c>
      <x:c r="G978" s="22" t="str">
        <x:v>The saved URL identifies a custom search. This engine's configuration, coverage and query results were not tested.</x:v>
      </x:c>
      <x:c r="H978" s="22" t="str">
        <x:v>Open and verify the original result; do not count the search as corroboration</x:v>
      </x:c>
      <x:c r="I978" s="22" t="str">
        <x:v>Not checked</x:v>
      </x:c>
      <x:c r="J978" s="22" t="str">
        <x:v>Saved bookmark metadata only</x:v>
      </x:c>
      <x:c r="K978" s="22" t="str"/>
      <x:c r="L978" s="24" t="str"/>
      <x:c r="M978" s="24" t="str">
        <x:v>https://cse.google.com/cse?cx=015328649639895072395:sbv3zyxzmji#gsc.tab=0</x:v>
      </x:c>
      <x:c r="N978" s="22" t="str">
        <x:v>286995728</x:v>
      </x:c>
      <x:c r="O978" s="22" t="n">
        <x:v>1042</x:v>
      </x:c>
      <x:c r="P978" s="22" t="n">
        <x:v>4</x:v>
      </x:c>
      <x:c r="Q978" s="22" t="str"/>
      <x:c r="R978" s="22" t="n">
        <x:f>COUNTIF($M$6:$M$1177,M978)</x:f>
        <x:v>1</x:v>
      </x:c>
      <x:c r="S978" s="22" t="str">
        <x:v>Other / utility</x:v>
      </x:c>
      <x:c r="T978" s="22" t="str">
        <x:v>Low</x:v>
      </x:c>
    </x:row>
    <x:row r="979" ht="48" customHeight="1">
      <x:c r="A979" s="22" t="n">
        <x:v>974</x:v>
      </x:c>
      <x:c r="B979" s="22" t="str">
        <x:v>GeoIP Tracker tool</x:v>
      </x:c>
      <x:c r="C979" s="31" t="str">
        <x:v>U</x:v>
      </x:c>
      <x:c r="D979" s="22" t="str">
        <x:v>Unassessed</x:v>
      </x:c>
      <x:c r="E979" s="22" t="str">
        <x:v>GEO</x:v>
      </x:c>
      <x:c r="F979" s="22" t="str">
        <x:v>Geospatial data / analysis</x:v>
      </x:c>
      <x:c r="G979" s="22" t="str">
        <x:v>Check geospatial source, resolution, collection date and inference method before drawing a location conclusion.</x:v>
      </x:c>
      <x:c r="H979" s="22" t="str">
        <x:v>Verify publisher, source and current function before reliance</x:v>
      </x:c>
      <x:c r="I979" s="22" t="str">
        <x:v>Not checked</x:v>
      </x:c>
      <x:c r="J979" s="22" t="str">
        <x:v>Saved bookmark metadata only</x:v>
      </x:c>
      <x:c r="K979" s="22" t="str"/>
      <x:c r="L979" s="24" t="str"/>
      <x:c r="M979" s="24" t="str">
        <x:v>https://shadowcrypt.net/tools/geoip</x:v>
      </x:c>
      <x:c r="N979" s="22" t="str">
        <x:v>286750375</x:v>
      </x:c>
      <x:c r="O979" s="22" t="n">
        <x:v>1042</x:v>
      </x:c>
      <x:c r="P979" s="22" t="n">
        <x:v>5</x:v>
      </x:c>
      <x:c r="Q979" s="22" t="str"/>
      <x:c r="R979" s="22" t="n">
        <x:f>COUNTIF($M$6:$M$1177,M979)</x:f>
        <x:v>1</x:v>
      </x:c>
      <x:c r="S979" s="22" t="str">
        <x:v>Other / utility</x:v>
      </x:c>
      <x:c r="T979" s="22" t="str">
        <x:v>Not established</x:v>
      </x:c>
    </x:row>
    <x:row r="980" ht="48" customHeight="1">
      <x:c r="A980" s="22" t="n">
        <x:v>975</x:v>
      </x:c>
      <x:c r="B980" s="22" t="str">
        <x:v>Earth Engine Dataset</x:v>
      </x:c>
      <x:c r="C980" s="31" t="str">
        <x:v>U</x:v>
      </x:c>
      <x:c r="D980" s="22" t="str">
        <x:v>Unassessed</x:v>
      </x:c>
      <x:c r="E980" s="22" t="str">
        <x:v>GEO</x:v>
      </x:c>
      <x:c r="F980" s="22" t="str">
        <x:v>Geospatial data / analysis</x:v>
      </x:c>
      <x:c r="G980" s="22" t="str">
        <x:v>Check geospatial source, resolution, collection date and inference method before drawing a location conclusion.</x:v>
      </x:c>
      <x:c r="H980" s="22" t="str">
        <x:v>Verify publisher, source and current function before reliance</x:v>
      </x:c>
      <x:c r="I980" s="22" t="str">
        <x:v>Not checked</x:v>
      </x:c>
      <x:c r="J980" s="22" t="str">
        <x:v>Saved bookmark metadata only</x:v>
      </x:c>
      <x:c r="K980" s="22" t="str"/>
      <x:c r="L980" s="24" t="str"/>
      <x:c r="M980" s="24" t="str">
        <x:v>https://developers.google.com/earth-engine/datasets/</x:v>
      </x:c>
      <x:c r="N980" s="22" t="str">
        <x:v>286750486</x:v>
      </x:c>
      <x:c r="O980" s="22" t="n">
        <x:v>1042</x:v>
      </x:c>
      <x:c r="P980" s="22" t="n">
        <x:v>6</x:v>
      </x:c>
      <x:c r="Q980" s="22" t="str"/>
      <x:c r="R980" s="22" t="n">
        <x:f>COUNTIF($M$6:$M$1177,M980)</x:f>
        <x:v>1</x:v>
      </x:c>
      <x:c r="S980" s="22" t="str">
        <x:v>Other / utility</x:v>
      </x:c>
      <x:c r="T980" s="22" t="str">
        <x:v>Not established</x:v>
      </x:c>
    </x:row>
    <x:row r="981" ht="48" customHeight="1">
      <x:c r="A981" s="22" t="n">
        <x:v>976</x:v>
      </x:c>
      <x:c r="B981" s="22" t="str">
        <x:v>GeoPlatform Portal</x:v>
      </x:c>
      <x:c r="C981" s="31" t="str">
        <x:v>U</x:v>
      </x:c>
      <x:c r="D981" s="22" t="str">
        <x:v>Unassessed</x:v>
      </x:c>
      <x:c r="E981" s="22" t="str">
        <x:v>GEO</x:v>
      </x:c>
      <x:c r="F981" s="22" t="str">
        <x:v>Geospatial data / analysis</x:v>
      </x:c>
      <x:c r="G981" s="22" t="str">
        <x:v>Check geospatial source, resolution, collection date and inference method before drawing a location conclusion.</x:v>
      </x:c>
      <x:c r="H981" s="22" t="str">
        <x:v>Verify publisher, source and current function before reliance</x:v>
      </x:c>
      <x:c r="I981" s="22" t="str">
        <x:v>Not checked</x:v>
      </x:c>
      <x:c r="J981" s="22" t="str">
        <x:v>Saved bookmark metadata only</x:v>
      </x:c>
      <x:c r="K981" s="22" t="str"/>
      <x:c r="L981" s="24" t="str"/>
      <x:c r="M981" s="24" t="str">
        <x:v>https://www.geoplatform.gov/</x:v>
      </x:c>
      <x:c r="N981" s="22" t="str">
        <x:v>286750632</x:v>
      </x:c>
      <x:c r="O981" s="22" t="n">
        <x:v>1042</x:v>
      </x:c>
      <x:c r="P981" s="22" t="n">
        <x:v>7</x:v>
      </x:c>
      <x:c r="Q981" s="22" t="str"/>
      <x:c r="R981" s="22" t="n">
        <x:f>COUNTIF($M$6:$M$1177,M981)</x:f>
        <x:v>1</x:v>
      </x:c>
      <x:c r="S981" s="22" t="str">
        <x:v>Other / utility</x:v>
      </x:c>
      <x:c r="T981" s="22" t="str">
        <x:v>Not established</x:v>
      </x:c>
    </x:row>
    <x:row r="982" ht="48" customHeight="1">
      <x:c r="A982" s="22" t="n">
        <x:v>977</x:v>
      </x:c>
      <x:c r="B982" s="22" t="str">
        <x:v>Inspire-geoportal.eu</x:v>
      </x:c>
      <x:c r="C982" s="31" t="str">
        <x:v>U</x:v>
      </x:c>
      <x:c r="D982" s="22" t="str">
        <x:v>Unassessed</x:v>
      </x:c>
      <x:c r="E982" s="22" t="str">
        <x:v>GEO</x:v>
      </x:c>
      <x:c r="F982" s="22" t="str">
        <x:v>Geospatial data / analysis</x:v>
      </x:c>
      <x:c r="G982" s="22" t="str">
        <x:v>Check geospatial source, resolution, collection date and inference method before drawing a location conclusion.</x:v>
      </x:c>
      <x:c r="H982" s="22" t="str">
        <x:v>Verify publisher, source and current function before reliance</x:v>
      </x:c>
      <x:c r="I982" s="22" t="str">
        <x:v>Not checked</x:v>
      </x:c>
      <x:c r="J982" s="22" t="str">
        <x:v>Saved bookmark metadata only</x:v>
      </x:c>
      <x:c r="K982" s="22" t="str"/>
      <x:c r="L982" s="24" t="str"/>
      <x:c r="M982" s="24" t="str">
        <x:v>http://www.inspire-geoportal.eu/</x:v>
      </x:c>
      <x:c r="N982" s="22" t="str">
        <x:v>286750633</x:v>
      </x:c>
      <x:c r="O982" s="22" t="n">
        <x:v>1042</x:v>
      </x:c>
      <x:c r="P982" s="22" t="n">
        <x:v>8</x:v>
      </x:c>
      <x:c r="Q982" s="22" t="str"/>
      <x:c r="R982" s="22" t="n">
        <x:f>COUNTIF($M$6:$M$1177,M982)</x:f>
        <x:v>1</x:v>
      </x:c>
      <x:c r="S982" s="22" t="str">
        <x:v>Other / utility</x:v>
      </x:c>
      <x:c r="T982" s="22" t="str">
        <x:v>Not established</x:v>
      </x:c>
    </x:row>
    <x:row r="983" ht="48" customHeight="1">
      <x:c r="A983" s="22" t="n">
        <x:v>978</x:v>
      </x:c>
      <x:c r="B983" s="22" t="str">
        <x:v>FAO Map Catalog</x:v>
      </x:c>
      <x:c r="C983" s="31" t="str">
        <x:v>U</x:v>
      </x:c>
      <x:c r="D983" s="22" t="str">
        <x:v>Unassessed</x:v>
      </x:c>
      <x:c r="E983" s="22" t="str">
        <x:v>GEO</x:v>
      </x:c>
      <x:c r="F983" s="22" t="str">
        <x:v>Geospatial data / analysis</x:v>
      </x:c>
      <x:c r="G983" s="22" t="str">
        <x:v>Check geospatial source, resolution, collection date and inference method before drawing a location conclusion.</x:v>
      </x:c>
      <x:c r="H983" s="22" t="str">
        <x:v>Verify publisher, source and current function before reliance</x:v>
      </x:c>
      <x:c r="I983" s="22" t="str">
        <x:v>Not checked</x:v>
      </x:c>
      <x:c r="J983" s="22" t="str">
        <x:v>Saved bookmark metadata only</x:v>
      </x:c>
      <x:c r="K983" s="22" t="str"/>
      <x:c r="L983" s="24" t="str"/>
      <x:c r="M983" s="24" t="str">
        <x:v>https://data.apps.fao.org/map/catalog/srv/eng/catalog.search#/home</x:v>
      </x:c>
      <x:c r="N983" s="22" t="str">
        <x:v>286750646</x:v>
      </x:c>
      <x:c r="O983" s="22" t="n">
        <x:v>1042</x:v>
      </x:c>
      <x:c r="P983" s="22" t="n">
        <x:v>9</x:v>
      </x:c>
      <x:c r="Q983" s="22" t="str"/>
      <x:c r="R983" s="22" t="n">
        <x:f>COUNTIF($M$6:$M$1177,M983)</x:f>
        <x:v>1</x:v>
      </x:c>
      <x:c r="S983" s="22" t="str">
        <x:v>Other / utility</x:v>
      </x:c>
      <x:c r="T983" s="22" t="str">
        <x:v>Not established</x:v>
      </x:c>
    </x:row>
    <x:row r="984" ht="48" customHeight="1">
      <x:c r="A984" s="22" t="n">
        <x:v>979</x:v>
      </x:c>
      <x:c r="B984" s="22" t="str">
        <x:v>Datacore-gn.unepgrid.ch</x:v>
      </x:c>
      <x:c r="C984" s="31" t="str">
        <x:v>U</x:v>
      </x:c>
      <x:c r="D984" s="22" t="str">
        <x:v>Unassessed</x:v>
      </x:c>
      <x:c r="E984" s="22" t="str">
        <x:v>GEO</x:v>
      </x:c>
      <x:c r="F984" s="22" t="str">
        <x:v>Geospatial data / analysis</x:v>
      </x:c>
      <x:c r="G984" s="22" t="str">
        <x:v>Check geospatial source, resolution, collection date and inference method before drawing a location conclusion.</x:v>
      </x:c>
      <x:c r="H984" s="22" t="str">
        <x:v>Verify publisher, source and current function before reliance</x:v>
      </x:c>
      <x:c r="I984" s="22" t="str">
        <x:v>Not checked</x:v>
      </x:c>
      <x:c r="J984" s="22" t="str">
        <x:v>Saved bookmark metadata only</x:v>
      </x:c>
      <x:c r="K984" s="22" t="str"/>
      <x:c r="L984" s="24" t="str"/>
      <x:c r="M984" s="24" t="str">
        <x:v>https://datacore-gn.unepgrid.ch/</x:v>
      </x:c>
      <x:c r="N984" s="22" t="str">
        <x:v>286750683</x:v>
      </x:c>
      <x:c r="O984" s="22" t="n">
        <x:v>1042</x:v>
      </x:c>
      <x:c r="P984" s="22" t="n">
        <x:v>10</x:v>
      </x:c>
      <x:c r="Q984" s="22" t="str"/>
      <x:c r="R984" s="22" t="n">
        <x:f>COUNTIF($M$6:$M$1177,M984)</x:f>
        <x:v>1</x:v>
      </x:c>
      <x:c r="S984" s="22" t="str">
        <x:v>Other / utility</x:v>
      </x:c>
      <x:c r="T984" s="22" t="str">
        <x:v>Not established</x:v>
      </x:c>
    </x:row>
    <x:row r="985" ht="48" customHeight="1">
      <x:c r="A985" s="22" t="n">
        <x:v>980</x:v>
      </x:c>
      <x:c r="B985" s="22" t="str">
        <x:v>ISRIC Data Hub</x:v>
      </x:c>
      <x:c r="C985" s="31" t="str">
        <x:v>U</x:v>
      </x:c>
      <x:c r="D985" s="22" t="str">
        <x:v>Unassessed</x:v>
      </x:c>
      <x:c r="E985" s="22" t="str">
        <x:v>GEO</x:v>
      </x:c>
      <x:c r="F985" s="22" t="str">
        <x:v>Geospatial data / analysis</x:v>
      </x:c>
      <x:c r="G985" s="22" t="str">
        <x:v>Check geospatial source, resolution, collection date and inference method before drawing a location conclusion.</x:v>
      </x:c>
      <x:c r="H985" s="22" t="str">
        <x:v>Verify publisher, source and current function before reliance</x:v>
      </x:c>
      <x:c r="I985" s="22" t="str">
        <x:v>Not checked</x:v>
      </x:c>
      <x:c r="J985" s="22" t="str">
        <x:v>Saved bookmark metadata only</x:v>
      </x:c>
      <x:c r="K985" s="22" t="str"/>
      <x:c r="L985" s="24" t="str"/>
      <x:c r="M985" s="24" t="str">
        <x:v>https://data.isric.org/geonetwork/srv/eng/catalog.search#/home</x:v>
      </x:c>
      <x:c r="N985" s="22" t="str">
        <x:v>286750685</x:v>
      </x:c>
      <x:c r="O985" s="22" t="n">
        <x:v>1042</x:v>
      </x:c>
      <x:c r="P985" s="22" t="n">
        <x:v>11</x:v>
      </x:c>
      <x:c r="Q985" s="22" t="str"/>
      <x:c r="R985" s="22" t="n">
        <x:f>COUNTIF($M$6:$M$1177,M985)</x:f>
        <x:v>1</x:v>
      </x:c>
      <x:c r="S985" s="22" t="str">
        <x:v>Other / utility</x:v>
      </x:c>
      <x:c r="T985" s="22" t="str">
        <x:v>Not established</x:v>
      </x:c>
    </x:row>
    <x:row r="986" ht="48" customHeight="1">
      <x:c r="A986" s="22" t="n">
        <x:v>981</x:v>
      </x:c>
      <x:c r="B986" s="22" t="str">
        <x:v>geocreepy</x:v>
      </x:c>
      <x:c r="C986" s="31" t="str">
        <x:v>U</x:v>
      </x:c>
      <x:c r="D986" s="22" t="str">
        <x:v>Unassessed</x:v>
      </x:c>
      <x:c r="E986" s="22" t="str">
        <x:v>GEO</x:v>
      </x:c>
      <x:c r="F986" s="22" t="str">
        <x:v>Geospatial data / analysis</x:v>
      </x:c>
      <x:c r="G986" s="22" t="str">
        <x:v>Check geospatial source, resolution, collection date and inference method before drawing a location conclusion.</x:v>
      </x:c>
      <x:c r="H986" s="22" t="str">
        <x:v>Verify publisher, source and current function before reliance</x:v>
      </x:c>
      <x:c r="I986" s="22" t="str">
        <x:v>Not checked</x:v>
      </x:c>
      <x:c r="J986" s="22" t="str">
        <x:v>Saved bookmark metadata only</x:v>
      </x:c>
      <x:c r="K986" s="22" t="str"/>
      <x:c r="L986" s="24" t="str"/>
      <x:c r="M986" s="24" t="str">
        <x:v>http://www.geocreepy.com/</x:v>
      </x:c>
      <x:c r="N986" s="22" t="str">
        <x:v>286809421</x:v>
      </x:c>
      <x:c r="O986" s="22" t="n">
        <x:v>1042</x:v>
      </x:c>
      <x:c r="P986" s="22" t="n">
        <x:v>12</x:v>
      </x:c>
      <x:c r="Q986" s="22" t="str"/>
      <x:c r="R986" s="22" t="n">
        <x:f>COUNTIF($M$6:$M$1177,M986)</x:f>
        <x:v>1</x:v>
      </x:c>
      <x:c r="S986" s="22" t="str">
        <x:v>Other / utility</x:v>
      </x:c>
      <x:c r="T986" s="22" t="str">
        <x:v>Not established</x:v>
      </x:c>
    </x:row>
    <x:row r="987" ht="48" customHeight="1">
      <x:c r="A987" s="22" t="n">
        <x:v>982</x:v>
      </x:c>
      <x:c r="B987" s="22" t="str">
        <x:v>US Crisis Monitor</x:v>
      </x:c>
      <x:c r="C987" s="31" t="str">
        <x:v>U</x:v>
      </x:c>
      <x:c r="D987" s="22" t="str">
        <x:v>Unassessed</x:v>
      </x:c>
      <x:c r="E987" s="22" t="str">
        <x:v>GEO</x:v>
      </x:c>
      <x:c r="F987" s="22" t="str">
        <x:v>Geospatial data / analysis</x:v>
      </x:c>
      <x:c r="G987" s="22" t="str">
        <x:v>Check geospatial source, resolution, collection date and inference method before drawing a location conclusion.</x:v>
      </x:c>
      <x:c r="H987" s="22" t="str">
        <x:v>Verify publisher, source and current function before reliance</x:v>
      </x:c>
      <x:c r="I987" s="22" t="str">
        <x:v>Not checked</x:v>
      </x:c>
      <x:c r="J987" s="22" t="str">
        <x:v>Saved bookmark metadata only</x:v>
      </x:c>
      <x:c r="K987" s="22" t="str"/>
      <x:c r="L987" s="24" t="str"/>
      <x:c r="M987" s="24" t="str">
        <x:v>https://acleddata.com/special-projects/us-crisis-monitor/</x:v>
      </x:c>
      <x:c r="N987" s="22" t="str">
        <x:v>291333125</x:v>
      </x:c>
      <x:c r="O987" s="22" t="n">
        <x:v>1042</x:v>
      </x:c>
      <x:c r="P987" s="22" t="n">
        <x:v>13</x:v>
      </x:c>
      <x:c r="Q987" s="22" t="str"/>
      <x:c r="R987" s="22" t="n">
        <x:f>COUNTIF($M$6:$M$1177,M987)</x:f>
        <x:v>1</x:v>
      </x:c>
      <x:c r="S987" s="22" t="str">
        <x:v>Other / utility</x:v>
      </x:c>
      <x:c r="T987" s="22" t="str">
        <x:v>Not established</x:v>
      </x:c>
    </x:row>
    <x:row r="988" ht="48" customHeight="1">
      <x:c r="A988" s="22" t="n">
        <x:v>983</x:v>
      </x:c>
      <x:c r="B988" s="22" t="str">
        <x:v>Toronto Live</x:v>
      </x:c>
      <x:c r="C988" s="31" t="str">
        <x:v>U</x:v>
      </x:c>
      <x:c r="D988" s="22" t="str">
        <x:v>Unassessed</x:v>
      </x:c>
      <x:c r="E988" s="22" t="str">
        <x:v>GEO</x:v>
      </x:c>
      <x:c r="F988" s="22" t="str">
        <x:v>Geospatial data / analysis</x:v>
      </x:c>
      <x:c r="G988" s="22" t="str">
        <x:v>Check geospatial source, resolution, collection date and inference method before drawing a location conclusion.</x:v>
      </x:c>
      <x:c r="H988" s="22" t="str">
        <x:v>Verify publisher, source and current function before reliance</x:v>
      </x:c>
      <x:c r="I988" s="22" t="str">
        <x:v>Not checked</x:v>
      </x:c>
      <x:c r="J988" s="22" t="str">
        <x:v>Saved bookmark metadata only</x:v>
      </x:c>
      <x:c r="K988" s="22" t="str"/>
      <x:c r="L988" s="24" t="str"/>
      <x:c r="M988" s="24" t="str">
        <x:v>https://apps.esri.ca/torontolive/</x:v>
      </x:c>
      <x:c r="N988" s="22" t="str">
        <x:v>294298060</x:v>
      </x:c>
      <x:c r="O988" s="22" t="n">
        <x:v>1042</x:v>
      </x:c>
      <x:c r="P988" s="22" t="n">
        <x:v>14</x:v>
      </x:c>
      <x:c r="Q988" s="22" t="str"/>
      <x:c r="R988" s="22" t="n">
        <x:f>COUNTIF($M$6:$M$1177,M988)</x:f>
        <x:v>1</x:v>
      </x:c>
      <x:c r="S988" s="22" t="str">
        <x:v>Other / utility</x:v>
      </x:c>
      <x:c r="T988" s="22" t="str">
        <x:v>Not established</x:v>
      </x:c>
    </x:row>
    <x:row r="989" ht="48" customHeight="1">
      <x:c r="A989" s="22" t="n">
        <x:v>984</x:v>
      </x:c>
      <x:c r="B989" s="22" t="str">
        <x:v>Residential Fire Fatalities in Indiana</x:v>
      </x:c>
      <x:c r="C989" s="31" t="str">
        <x:v>U</x:v>
      </x:c>
      <x:c r="D989" s="22" t="str">
        <x:v>Unassessed</x:v>
      </x:c>
      <x:c r="E989" s="22" t="str">
        <x:v>GEO</x:v>
      </x:c>
      <x:c r="F989" s="22" t="str">
        <x:v>Geospatial data / analysis</x:v>
      </x:c>
      <x:c r="G989" s="22" t="str">
        <x:v>Check geospatial source, resolution, collection date and inference method before drawing a location conclusion.</x:v>
      </x:c>
      <x:c r="H989" s="22" t="str">
        <x:v>Verify publisher, source and current function before reliance</x:v>
      </x:c>
      <x:c r="I989" s="22" t="str">
        <x:v>Not checked</x:v>
      </x:c>
      <x:c r="J989" s="22" t="str">
        <x:v>Saved bookmark metadata only</x:v>
      </x:c>
      <x:c r="K989" s="22" t="str"/>
      <x:c r="L989" s="24" t="str"/>
      <x:c r="M989" s="24" t="str">
        <x:v>https://www.arcgis.com/apps/dashboards/4d1289ab105145a1b1f80c1ad3cf19fb</x:v>
      </x:c>
      <x:c r="N989" s="22" t="str">
        <x:v>294298388</x:v>
      </x:c>
      <x:c r="O989" s="22" t="n">
        <x:v>1042</x:v>
      </x:c>
      <x:c r="P989" s="22" t="n">
        <x:v>15</x:v>
      </x:c>
      <x:c r="Q989" s="22" t="str"/>
      <x:c r="R989" s="22" t="n">
        <x:f>COUNTIF($M$6:$M$1177,M989)</x:f>
        <x:v>1</x:v>
      </x:c>
      <x:c r="S989" s="22" t="str">
        <x:v>Other / utility</x:v>
      </x:c>
      <x:c r="T989" s="22" t="str">
        <x:v>Not established</x:v>
      </x:c>
    </x:row>
    <x:row r="990" ht="48" customHeight="1">
      <x:c r="A990" s="22" t="n">
        <x:v>985</x:v>
      </x:c>
      <x:c r="B990" s="22" t="str">
        <x:v>geoprotests API</x:v>
      </x:c>
      <x:c r="C990" s="31" t="str">
        <x:v>U</x:v>
      </x:c>
      <x:c r="D990" s="22" t="str">
        <x:v>Unassessed</x:v>
      </x:c>
      <x:c r="E990" s="22" t="str">
        <x:v>GEO</x:v>
      </x:c>
      <x:c r="F990" s="22" t="str">
        <x:v>Geospatial data / analysis</x:v>
      </x:c>
      <x:c r="G990" s="22" t="str">
        <x:v>Check geospatial source, resolution, collection date and inference method before drawing a location conclusion.</x:v>
      </x:c>
      <x:c r="H990" s="22" t="str">
        <x:v>Verify publisher, source and current function before reliance</x:v>
      </x:c>
      <x:c r="I990" s="22" t="str">
        <x:v>Not checked</x:v>
      </x:c>
      <x:c r="J990" s="22" t="str">
        <x:v>Saved bookmark metadata only</x:v>
      </x:c>
      <x:c r="K990" s="22" t="str"/>
      <x:c r="L990" s="24" t="str"/>
      <x:c r="M990" s="24" t="str">
        <x:v>https://rapidapi.com/gisfromscratch/api/geoprotests/</x:v>
      </x:c>
      <x:c r="N990" s="22" t="str">
        <x:v>303525916</x:v>
      </x:c>
      <x:c r="O990" s="22" t="n">
        <x:v>1042</x:v>
      </x:c>
      <x:c r="P990" s="22" t="n">
        <x:v>16</x:v>
      </x:c>
      <x:c r="Q990" s="22" t="str"/>
      <x:c r="R990" s="22" t="n">
        <x:f>COUNTIF($M$6:$M$1177,M990)</x:f>
        <x:v>1</x:v>
      </x:c>
      <x:c r="S990" s="22" t="str">
        <x:v>Other / utility</x:v>
      </x:c>
      <x:c r="T990" s="22" t="str">
        <x:v>Not established</x:v>
      </x:c>
    </x:row>
    <x:row r="991" ht="48" customHeight="1">
      <x:c r="A991" s="22" t="n">
        <x:v>986</x:v>
      </x:c>
      <x:c r="B991" s="22" t="str">
        <x:v>geoint-py</x:v>
      </x:c>
      <x:c r="C991" s="31" t="str">
        <x:v>U</x:v>
      </x:c>
      <x:c r="D991" s="22" t="str">
        <x:v>Unassessed</x:v>
      </x:c>
      <x:c r="E991" s="22" t="str">
        <x:v>GEO</x:v>
      </x:c>
      <x:c r="F991" s="22" t="str">
        <x:v>Geospatial data / analysis</x:v>
      </x:c>
      <x:c r="G991" s="22" t="str">
        <x:v>Check geospatial source, resolution, collection date and inference method before drawing a location conclusion.</x:v>
      </x:c>
      <x:c r="H991" s="22" t="str">
        <x:v>Verify publisher, source and current function before reliance</x:v>
      </x:c>
      <x:c r="I991" s="22" t="str">
        <x:v>Not checked</x:v>
      </x:c>
      <x:c r="J991" s="22" t="str">
        <x:v>Saved bookmark metadata only</x:v>
      </x:c>
      <x:c r="K991" s="22" t="str"/>
      <x:c r="L991" s="24" t="str"/>
      <x:c r="M991" s="24" t="str">
        <x:v>https://github.com/gisfromscratch/geoint-py</x:v>
      </x:c>
      <x:c r="N991" s="22" t="str">
        <x:v>303526397</x:v>
      </x:c>
      <x:c r="O991" s="22" t="n">
        <x:v>1042</x:v>
      </x:c>
      <x:c r="P991" s="22" t="n">
        <x:v>17</x:v>
      </x:c>
      <x:c r="Q991" s="22" t="str"/>
      <x:c r="R991" s="22" t="n">
        <x:f>COUNTIF($M$6:$M$1177,M991)</x:f>
        <x:v>1</x:v>
      </x:c>
      <x:c r="S991" s="22" t="str">
        <x:v>Other / utility</x:v>
      </x:c>
      <x:c r="T991" s="22" t="str">
        <x:v>Not established</x:v>
      </x:c>
    </x:row>
    <x:row r="992" ht="48" customHeight="1">
      <x:c r="A992" s="22" t="n">
        <x:v>987</x:v>
      </x:c>
      <x:c r="B992" s="22" t="str">
        <x:v>geoclustering</x:v>
      </x:c>
      <x:c r="C992" s="31" t="str">
        <x:v>U</x:v>
      </x:c>
      <x:c r="D992" s="22" t="str">
        <x:v>Unassessed</x:v>
      </x:c>
      <x:c r="E992" s="22" t="str">
        <x:v>GEO</x:v>
      </x:c>
      <x:c r="F992" s="22" t="str">
        <x:v>Geospatial data / analysis</x:v>
      </x:c>
      <x:c r="G992" s="22" t="str">
        <x:v>Check geospatial source, resolution, collection date and inference method before drawing a location conclusion.</x:v>
      </x:c>
      <x:c r="H992" s="22" t="str">
        <x:v>Verify publisher, source and current function before reliance</x:v>
      </x:c>
      <x:c r="I992" s="22" t="str">
        <x:v>Not checked</x:v>
      </x:c>
      <x:c r="J992" s="22" t="str">
        <x:v>Saved bookmark metadata only</x:v>
      </x:c>
      <x:c r="K992" s="22" t="str"/>
      <x:c r="L992" s="24" t="str"/>
      <x:c r="M992" s="24" t="str">
        <x:v>https://pypi.org/project/geoclustering/</x:v>
      </x:c>
      <x:c r="N992" s="22" t="str">
        <x:v>318588003</x:v>
      </x:c>
      <x:c r="O992" s="22" t="n">
        <x:v>1043</x:v>
      </x:c>
      <x:c r="P992" s="22" t="n">
        <x:v>18</x:v>
      </x:c>
      <x:c r="Q992" s="22" t="str"/>
      <x:c r="R992" s="22" t="n">
        <x:f>COUNTIF($M$6:$M$1177,M992)</x:f>
        <x:v>1</x:v>
      </x:c>
      <x:c r="S992" s="22" t="str">
        <x:v>Other / utility</x:v>
      </x:c>
      <x:c r="T992" s="22" t="str">
        <x:v>Not established</x:v>
      </x:c>
    </x:row>
    <x:row r="993" ht="48" customHeight="1">
      <x:c r="A993" s="22" t="n">
        <x:v>988</x:v>
      </x:c>
      <x:c r="B993" s="22" t="str">
        <x:v>Cryptocurrency Alerting</x:v>
      </x:c>
      <x:c r="C993" s="31" t="str">
        <x:v>U</x:v>
      </x:c>
      <x:c r="D993" s="22" t="str">
        <x:v>Unassessed</x:v>
      </x:c>
      <x:c r="E993" s="22" t="str">
        <x:v>CRYPTOCURRENCY</x:v>
      </x:c>
      <x:c r="F993" s="22" t="str">
        <x:v>Blockchain observations</x:v>
      </x:c>
      <x:c r="G993" s="22" t="str">
        <x:v>A recorded transfer connects blockchain addresses, not automatically the people controlling them.</x:v>
      </x:c>
      <x:c r="H993" s="22" t="str">
        <x:v>Verify publisher, source and current function before reliance</x:v>
      </x:c>
      <x:c r="I993" s="22" t="str">
        <x:v>Not checked</x:v>
      </x:c>
      <x:c r="J993" s="22" t="str">
        <x:v>Saved bookmark metadata only</x:v>
      </x:c>
      <x:c r="K993" s="22" t="str"/>
      <x:c r="L993" s="24" t="str"/>
      <x:c r="M993" s="24" t="str">
        <x:v>https://cryptocurrencyalerting.com/</x:v>
      </x:c>
      <x:c r="N993" s="22" t="str">
        <x:v>286644970</x:v>
      </x:c>
      <x:c r="O993" s="22" t="n">
        <x:v>1043</x:v>
      </x:c>
      <x:c r="P993" s="22" t="n">
        <x:v>1</x:v>
      </x:c>
      <x:c r="Q993" s="22" t="str"/>
      <x:c r="R993" s="22" t="n">
        <x:f>COUNTIF($M$6:$M$1177,M993)</x:f>
        <x:v>1</x:v>
      </x:c>
      <x:c r="S993" s="22" t="str">
        <x:v>Other / utility</x:v>
      </x:c>
      <x:c r="T993" s="22" t="str">
        <x:v>Not established</x:v>
      </x:c>
    </x:row>
    <x:row r="994" ht="48" customHeight="1">
      <x:c r="A994" s="22" t="n">
        <x:v>989</x:v>
      </x:c>
      <x:c r="B994" s="22" t="str">
        <x:v>Bitcoin Explorer</x:v>
      </x:c>
      <x:c r="C994" s="31" t="str">
        <x:v>U</x:v>
      </x:c>
      <x:c r="D994" s="22" t="str">
        <x:v>Unassessed</x:v>
      </x:c>
      <x:c r="E994" s="22" t="str">
        <x:v>CRYPTOCURRENCY</x:v>
      </x:c>
      <x:c r="F994" s="22" t="str">
        <x:v>Blockchain observations</x:v>
      </x:c>
      <x:c r="G994" s="22" t="str">
        <x:v>A recorded transfer connects blockchain addresses, not automatically the people controlling them.</x:v>
      </x:c>
      <x:c r="H994" s="22" t="str">
        <x:v>Verify publisher, source and current function before reliance</x:v>
      </x:c>
      <x:c r="I994" s="22" t="str">
        <x:v>Not checked</x:v>
      </x:c>
      <x:c r="J994" s="22" t="str">
        <x:v>Saved bookmark metadata only</x:v>
      </x:c>
      <x:c r="K994" s="22" t="str"/>
      <x:c r="L994" s="24" t="str"/>
      <x:c r="M994" s="24" t="str">
        <x:v>https://blockchair.com/bitcoin</x:v>
      </x:c>
      <x:c r="N994" s="22" t="str">
        <x:v>305289323</x:v>
      </x:c>
      <x:c r="O994" s="22" t="n">
        <x:v>1043</x:v>
      </x:c>
      <x:c r="P994" s="22" t="n">
        <x:v>2</x:v>
      </x:c>
      <x:c r="Q994" s="22" t="str"/>
      <x:c r="R994" s="22" t="n">
        <x:f>COUNTIF($M$6:$M$1177,M994)</x:f>
        <x:v>1</x:v>
      </x:c>
      <x:c r="S994" s="22" t="str">
        <x:v>Other / utility</x:v>
      </x:c>
      <x:c r="T994" s="22" t="str">
        <x:v>Not established</x:v>
      </x:c>
    </x:row>
    <x:row r="995" ht="48" customHeight="1">
      <x:c r="A995" s="22" t="n">
        <x:v>990</x:v>
      </x:c>
      <x:c r="B995" s="22" t="str">
        <x:v>Ethereum Block Explorer</x:v>
      </x:c>
      <x:c r="C995" s="31" t="str">
        <x:v>U</x:v>
      </x:c>
      <x:c r="D995" s="22" t="str">
        <x:v>Unassessed</x:v>
      </x:c>
      <x:c r="E995" s="22" t="str">
        <x:v>CRYPTOCURRENCY</x:v>
      </x:c>
      <x:c r="F995" s="22" t="str">
        <x:v>Blockchain observations</x:v>
      </x:c>
      <x:c r="G995" s="22" t="str">
        <x:v>A recorded transfer connects blockchain addresses, not automatically the people controlling them.</x:v>
      </x:c>
      <x:c r="H995" s="22" t="str">
        <x:v>Verify publisher, source and current function before reliance</x:v>
      </x:c>
      <x:c r="I995" s="22" t="str">
        <x:v>Not checked</x:v>
      </x:c>
      <x:c r="J995" s="22" t="str">
        <x:v>Saved bookmark metadata only</x:v>
      </x:c>
      <x:c r="K995" s="22" t="str"/>
      <x:c r="L995" s="24" t="str"/>
      <x:c r="M995" s="24" t="str">
        <x:v>https://etherscan.io/</x:v>
      </x:c>
      <x:c r="N995" s="22" t="str">
        <x:v>268506918</x:v>
      </x:c>
      <x:c r="O995" s="22" t="n">
        <x:v>1043</x:v>
      </x:c>
      <x:c r="P995" s="22" t="n">
        <x:v>3</x:v>
      </x:c>
      <x:c r="Q995" s="22" t="str"/>
      <x:c r="R995" s="22" t="n">
        <x:f>COUNTIF($M$6:$M$1177,M995)</x:f>
        <x:v>1</x:v>
      </x:c>
      <x:c r="S995" s="22" t="str">
        <x:v>Other / utility</x:v>
      </x:c>
      <x:c r="T995" s="22" t="str">
        <x:v>Not established</x:v>
      </x:c>
    </x:row>
    <x:row r="996" ht="48" customHeight="1">
      <x:c r="A996" s="22" t="n">
        <x:v>991</x:v>
      </x:c>
      <x:c r="B996" s="22" t="str">
        <x:v>Flowscan.org</x:v>
      </x:c>
      <x:c r="C996" s="31" t="str">
        <x:v>U</x:v>
      </x:c>
      <x:c r="D996" s="22" t="str">
        <x:v>Unassessed</x:v>
      </x:c>
      <x:c r="E996" s="22" t="str">
        <x:v>CRYPTOCURRENCY</x:v>
      </x:c>
      <x:c r="F996" s="22" t="str">
        <x:v>Blockchain observations</x:v>
      </x:c>
      <x:c r="G996" s="22" t="str">
        <x:v>A recorded transfer connects blockchain addresses, not automatically the people controlling them.</x:v>
      </x:c>
      <x:c r="H996" s="22" t="str">
        <x:v>Verify publisher, source and current function before reliance</x:v>
      </x:c>
      <x:c r="I996" s="22" t="str">
        <x:v>Not checked</x:v>
      </x:c>
      <x:c r="J996" s="22" t="str">
        <x:v>Saved bookmark metadata only</x:v>
      </x:c>
      <x:c r="K996" s="22" t="str"/>
      <x:c r="L996" s="24" t="str"/>
      <x:c r="M996" s="24" t="str">
        <x:v>https://flowscan.org/</x:v>
      </x:c>
      <x:c r="N996" s="22" t="str">
        <x:v>305289336</x:v>
      </x:c>
      <x:c r="O996" s="22" t="n">
        <x:v>1043</x:v>
      </x:c>
      <x:c r="P996" s="22" t="n">
        <x:v>4</x:v>
      </x:c>
      <x:c r="Q996" s="22" t="str"/>
      <x:c r="R996" s="22" t="n">
        <x:f>COUNTIF($M$6:$M$1177,M996)</x:f>
        <x:v>1</x:v>
      </x:c>
      <x:c r="S996" s="22" t="str">
        <x:v>Other / utility</x:v>
      </x:c>
      <x:c r="T996" s="22" t="str">
        <x:v>Not established</x:v>
      </x:c>
    </x:row>
    <x:row r="997" ht="48" customHeight="1">
      <x:c r="A997" s="22" t="n">
        <x:v>992</x:v>
      </x:c>
      <x:c r="B997" s="22" t="str">
        <x:v>Bitcoin Forums Search Engine</x:v>
      </x:c>
      <x:c r="C997" s="43" t="str">
        <x:v>C-P</x:v>
      </x:c>
      <x:c r="D997" s="22" t="str">
        <x:v>Provisional</x:v>
      </x:c>
      <x:c r="E997" s="22" t="str">
        <x:v>CRYPTOCURRENCY</x:v>
      </x:c>
      <x:c r="F997" s="22" t="str">
        <x:v>Custom-search discovery only</x:v>
      </x:c>
      <x:c r="G997" s="22" t="str">
        <x:v>The saved URL identifies a custom search. This engine's configuration, coverage and query results were not tested.</x:v>
      </x:c>
      <x:c r="H997" s="22" t="str">
        <x:v>Open and verify the original result; do not count the search as corroboration</x:v>
      </x:c>
      <x:c r="I997" s="22" t="str">
        <x:v>Not checked</x:v>
      </x:c>
      <x:c r="J997" s="22" t="str">
        <x:v>Saved bookmark metadata only</x:v>
      </x:c>
      <x:c r="K997" s="22" t="str"/>
      <x:c r="L997" s="24" t="str"/>
      <x:c r="M997" s="24" t="str">
        <x:v>https://cse.google.com/cse?cx=f49f9d5e679b15787</x:v>
      </x:c>
      <x:c r="N997" s="22" t="str">
        <x:v>286819578</x:v>
      </x:c>
      <x:c r="O997" s="22" t="n">
        <x:v>1043</x:v>
      </x:c>
      <x:c r="P997" s="22" t="n">
        <x:v>5</x:v>
      </x:c>
      <x:c r="Q997" s="22" t="str"/>
      <x:c r="R997" s="22" t="n">
        <x:f>COUNTIF($M$6:$M$1177,M997)</x:f>
        <x:v>1</x:v>
      </x:c>
      <x:c r="S997" s="22" t="str">
        <x:v>Other / utility</x:v>
      </x:c>
      <x:c r="T997" s="22" t="str">
        <x:v>Low</x:v>
      </x:c>
    </x:row>
    <x:row r="998" ht="48" customHeight="1">
      <x:c r="A998" s="22" t="n">
        <x:v>993</x:v>
      </x:c>
      <x:c r="B998" s="22" t="str">
        <x:v>Blockchain Explorer</x:v>
      </x:c>
      <x:c r="C998" s="31" t="str">
        <x:v>U</x:v>
      </x:c>
      <x:c r="D998" s="22" t="str">
        <x:v>Unassessed</x:v>
      </x:c>
      <x:c r="E998" s="22" t="str">
        <x:v>CRYPTOCURRENCY</x:v>
      </x:c>
      <x:c r="F998" s="22" t="str">
        <x:v>Blockchain observations</x:v>
      </x:c>
      <x:c r="G998" s="22" t="str">
        <x:v>A recorded transfer connects blockchain addresses, not automatically the people controlling them.</x:v>
      </x:c>
      <x:c r="H998" s="22" t="str">
        <x:v>Verify publisher, source and current function before reliance</x:v>
      </x:c>
      <x:c r="I998" s="22" t="str">
        <x:v>Not checked</x:v>
      </x:c>
      <x:c r="J998" s="22" t="str">
        <x:v>Saved bookmark metadata only</x:v>
      </x:c>
      <x:c r="K998" s="22" t="str"/>
      <x:c r="L998" s="24" t="str"/>
      <x:c r="M998" s="24" t="str">
        <x:v>https://www.blockchain.com/explorer</x:v>
      </x:c>
      <x:c r="N998" s="22" t="str">
        <x:v>268505538</x:v>
      </x:c>
      <x:c r="O998" s="22" t="n">
        <x:v>1043</x:v>
      </x:c>
      <x:c r="P998" s="22" t="n">
        <x:v>6</x:v>
      </x:c>
      <x:c r="Q998" s="22" t="str"/>
      <x:c r="R998" s="22" t="n">
        <x:f>COUNTIF($M$6:$M$1177,M998)</x:f>
        <x:v>1</x:v>
      </x:c>
      <x:c r="S998" s="22" t="str">
        <x:v>Other / utility</x:v>
      </x:c>
      <x:c r="T998" s="22" t="str">
        <x:v>Not established</x:v>
      </x:c>
    </x:row>
    <x:row r="999" ht="48" customHeight="1">
      <x:c r="A999" s="22" t="n">
        <x:v>994</x:v>
      </x:c>
      <x:c r="B999" s="22" t="str">
        <x:v>Blockcypher</x:v>
      </x:c>
      <x:c r="C999" s="31" t="str">
        <x:v>U</x:v>
      </x:c>
      <x:c r="D999" s="22" t="str">
        <x:v>Unassessed</x:v>
      </x:c>
      <x:c r="E999" s="22" t="str">
        <x:v>CRYPTOCURRENCY</x:v>
      </x:c>
      <x:c r="F999" s="22" t="str">
        <x:v>Blockchain observations</x:v>
      </x:c>
      <x:c r="G999" s="22" t="str">
        <x:v>A recorded transfer connects blockchain addresses, not automatically the people controlling them.</x:v>
      </x:c>
      <x:c r="H999" s="22" t="str">
        <x:v>Verify publisher, source and current function before reliance</x:v>
      </x:c>
      <x:c r="I999" s="22" t="str">
        <x:v>Not checked</x:v>
      </x:c>
      <x:c r="J999" s="22" t="str">
        <x:v>Saved bookmark metadata only</x:v>
      </x:c>
      <x:c r="K999" s="22" t="str"/>
      <x:c r="L999" s="24" t="str"/>
      <x:c r="M999" s="24" t="str">
        <x:v>https://live.blockcypher.com/</x:v>
      </x:c>
      <x:c r="N999" s="22" t="str">
        <x:v>268505543</x:v>
      </x:c>
      <x:c r="O999" s="22" t="n">
        <x:v>1043</x:v>
      </x:c>
      <x:c r="P999" s="22" t="n">
        <x:v>7</x:v>
      </x:c>
      <x:c r="Q999" s="22" t="str"/>
      <x:c r="R999" s="22" t="n">
        <x:f>COUNTIF($M$6:$M$1177,M999)</x:f>
        <x:v>1</x:v>
      </x:c>
      <x:c r="S999" s="22" t="str">
        <x:v>Other / utility</x:v>
      </x:c>
      <x:c r="T999" s="22" t="str">
        <x:v>Not established</x:v>
      </x:c>
    </x:row>
    <x:row r="1000" ht="48" customHeight="1">
      <x:c r="A1000" s="22" t="n">
        <x:v>995</x:v>
      </x:c>
      <x:c r="B1000" s="22" t="str">
        <x:v>Addresschecker.eu</x:v>
      </x:c>
      <x:c r="C1000" s="31" t="str">
        <x:v>U</x:v>
      </x:c>
      <x:c r="D1000" s="22" t="str">
        <x:v>Unassessed</x:v>
      </x:c>
      <x:c r="E1000" s="22" t="str">
        <x:v>CRYPTOCURRENCY</x:v>
      </x:c>
      <x:c r="F1000" s="22" t="str">
        <x:v>Blockchain observations</x:v>
      </x:c>
      <x:c r="G1000" s="22" t="str">
        <x:v>A recorded transfer connects blockchain addresses, not automatically the people controlling them.</x:v>
      </x:c>
      <x:c r="H1000" s="22" t="str">
        <x:v>Verify publisher, source and current function before reliance</x:v>
      </x:c>
      <x:c r="I1000" s="22" t="str">
        <x:v>Not checked</x:v>
      </x:c>
      <x:c r="J1000" s="22" t="str">
        <x:v>Saved bookmark metadata only</x:v>
      </x:c>
      <x:c r="K1000" s="22" t="str"/>
      <x:c r="L1000" s="24" t="str"/>
      <x:c r="M1000" s="24" t="str">
        <x:v>http://addresschecker.eu/</x:v>
      </x:c>
      <x:c r="N1000" s="22" t="str">
        <x:v>268391772</x:v>
      </x:c>
      <x:c r="O1000" s="22" t="n">
        <x:v>1043</x:v>
      </x:c>
      <x:c r="P1000" s="22" t="n">
        <x:v>8</x:v>
      </x:c>
      <x:c r="Q1000" s="22" t="str"/>
      <x:c r="R1000" s="22" t="n">
        <x:f>COUNTIF($M$6:$M$1177,M1000)</x:f>
        <x:v>1</x:v>
      </x:c>
      <x:c r="S1000" s="22" t="str">
        <x:v>Other / utility</x:v>
      </x:c>
      <x:c r="T1000" s="22" t="str">
        <x:v>Not established</x:v>
      </x:c>
    </x:row>
    <x:row r="1001" ht="48" customHeight="1">
      <x:c r="A1001" s="22" t="n">
        <x:v>996</x:v>
      </x:c>
      <x:c r="B1001" s="22" t="str">
        <x:v>Coinwink.com</x:v>
      </x:c>
      <x:c r="C1001" s="31" t="str">
        <x:v>U</x:v>
      </x:c>
      <x:c r="D1001" s="22" t="str">
        <x:v>Unassessed</x:v>
      </x:c>
      <x:c r="E1001" s="22" t="str">
        <x:v>CRYPTOCURRENCY</x:v>
      </x:c>
      <x:c r="F1001" s="22" t="str">
        <x:v>Blockchain observations</x:v>
      </x:c>
      <x:c r="G1001" s="22" t="str">
        <x:v>A recorded transfer connects blockchain addresses, not automatically the people controlling them.</x:v>
      </x:c>
      <x:c r="H1001" s="22" t="str">
        <x:v>Verify publisher, source and current function before reliance</x:v>
      </x:c>
      <x:c r="I1001" s="22" t="str">
        <x:v>Not checked</x:v>
      </x:c>
      <x:c r="J1001" s="22" t="str">
        <x:v>Saved bookmark metadata only</x:v>
      </x:c>
      <x:c r="K1001" s="22" t="str"/>
      <x:c r="L1001" s="24" t="str"/>
      <x:c r="M1001" s="24" t="str">
        <x:v>https://coinwink.com/</x:v>
      </x:c>
      <x:c r="N1001" s="22" t="str">
        <x:v>286644975</x:v>
      </x:c>
      <x:c r="O1001" s="22" t="n">
        <x:v>1043</x:v>
      </x:c>
      <x:c r="P1001" s="22" t="n">
        <x:v>9</x:v>
      </x:c>
      <x:c r="Q1001" s="22" t="str"/>
      <x:c r="R1001" s="22" t="n">
        <x:f>COUNTIF($M$6:$M$1177,M1001)</x:f>
        <x:v>1</x:v>
      </x:c>
      <x:c r="S1001" s="22" t="str">
        <x:v>Other / utility</x:v>
      </x:c>
      <x:c r="T1001" s="22" t="str">
        <x:v>Not established</x:v>
      </x:c>
    </x:row>
    <x:row r="1002" ht="48" customHeight="1">
      <x:c r="A1002" s="22" t="n">
        <x:v>997</x:v>
      </x:c>
      <x:c r="B1002" s="22" t="str">
        <x:v>Cryptocurrency search tool</x:v>
      </x:c>
      <x:c r="C1002" s="31" t="str">
        <x:v>U</x:v>
      </x:c>
      <x:c r="D1002" s="22" t="str">
        <x:v>Unassessed</x:v>
      </x:c>
      <x:c r="E1002" s="22" t="str">
        <x:v>CRYPTOCURRENCY</x:v>
      </x:c>
      <x:c r="F1002" s="22" t="str">
        <x:v>Blockchain observations</x:v>
      </x:c>
      <x:c r="G1002" s="22" t="str">
        <x:v>A recorded transfer connects blockchain addresses, not automatically the people controlling them.</x:v>
      </x:c>
      <x:c r="H1002" s="22" t="str">
        <x:v>Verify publisher, source and current function before reliance</x:v>
      </x:c>
      <x:c r="I1002" s="22" t="str">
        <x:v>Not checked</x:v>
      </x:c>
      <x:c r="J1002" s="22" t="str">
        <x:v>Saved bookmark metadata only</x:v>
      </x:c>
      <x:c r="K1002" s="22" t="str"/>
      <x:c r="L1002" s="24" t="str"/>
      <x:c r="M1002" s="24" t="str">
        <x:v>https://www.aware-online.com/en/osint-tools/cryptocurrency-search-tool/</x:v>
      </x:c>
      <x:c r="N1002" s="22" t="str">
        <x:v>268506937</x:v>
      </x:c>
      <x:c r="O1002" s="22" t="n">
        <x:v>1043</x:v>
      </x:c>
      <x:c r="P1002" s="22" t="n">
        <x:v>10</x:v>
      </x:c>
      <x:c r="Q1002" s="22" t="str"/>
      <x:c r="R1002" s="22" t="n">
        <x:f>COUNTIF($M$6:$M$1177,M1002)</x:f>
        <x:v>1</x:v>
      </x:c>
      <x:c r="S1002" s="22" t="str">
        <x:v>Other / utility</x:v>
      </x:c>
      <x:c r="T1002" s="22" t="str">
        <x:v>Not established</x:v>
      </x:c>
    </x:row>
    <x:row r="1003" ht="48" customHeight="1">
      <x:c r="A1003" s="22" t="n">
        <x:v>998</x:v>
      </x:c>
      <x:c r="B1003" s="22" t="str">
        <x:v>OSINT cryptocurrencies</x:v>
      </x:c>
      <x:c r="C1003" s="31" t="str">
        <x:v>U</x:v>
      </x:c>
      <x:c r="D1003" s="22" t="str">
        <x:v>Unassessed</x:v>
      </x:c>
      <x:c r="E1003" s="22" t="str">
        <x:v>CRYPTOCURRENCY</x:v>
      </x:c>
      <x:c r="F1003" s="22" t="str">
        <x:v>Blockchain observations</x:v>
      </x:c>
      <x:c r="G1003" s="22" t="str">
        <x:v>A recorded transfer connects blockchain addresses, not automatically the people controlling them.</x:v>
      </x:c>
      <x:c r="H1003" s="22" t="str">
        <x:v>Verify publisher, source and current function before reliance</x:v>
      </x:c>
      <x:c r="I1003" s="22" t="str">
        <x:v>Not checked</x:v>
      </x:c>
      <x:c r="J1003" s="22" t="str">
        <x:v>Saved bookmark metadata only</x:v>
      </x:c>
      <x:c r="K1003" s="22" t="str"/>
      <x:c r="L1003" s="24" t="str"/>
      <x:c r="M1003" s="24" t="str">
        <x:v>https://www.aware-online.com/en/osint-tools/cryptocurrency-tools/</x:v>
      </x:c>
      <x:c r="N1003" s="22" t="str">
        <x:v>268391979</x:v>
      </x:c>
      <x:c r="O1003" s="22" t="n">
        <x:v>1043</x:v>
      </x:c>
      <x:c r="P1003" s="22" t="n">
        <x:v>11</x:v>
      </x:c>
      <x:c r="Q1003" s="22" t="str"/>
      <x:c r="R1003" s="22" t="n">
        <x:f>COUNTIF($M$6:$M$1177,M1003)</x:f>
        <x:v>1</x:v>
      </x:c>
      <x:c r="S1003" s="22" t="str">
        <x:v>Other / utility</x:v>
      </x:c>
      <x:c r="T1003" s="22" t="str">
        <x:v>Not established</x:v>
      </x:c>
    </x:row>
    <x:row r="1004" ht="48" customHeight="1">
      <x:c r="A1004" s="22" t="n">
        <x:v>999</x:v>
      </x:c>
      <x:c r="B1004" s="22" t="str">
        <x:v>Dark Tracer</x:v>
      </x:c>
      <x:c r="C1004" s="31" t="str">
        <x:v>U</x:v>
      </x:c>
      <x:c r="D1004" s="22" t="str">
        <x:v>Unassessed</x:v>
      </x:c>
      <x:c r="E1004" s="22" t="str">
        <x:v>DARKNET</x:v>
      </x:c>
      <x:c r="F1004" s="22" t="str">
        <x:v>Hidden-service / leak discovery</x:v>
      </x:c>
      <x:c r="G1004" s="22" t="str">
        <x:v>Verify provenance and independent support; availability, completeness and lawfulness were not established.</x:v>
      </x:c>
      <x:c r="H1004" s="22" t="str">
        <x:v>Verify publisher, source and current function before reliance</x:v>
      </x:c>
      <x:c r="I1004" s="22" t="str">
        <x:v>Not checked</x:v>
      </x:c>
      <x:c r="J1004" s="22" t="str">
        <x:v>Saved bookmark metadata only</x:v>
      </x:c>
      <x:c r="K1004" s="22" t="str"/>
      <x:c r="L1004" s="24" t="str"/>
      <x:c r="M1004" s="24" t="str">
        <x:v>https://darktracer.io/</x:v>
      </x:c>
      <x:c r="N1004" s="22" t="str">
        <x:v>268376502</x:v>
      </x:c>
      <x:c r="O1004" s="22" t="n">
        <x:v>1043</x:v>
      </x:c>
      <x:c r="P1004" s="22" t="n">
        <x:v>1</x:v>
      </x:c>
      <x:c r="Q1004" s="22" t="str"/>
      <x:c r="R1004" s="22" t="n">
        <x:f>COUNTIF($M$6:$M$1177,M1004)</x:f>
        <x:v>1</x:v>
      </x:c>
      <x:c r="S1004" s="22" t="str">
        <x:v>Other / utility</x:v>
      </x:c>
      <x:c r="T1004" s="22" t="str">
        <x:v>Not established</x:v>
      </x:c>
    </x:row>
    <x:row r="1005" ht="48" customHeight="1">
      <x:c r="A1005" s="22" t="n">
        <x:v>1000</x:v>
      </x:c>
      <x:c r="B1005" s="22" t="str">
        <x:v>ransomwatch 👀 🦅</x:v>
      </x:c>
      <x:c r="C1005" s="31" t="str">
        <x:v>U</x:v>
      </x:c>
      <x:c r="D1005" s="22" t="str">
        <x:v>Unassessed</x:v>
      </x:c>
      <x:c r="E1005" s="22" t="str">
        <x:v>DARKNET</x:v>
      </x:c>
      <x:c r="F1005" s="22" t="str">
        <x:v>Hidden-service / leak discovery</x:v>
      </x:c>
      <x:c r="G1005" s="22" t="str">
        <x:v>Verify provenance and independent support; availability, completeness and lawfulness were not established.</x:v>
      </x:c>
      <x:c r="H1005" s="22" t="str">
        <x:v>Verify publisher, source and current function before reliance</x:v>
      </x:c>
      <x:c r="I1005" s="22" t="str">
        <x:v>Not checked</x:v>
      </x:c>
      <x:c r="J1005" s="22" t="str">
        <x:v>Saved bookmark metadata only</x:v>
      </x:c>
      <x:c r="K1005" s="22" t="str"/>
      <x:c r="L1005" s="24" t="str"/>
      <x:c r="M1005" s="24" t="str">
        <x:v>https://ransomwatch.telemetry.ltd/#/INDEX</x:v>
      </x:c>
      <x:c r="N1005" s="22" t="str">
        <x:v>302154779</x:v>
      </x:c>
      <x:c r="O1005" s="22" t="n">
        <x:v>1043</x:v>
      </x:c>
      <x:c r="P1005" s="22" t="n">
        <x:v>2</x:v>
      </x:c>
      <x:c r="Q1005" s="22" t="str"/>
      <x:c r="R1005" s="22" t="n">
        <x:f>COUNTIF($M$6:$M$1177,M1005)</x:f>
        <x:v>1</x:v>
      </x:c>
      <x:c r="S1005" s="22" t="str">
        <x:v>Other / utility</x:v>
      </x:c>
      <x:c r="T1005" s="22" t="str">
        <x:v>Not established</x:v>
      </x:c>
    </x:row>
    <x:row r="1006" ht="48" customHeight="1">
      <x:c r="A1006" s="22" t="n">
        <x:v>1001</x:v>
      </x:c>
      <x:c r="B1006" s="22" t="str">
        <x:v>Ransomware Darknet websites</x:v>
      </x:c>
      <x:c r="C1006" s="31" t="str">
        <x:v>U</x:v>
      </x:c>
      <x:c r="D1006" s="22" t="str">
        <x:v>Unassessed</x:v>
      </x:c>
      <x:c r="E1006" s="22" t="str">
        <x:v>DARKNET</x:v>
      </x:c>
      <x:c r="F1006" s="22" t="str">
        <x:v>Hidden-service / leak discovery</x:v>
      </x:c>
      <x:c r="G1006" s="22" t="str">
        <x:v>Verify provenance and independent support; availability, completeness and lawfulness were not established.</x:v>
      </x:c>
      <x:c r="H1006" s="22" t="str">
        <x:v>Verify publisher, source and current function before reliance</x:v>
      </x:c>
      <x:c r="I1006" s="22" t="str">
        <x:v>Not checked</x:v>
      </x:c>
      <x:c r="J1006" s="22" t="str">
        <x:v>Saved bookmark metadata only</x:v>
      </x:c>
      <x:c r="K1006" s="22" t="str"/>
      <x:c r="L1006" s="24" t="str"/>
      <x:c r="M1006" s="24" t="str">
        <x:v>https://sizeof.cat/post/ransomware-darknet-websites/</x:v>
      </x:c>
      <x:c r="N1006" s="22" t="str">
        <x:v>305289315</x:v>
      </x:c>
      <x:c r="O1006" s="22" t="n">
        <x:v>1043</x:v>
      </x:c>
      <x:c r="P1006" s="22" t="n">
        <x:v>3</x:v>
      </x:c>
      <x:c r="Q1006" s="22" t="str"/>
      <x:c r="R1006" s="22" t="n">
        <x:f>COUNTIF($M$6:$M$1177,M1006)</x:f>
        <x:v>1</x:v>
      </x:c>
      <x:c r="S1006" s="22" t="str">
        <x:v>Other / utility</x:v>
      </x:c>
      <x:c r="T1006" s="22" t="str">
        <x:v>Not established</x:v>
      </x:c>
    </x:row>
    <x:row r="1007" ht="48" customHeight="1">
      <x:c r="A1007" s="22" t="n">
        <x:v>1002</x:v>
      </x:c>
      <x:c r="B1007" s="22" t="str">
        <x:v>Ahmia —
      Search Tor Hidden Services</x:v>
      </x:c>
      <x:c r="C1007" s="31" t="str">
        <x:v>U</x:v>
      </x:c>
      <x:c r="D1007" s="22" t="str">
        <x:v>Unassessed</x:v>
      </x:c>
      <x:c r="E1007" s="22" t="str">
        <x:v>DARKNET</x:v>
      </x:c>
      <x:c r="F1007" s="22" t="str">
        <x:v>Hidden-service / leak discovery</x:v>
      </x:c>
      <x:c r="G1007" s="22" t="str">
        <x:v>Verify provenance and independent support; availability, completeness and lawfulness were not established.</x:v>
      </x:c>
      <x:c r="H1007" s="22" t="str">
        <x:v>Verify publisher, source and current function before reliance</x:v>
      </x:c>
      <x:c r="I1007" s="22" t="str">
        <x:v>Not checked</x:v>
      </x:c>
      <x:c r="J1007" s="22" t="str">
        <x:v>Saved bookmark metadata only</x:v>
      </x:c>
      <x:c r="K1007" s="22" t="str"/>
      <x:c r="L1007" s="24" t="str"/>
      <x:c r="M1007" s="24" t="str">
        <x:v>https://ahmia.fi/</x:v>
      </x:c>
      <x:c r="N1007" s="22" t="str">
        <x:v>268387879</x:v>
      </x:c>
      <x:c r="O1007" s="22" t="n">
        <x:v>1043</x:v>
      </x:c>
      <x:c r="P1007" s="22" t="n">
        <x:v>4</x:v>
      </x:c>
      <x:c r="Q1007" s="22" t="str"/>
      <x:c r="R1007" s="22" t="n">
        <x:f>COUNTIF($M$6:$M$1177,M1007)</x:f>
        <x:v>1</x:v>
      </x:c>
      <x:c r="S1007" s="22" t="str">
        <x:v>Other / utility</x:v>
      </x:c>
      <x:c r="T1007" s="22" t="str">
        <x:v>Not established</x:v>
      </x:c>
    </x:row>
    <x:row r="1008" ht="48" customHeight="1">
      <x:c r="A1008" s="22" t="n">
        <x:v>1003</x:v>
      </x:c>
      <x:c r="B1008" s="22" t="str">
        <x:v>Onion search engine</x:v>
      </x:c>
      <x:c r="C1008" s="31" t="str">
        <x:v>U</x:v>
      </x:c>
      <x:c r="D1008" s="22" t="str">
        <x:v>Unassessed</x:v>
      </x:c>
      <x:c r="E1008" s="22" t="str">
        <x:v>DARKNET</x:v>
      </x:c>
      <x:c r="F1008" s="22" t="str">
        <x:v>Hidden-service / leak discovery</x:v>
      </x:c>
      <x:c r="G1008" s="22" t="str">
        <x:v>Verify provenance and independent support; availability, completeness and lawfulness were not established.</x:v>
      </x:c>
      <x:c r="H1008" s="22" t="str">
        <x:v>Verify publisher, source and current function before reliance</x:v>
      </x:c>
      <x:c r="I1008" s="22" t="str">
        <x:v>Not checked</x:v>
      </x:c>
      <x:c r="J1008" s="22" t="str">
        <x:v>Saved bookmark metadata only</x:v>
      </x:c>
      <x:c r="K1008" s="22" t="str"/>
      <x:c r="L1008" s="24" t="str"/>
      <x:c r="M1008" s="24" t="str">
        <x:v>https://onionengine.com/</x:v>
      </x:c>
      <x:c r="N1008" s="22" t="str">
        <x:v>268402507</x:v>
      </x:c>
      <x:c r="O1008" s="22" t="n">
        <x:v>1045</x:v>
      </x:c>
      <x:c r="P1008" s="22" t="n">
        <x:v>5</x:v>
      </x:c>
      <x:c r="Q1008" s="22" t="str"/>
      <x:c r="R1008" s="22" t="n">
        <x:f>COUNTIF($M$6:$M$1177,M1008)</x:f>
        <x:v>1</x:v>
      </x:c>
      <x:c r="S1008" s="22" t="str">
        <x:v>Other / utility</x:v>
      </x:c>
      <x:c r="T1008" s="22" t="str">
        <x:v>Not established</x:v>
      </x:c>
    </x:row>
    <x:row r="1009" ht="48" customHeight="1">
      <x:c r="A1009" s="22" t="n">
        <x:v>1004</x:v>
      </x:c>
      <x:c r="B1009" s="22" t="str">
        <x:v>onionsearch</x:v>
      </x:c>
      <x:c r="C1009" s="31" t="str">
        <x:v>U</x:v>
      </x:c>
      <x:c r="D1009" s="22" t="str">
        <x:v>Unassessed</x:v>
      </x:c>
      <x:c r="E1009" s="22" t="str">
        <x:v>DARKNET</x:v>
      </x:c>
      <x:c r="F1009" s="22" t="str">
        <x:v>Hidden-service / leak discovery</x:v>
      </x:c>
      <x:c r="G1009" s="22" t="str">
        <x:v>Verify provenance and independent support; availability, completeness and lawfulness were not established.</x:v>
      </x:c>
      <x:c r="H1009" s="22" t="str">
        <x:v>Verify publisher, source and current function before reliance</x:v>
      </x:c>
      <x:c r="I1009" s="22" t="str">
        <x:v>Not checked</x:v>
      </x:c>
      <x:c r="J1009" s="22" t="str">
        <x:v>Saved bookmark metadata only</x:v>
      </x:c>
      <x:c r="K1009" s="22" t="str"/>
      <x:c r="L1009" s="24" t="str"/>
      <x:c r="M1009" s="24" t="str">
        <x:v>https://pypi.org/project/onionsearch/</x:v>
      </x:c>
      <x:c r="N1009" s="22" t="str">
        <x:v>287796550</x:v>
      </x:c>
      <x:c r="O1009" s="22" t="n">
        <x:v>1045</x:v>
      </x:c>
      <x:c r="P1009" s="22" t="n">
        <x:v>6</x:v>
      </x:c>
      <x:c r="Q1009" s="22" t="str"/>
      <x:c r="R1009" s="22" t="n">
        <x:f>COUNTIF($M$6:$M$1177,M1009)</x:f>
        <x:v>1</x:v>
      </x:c>
      <x:c r="S1009" s="22" t="str">
        <x:v>Other / utility</x:v>
      </x:c>
      <x:c r="T1009" s="22" t="str">
        <x:v>Not established</x:v>
      </x:c>
    </x:row>
    <x:row r="1010" ht="48" customHeight="1">
      <x:c r="A1010" s="22" t="n">
        <x:v>1005</x:v>
      </x:c>
      <x:c r="B1010" s="22" t="str">
        <x:v>Tor2Web: Tor Hidden Services Gateway</x:v>
      </x:c>
      <x:c r="C1010" s="31" t="str">
        <x:v>U</x:v>
      </x:c>
      <x:c r="D1010" s="22" t="str">
        <x:v>Unassessed</x:v>
      </x:c>
      <x:c r="E1010" s="22" t="str">
        <x:v>DARKNET</x:v>
      </x:c>
      <x:c r="F1010" s="22" t="str">
        <x:v>Hidden-service / leak discovery</x:v>
      </x:c>
      <x:c r="G1010" s="22" t="str">
        <x:v>Verify provenance and independent support; availability, completeness and lawfulness were not established.</x:v>
      </x:c>
      <x:c r="H1010" s="22" t="str">
        <x:v>Verify publisher, source and current function before reliance</x:v>
      </x:c>
      <x:c r="I1010" s="22" t="str">
        <x:v>Not checked</x:v>
      </x:c>
      <x:c r="J1010" s="22" t="str">
        <x:v>Saved bookmark metadata only</x:v>
      </x:c>
      <x:c r="K1010" s="22" t="str"/>
      <x:c r="L1010" s="24" t="str"/>
      <x:c r="M1010" s="24" t="str">
        <x:v>https://tor2web.onionsearchengine.com/</x:v>
      </x:c>
      <x:c r="N1010" s="22" t="str">
        <x:v>286037212</x:v>
      </x:c>
      <x:c r="O1010" s="22" t="n">
        <x:v>1045</x:v>
      </x:c>
      <x:c r="P1010" s="22" t="n">
        <x:v>7</x:v>
      </x:c>
      <x:c r="Q1010" s="22" t="str"/>
      <x:c r="R1010" s="22" t="n">
        <x:f>COUNTIF($M$6:$M$1177,M1010)</x:f>
        <x:v>1</x:v>
      </x:c>
      <x:c r="S1010" s="22" t="str">
        <x:v>Other / utility</x:v>
      </x:c>
      <x:c r="T1010" s="22" t="str">
        <x:v>Not established</x:v>
      </x:c>
    </x:row>
    <x:row r="1011" ht="48" customHeight="1">
      <x:c r="A1011" s="22" t="n">
        <x:v>1006</x:v>
      </x:c>
      <x:c r="B1011" s="22" t="str">
        <x:v>Ransomware Group Sites</x:v>
      </x:c>
      <x:c r="C1011" s="31" t="str">
        <x:v>U</x:v>
      </x:c>
      <x:c r="D1011" s="22" t="str">
        <x:v>Unassessed</x:v>
      </x:c>
      <x:c r="E1011" s="22" t="str">
        <x:v>DARKNET</x:v>
      </x:c>
      <x:c r="F1011" s="22" t="str">
        <x:v>Hidden-service / leak discovery</x:v>
      </x:c>
      <x:c r="G1011" s="22" t="str">
        <x:v>Verify provenance and independent support; availability, completeness and lawfulness were not established.</x:v>
      </x:c>
      <x:c r="H1011" s="22" t="str">
        <x:v>Verify publisher, source and current function before reliance</x:v>
      </x:c>
      <x:c r="I1011" s="22" t="str">
        <x:v>Not checked</x:v>
      </x:c>
      <x:c r="J1011" s="22" t="str">
        <x:v>Saved bookmark metadata only</x:v>
      </x:c>
      <x:c r="K1011" s="22" t="str"/>
      <x:c r="L1011" s="24" t="str"/>
      <x:c r="M1011" s="24" t="str">
        <x:v>http://ransomwr3tsydeii4q43vazm7wofla5ujdajquitomtd47cxjtfgwyyd.onion.pet/</x:v>
      </x:c>
      <x:c r="N1011" s="22" t="str">
        <x:v>286013421</x:v>
      </x:c>
      <x:c r="O1011" s="22" t="n">
        <x:v>1045</x:v>
      </x:c>
      <x:c r="P1011" s="22" t="n">
        <x:v>8</x:v>
      </x:c>
      <x:c r="Q1011" s="22" t="str"/>
      <x:c r="R1011" s="22" t="n">
        <x:f>COUNTIF($M$6:$M$1177,M1011)</x:f>
        <x:v>1</x:v>
      </x:c>
      <x:c r="S1011" s="22" t="str">
        <x:v>Other / utility</x:v>
      </x:c>
      <x:c r="T1011" s="22" t="str">
        <x:v>Not established</x:v>
      </x:c>
    </x:row>
    <x:row r="1012" ht="48" customHeight="1">
      <x:c r="A1012" s="22" t="n">
        <x:v>1007</x:v>
      </x:c>
      <x:c r="B1012" s="22" t="str">
        <x:v>Blockpath.com</x:v>
      </x:c>
      <x:c r="C1012" s="31" t="str">
        <x:v>U</x:v>
      </x:c>
      <x:c r="D1012" s="22" t="str">
        <x:v>Unassessed</x:v>
      </x:c>
      <x:c r="E1012" s="22" t="str">
        <x:v>DARKNET</x:v>
      </x:c>
      <x:c r="F1012" s="22" t="str">
        <x:v>Hidden-service / leak discovery</x:v>
      </x:c>
      <x:c r="G1012" s="22" t="str">
        <x:v>Verify provenance and independent support; availability, completeness and lawfulness were not established.</x:v>
      </x:c>
      <x:c r="H1012" s="22" t="str">
        <x:v>Verify publisher, source and current function before reliance</x:v>
      </x:c>
      <x:c r="I1012" s="22" t="str">
        <x:v>Not checked</x:v>
      </x:c>
      <x:c r="J1012" s="22" t="str">
        <x:v>Saved bookmark metadata only</x:v>
      </x:c>
      <x:c r="K1012" s="22" t="str"/>
      <x:c r="L1012" s="24" t="str"/>
      <x:c r="M1012" s="24" t="str">
        <x:v>https://blockpath.com/</x:v>
      </x:c>
      <x:c r="N1012" s="22" t="str">
        <x:v>286644964</x:v>
      </x:c>
      <x:c r="O1012" s="22" t="n">
        <x:v>1045</x:v>
      </x:c>
      <x:c r="P1012" s="22" t="n">
        <x:v>9</x:v>
      </x:c>
      <x:c r="Q1012" s="22" t="str"/>
      <x:c r="R1012" s="22" t="n">
        <x:f>COUNTIF($M$6:$M$1177,M1012)</x:f>
        <x:v>1</x:v>
      </x:c>
      <x:c r="S1012" s="22" t="str">
        <x:v>Other / utility</x:v>
      </x:c>
      <x:c r="T1012" s="22" t="str">
        <x:v>Not established</x:v>
      </x:c>
    </x:row>
    <x:row r="1013" ht="48" customHeight="1">
      <x:c r="A1013" s="22" t="n">
        <x:v>1008</x:v>
      </x:c>
      <x:c r="B1013" s="22" t="str">
        <x:v>LinkBaseORG</x:v>
      </x:c>
      <x:c r="C1013" s="31" t="str">
        <x:v>U</x:v>
      </x:c>
      <x:c r="D1013" s="22" t="str">
        <x:v>Unassessed</x:v>
      </x:c>
      <x:c r="E1013" s="22" t="str">
        <x:v>DARKNET</x:v>
      </x:c>
      <x:c r="F1013" s="22" t="str">
        <x:v>Hidden-service / leak discovery</x:v>
      </x:c>
      <x:c r="G1013" s="22" t="str">
        <x:v>Verify provenance and independent support; availability, completeness and lawfulness were not established.</x:v>
      </x:c>
      <x:c r="H1013" s="22" t="str">
        <x:v>Verify publisher, source and current function before reliance</x:v>
      </x:c>
      <x:c r="I1013" s="22" t="str">
        <x:v>Not checked</x:v>
      </x:c>
      <x:c r="J1013" s="22" t="str">
        <x:v>Saved bookmark metadata only</x:v>
      </x:c>
      <x:c r="K1013" s="22" t="str"/>
      <x:c r="L1013" s="24" t="str"/>
      <x:c r="M1013" s="24" t="str">
        <x:v>https://link-base.org/</x:v>
      </x:c>
      <x:c r="N1013" s="22" t="str">
        <x:v>288253562</x:v>
      </x:c>
      <x:c r="O1013" s="22" t="n">
        <x:v>1045</x:v>
      </x:c>
      <x:c r="P1013" s="22" t="n">
        <x:v>10</x:v>
      </x:c>
      <x:c r="Q1013" s="22" t="str"/>
      <x:c r="R1013" s="22" t="n">
        <x:f>COUNTIF($M$6:$M$1177,M1013)</x:f>
        <x:v>1</x:v>
      </x:c>
      <x:c r="S1013" s="22" t="str">
        <x:v>Other / utility</x:v>
      </x:c>
      <x:c r="T1013" s="22" t="str">
        <x:v>Not established</x:v>
      </x:c>
    </x:row>
    <x:row r="1014" ht="48" customHeight="1">
      <x:c r="A1014" s="22" t="n">
        <x:v>1009</x:v>
      </x:c>
      <x:c r="B1014" s="22" t="str">
        <x:v>Onions - Darknetlive</x:v>
      </x:c>
      <x:c r="C1014" s="31" t="str">
        <x:v>U</x:v>
      </x:c>
      <x:c r="D1014" s="22" t="str">
        <x:v>Unassessed</x:v>
      </x:c>
      <x:c r="E1014" s="22" t="str">
        <x:v>DARKNET</x:v>
      </x:c>
      <x:c r="F1014" s="22" t="str">
        <x:v>Hidden-service / leak discovery</x:v>
      </x:c>
      <x:c r="G1014" s="22" t="str">
        <x:v>Verify provenance and independent support; availability, completeness and lawfulness were not established.</x:v>
      </x:c>
      <x:c r="H1014" s="22" t="str">
        <x:v>Verify publisher, source and current function before reliance</x:v>
      </x:c>
      <x:c r="I1014" s="22" t="str">
        <x:v>Not checked</x:v>
      </x:c>
      <x:c r="J1014" s="22" t="str">
        <x:v>Saved bookmark metadata only</x:v>
      </x:c>
      <x:c r="K1014" s="22" t="str"/>
      <x:c r="L1014" s="24" t="str"/>
      <x:c r="M1014" s="24" t="str">
        <x:v>https://darknetlive.com/onions/</x:v>
      </x:c>
      <x:c r="N1014" s="22" t="str">
        <x:v>288431877</x:v>
      </x:c>
      <x:c r="O1014" s="22" t="n">
        <x:v>1045</x:v>
      </x:c>
      <x:c r="P1014" s="22" t="n">
        <x:v>11</x:v>
      </x:c>
      <x:c r="Q1014" s="22" t="str"/>
      <x:c r="R1014" s="22" t="n">
        <x:f>COUNTIF($M$6:$M$1177,M1014)</x:f>
        <x:v>1</x:v>
      </x:c>
      <x:c r="S1014" s="22" t="str">
        <x:v>Other / utility</x:v>
      </x:c>
      <x:c r="T1014" s="22" t="str">
        <x:v>Not established</x:v>
      </x:c>
    </x:row>
    <x:row r="1015" ht="48" customHeight="1">
      <x:c r="A1015" s="22" t="n">
        <x:v>1010</x:v>
      </x:c>
      <x:c r="B1015" s="22" t="str">
        <x:v>Darknet Market List</x:v>
      </x:c>
      <x:c r="C1015" s="31" t="str">
        <x:v>U</x:v>
      </x:c>
      <x:c r="D1015" s="22" t="str">
        <x:v>Unassessed</x:v>
      </x:c>
      <x:c r="E1015" s="22" t="str">
        <x:v>DARKNET</x:v>
      </x:c>
      <x:c r="F1015" s="22" t="str">
        <x:v>Hidden-service / leak discovery</x:v>
      </x:c>
      <x:c r="G1015" s="22" t="str">
        <x:v>Verify provenance and independent support; availability, completeness and lawfulness were not established.</x:v>
      </x:c>
      <x:c r="H1015" s="22" t="str">
        <x:v>Verify publisher, source and current function before reliance</x:v>
      </x:c>
      <x:c r="I1015" s="22" t="str">
        <x:v>Not checked</x:v>
      </x:c>
      <x:c r="J1015" s="22" t="str">
        <x:v>Saved bookmark metadata only</x:v>
      </x:c>
      <x:c r="K1015" s="22" t="str"/>
      <x:c r="L1015" s="24" t="str"/>
      <x:c r="M1015" s="24" t="str">
        <x:v>https://darknetlive.com/markets/</x:v>
      </x:c>
      <x:c r="N1015" s="22" t="str">
        <x:v>268598823</x:v>
      </x:c>
      <x:c r="O1015" s="22" t="n">
        <x:v>1045</x:v>
      </x:c>
      <x:c r="P1015" s="22" t="n">
        <x:v>12</x:v>
      </x:c>
      <x:c r="Q1015" s="22" t="str"/>
      <x:c r="R1015" s="22" t="n">
        <x:f>COUNTIF($M$6:$M$1177,M1015)</x:f>
        <x:v>1</x:v>
      </x:c>
      <x:c r="S1015" s="22" t="str">
        <x:v>Other / utility</x:v>
      </x:c>
      <x:c r="T1015" s="22" t="str">
        <x:v>Not established</x:v>
      </x:c>
    </x:row>
    <x:row r="1016" ht="48" customHeight="1">
      <x:c r="A1016" s="22" t="n">
        <x:v>1011</x:v>
      </x:c>
      <x:c r="B1016" s="22" t="str">
        <x:v>Darkweb Forums</x:v>
      </x:c>
      <x:c r="C1016" s="31" t="str">
        <x:v>U</x:v>
      </x:c>
      <x:c r="D1016" s="22" t="str">
        <x:v>Unassessed</x:v>
      </x:c>
      <x:c r="E1016" s="22" t="str">
        <x:v>DARKNET</x:v>
      </x:c>
      <x:c r="F1016" s="22" t="str">
        <x:v>Hidden-service / leak discovery</x:v>
      </x:c>
      <x:c r="G1016" s="22" t="str">
        <x:v>Verify provenance and independent support; availability, completeness and lawfulness were not established.</x:v>
      </x:c>
      <x:c r="H1016" s="22" t="str">
        <x:v>Verify publisher, source and current function before reliance</x:v>
      </x:c>
      <x:c r="I1016" s="22" t="str">
        <x:v>Not checked</x:v>
      </x:c>
      <x:c r="J1016" s="22" t="str">
        <x:v>Saved bookmark metadata only</x:v>
      </x:c>
      <x:c r="K1016" s="22" t="str"/>
      <x:c r="L1016" s="24" t="str"/>
      <x:c r="M1016" s="24" t="str">
        <x:v>https://darknetlive.com/forums/</x:v>
      </x:c>
      <x:c r="N1016" s="22" t="str">
        <x:v>268598824</x:v>
      </x:c>
      <x:c r="O1016" s="22" t="n">
        <x:v>1045</x:v>
      </x:c>
      <x:c r="P1016" s="22" t="n">
        <x:v>13</x:v>
      </x:c>
      <x:c r="Q1016" s="22" t="str"/>
      <x:c r="R1016" s="22" t="n">
        <x:f>COUNTIF($M$6:$M$1177,M1016)</x:f>
        <x:v>1</x:v>
      </x:c>
      <x:c r="S1016" s="22" t="str">
        <x:v>Other / utility</x:v>
      </x:c>
      <x:c r="T1016" s="22" t="str">
        <x:v>Not established</x:v>
      </x:c>
    </x:row>
    <x:row r="1017" ht="48" customHeight="1">
      <x:c r="A1017" s="22" t="n">
        <x:v>1012</x:v>
      </x:c>
      <x:c r="B1017" s="22" t="str">
        <x:v>Raklet</x:v>
      </x:c>
      <x:c r="C1017" s="31" t="str">
        <x:v>U</x:v>
      </x:c>
      <x:c r="D1017" s="22" t="str">
        <x:v>Unassessed</x:v>
      </x:c>
      <x:c r="E1017" s="22" t="str">
        <x:v>DARKNET</x:v>
      </x:c>
      <x:c r="F1017" s="22" t="str">
        <x:v>Hidden-service / leak discovery</x:v>
      </x:c>
      <x:c r="G1017" s="22" t="str">
        <x:v>Verify provenance and independent support; availability, completeness and lawfulness were not established.</x:v>
      </x:c>
      <x:c r="H1017" s="22" t="str">
        <x:v>Verify publisher, source and current function before reliance</x:v>
      </x:c>
      <x:c r="I1017" s="22" t="str">
        <x:v>Not checked</x:v>
      </x:c>
      <x:c r="J1017" s="22" t="str">
        <x:v>Saved bookmark metadata only</x:v>
      </x:c>
      <x:c r="K1017" s="22" t="str"/>
      <x:c r="L1017" s="24" t="str"/>
      <x:c r="M1017" s="24" t="str">
        <x:v>http://iwr4usy33opfclmbyemzbmnwwnmmqpqltezpac7fyqqkdv3mabtm6kqd.onion.pet/</x:v>
      </x:c>
      <x:c r="N1017" s="22" t="str">
        <x:v>289524887</x:v>
      </x:c>
      <x:c r="O1017" s="22" t="n">
        <x:v>1045</x:v>
      </x:c>
      <x:c r="P1017" s="22" t="n">
        <x:v>14</x:v>
      </x:c>
      <x:c r="Q1017" s="22" t="str"/>
      <x:c r="R1017" s="22" t="n">
        <x:f>COUNTIF($M$6:$M$1177,M1017)</x:f>
        <x:v>1</x:v>
      </x:c>
      <x:c r="S1017" s="22" t="str">
        <x:v>Other / utility</x:v>
      </x:c>
      <x:c r="T1017" s="22" t="str">
        <x:v>Not established</x:v>
      </x:c>
    </x:row>
    <x:row r="1018" ht="48" customHeight="1">
      <x:c r="A1018" s="22" t="n">
        <x:v>1013</x:v>
      </x:c>
      <x:c r="B1018" s="22" t="str">
        <x:v>Tool | path</x:v>
      </x:c>
      <x:c r="C1018" s="31" t="str">
        <x:v>U</x:v>
      </x:c>
      <x:c r="D1018" s="22" t="str">
        <x:v>Unassessed</x:v>
      </x:c>
      <x:c r="E1018" s="22" t="str">
        <x:v>DARKNET</x:v>
      </x:c>
      <x:c r="F1018" s="22" t="str">
        <x:v>Hidden-service / leak discovery</x:v>
      </x:c>
      <x:c r="G1018" s="22" t="str">
        <x:v>Verify provenance and independent support; availability, completeness and lawfulness were not established.</x:v>
      </x:c>
      <x:c r="H1018" s="22" t="str">
        <x:v>Verify publisher, source and current function before reliance</x:v>
      </x:c>
      <x:c r="I1018" s="22" t="str">
        <x:v>Not checked</x:v>
      </x:c>
      <x:c r="J1018" s="22" t="str">
        <x:v>Saved bookmark metadata only</x:v>
      </x:c>
      <x:c r="K1018" s="22" t="str"/>
      <x:c r="L1018" s="24" t="str"/>
      <x:c r="M1018" s="24" t="str">
        <x:v>https://learnmeabitcoin.com/tools/path/</x:v>
      </x:c>
      <x:c r="N1018" s="22" t="str">
        <x:v>286644974</x:v>
      </x:c>
      <x:c r="O1018" s="22" t="n">
        <x:v>1046</x:v>
      </x:c>
      <x:c r="P1018" s="22" t="n">
        <x:v>15</x:v>
      </x:c>
      <x:c r="Q1018" s="22" t="str"/>
      <x:c r="R1018" s="22" t="n">
        <x:f>COUNTIF($M$6:$M$1177,M1018)</x:f>
        <x:v>1</x:v>
      </x:c>
      <x:c r="S1018" s="22" t="str">
        <x:v>Other / utility</x:v>
      </x:c>
      <x:c r="T1018" s="22" t="str">
        <x:v>Not established</x:v>
      </x:c>
    </x:row>
    <x:row r="1019" ht="48" customHeight="1">
      <x:c r="A1019" s="22" t="n">
        <x:v>1014</x:v>
      </x:c>
      <x:c r="B1019" s="22" t="str">
        <x:v>BreachDirectory</x:v>
      </x:c>
      <x:c r="C1019" s="31" t="str">
        <x:v>U</x:v>
      </x:c>
      <x:c r="D1019" s="22" t="str">
        <x:v>Unassessed</x:v>
      </x:c>
      <x:c r="E1019" s="22" t="str">
        <x:v>DATA DUMP</x:v>
      </x:c>
      <x:c r="F1019" s="22" t="str">
        <x:v>Exposure-dataset discovery</x:v>
      </x:c>
      <x:c r="G1019" s="22" t="str">
        <x:v>A dataset match is not proof of identity, intentional membership or wrongdoing; raw data was not reviewed.</x:v>
      </x:c>
      <x:c r="H1019" s="22" t="str">
        <x:v>Verify publisher, source and current function before reliance</x:v>
      </x:c>
      <x:c r="I1019" s="22" t="str">
        <x:v>Not checked</x:v>
      </x:c>
      <x:c r="J1019" s="22" t="str">
        <x:v>Saved bookmark metadata only</x:v>
      </x:c>
      <x:c r="K1019" s="22" t="str"/>
      <x:c r="L1019" s="24" t="str"/>
      <x:c r="M1019" s="24" t="str">
        <x:v>https://breachdirectory.org/</x:v>
      </x:c>
      <x:c r="N1019" s="22" t="str">
        <x:v>327023782</x:v>
      </x:c>
      <x:c r="O1019" s="22" t="n">
        <x:v>1046</x:v>
      </x:c>
      <x:c r="P1019" s="22" t="n">
        <x:v>1</x:v>
      </x:c>
      <x:c r="Q1019" s="22" t="str"/>
      <x:c r="R1019" s="22" t="n">
        <x:f>COUNTIF($M$6:$M$1177,M1019)</x:f>
        <x:v>1</x:v>
      </x:c>
      <x:c r="S1019" s="22" t="str">
        <x:v>Other / utility</x:v>
      </x:c>
      <x:c r="T1019" s="22" t="str">
        <x:v>Not established</x:v>
      </x:c>
    </x:row>
    <x:row r="1020" ht="54" customHeight="1">
      <x:c r="A1020" s="22" t="n">
        <x:v>1015</x:v>
      </x:c>
      <x:c r="B1020" s="22" t="str">
        <x:v>Have I been pwned</x:v>
      </x:c>
      <x:c r="C1020" s="35" t="str">
        <x:v>B</x:v>
      </x:c>
      <x:c r="D1020" s="22" t="str">
        <x:v>Documented</x:v>
      </x:c>
      <x:c r="E1020" s="22" t="str">
        <x:v>DATA DUMP</x:v>
      </x:c>
      <x:c r="F1020" s="22" t="str">
        <x:v>Exposure in a named dataset</x:v>
      </x:c>
      <x:c r="G1020" s="22" t="str">
        <x:v>Check breach dates and dataset flags. An identifier's exposure is not proof of current control, intentional membership, or a relationship.</x:v>
      </x:c>
      <x:c r="H1020" s="22" t="str">
        <x:v>Corroborate before attribution</x:v>
      </x:c>
      <x:c r="I1020" s="22" t="str">
        <x:v>FAQ reviewed; no identifier searched</x:v>
      </x:c>
      <x:c r="J1020" s="22" t="str">
        <x:v>Provider methodology</x:v>
      </x:c>
      <x:c r="K1020" s="22" t="str">
        <x:v>S029</x:v>
      </x:c>
      <x:c r="L1020" s="24" t="str">
        <x:v>https://haveibeenpwned.com/FAQs</x:v>
      </x:c>
      <x:c r="M1020" s="24" t="str">
        <x:v>https://haveibeenpwned.com/</x:v>
      </x:c>
      <x:c r="N1020" s="22" t="str">
        <x:v>268376553</x:v>
      </x:c>
      <x:c r="O1020" s="22" t="n">
        <x:v>1046</x:v>
      </x:c>
      <x:c r="P1020" s="22" t="n">
        <x:v>2</x:v>
      </x:c>
      <x:c r="Q1020" s="22" t="str">
        <x:v>2026-09-15</x:v>
      </x:c>
      <x:c r="R1020" s="22" t="n">
        <x:f>COUNTIF($M$6:$M$1177,M1020)</x:f>
        <x:v>1</x:v>
      </x:c>
      <x:c r="S1020" s="22" t="str">
        <x:v>Other / utility</x:v>
      </x:c>
      <x:c r="T1020" s="22" t="str">
        <x:v>Scoped desk assessment</x:v>
      </x:c>
    </x:row>
    <x:row r="1021" ht="48" customHeight="1">
      <x:c r="A1021" s="22" t="n">
        <x:v>1016</x:v>
      </x:c>
      <x:c r="B1021" s="22" t="str">
        <x:v>DeepSearch</x:v>
      </x:c>
      <x:c r="C1021" s="31" t="str">
        <x:v>U</x:v>
      </x:c>
      <x:c r="D1021" s="22" t="str">
        <x:v>Unassessed</x:v>
      </x:c>
      <x:c r="E1021" s="22" t="str">
        <x:v>DATA DUMP</x:v>
      </x:c>
      <x:c r="F1021" s="22" t="str">
        <x:v>Exposure-dataset discovery</x:v>
      </x:c>
      <x:c r="G1021" s="22" t="str">
        <x:v>A dataset match is not proof of identity, intentional membership or wrongdoing; raw data was not reviewed.</x:v>
      </x:c>
      <x:c r="H1021" s="22" t="str">
        <x:v>Verify publisher, source and current function before reliance</x:v>
      </x:c>
      <x:c r="I1021" s="22" t="str">
        <x:v>Not checked</x:v>
      </x:c>
      <x:c r="J1021" s="22" t="str">
        <x:v>Saved bookmark metadata only</x:v>
      </x:c>
      <x:c r="K1021" s="22" t="str"/>
      <x:c r="L1021" s="24" t="str"/>
      <x:c r="M1021" s="24" t="str">
        <x:v>http://xjypo5vzgmo7jca6b322dnqbsdnp3amd24ybx26x5nxbusccjkm4pwid.onion.pet/</x:v>
      </x:c>
      <x:c r="N1021" s="22" t="str">
        <x:v>268376386</x:v>
      </x:c>
      <x:c r="O1021" s="22" t="n">
        <x:v>1046</x:v>
      </x:c>
      <x:c r="P1021" s="22" t="n">
        <x:v>3</x:v>
      </x:c>
      <x:c r="Q1021" s="22" t="str"/>
      <x:c r="R1021" s="22" t="n">
        <x:f>COUNTIF($M$6:$M$1177,M1021)</x:f>
        <x:v>1</x:v>
      </x:c>
      <x:c r="S1021" s="22" t="str">
        <x:v>Other / utility</x:v>
      </x:c>
      <x:c r="T1021" s="22" t="str">
        <x:v>Not established</x:v>
      </x:c>
    </x:row>
    <x:row r="1022" ht="48" customHeight="1">
      <x:c r="A1022" s="22" t="n">
        <x:v>1017</x:v>
      </x:c>
      <x:c r="B1022" s="22" t="str">
        <x:v>Personal Data Leak Checker</x:v>
      </x:c>
      <x:c r="C1022" s="31" t="str">
        <x:v>U</x:v>
      </x:c>
      <x:c r="D1022" s="22" t="str">
        <x:v>Unassessed</x:v>
      </x:c>
      <x:c r="E1022" s="22" t="str">
        <x:v>DATA DUMP</x:v>
      </x:c>
      <x:c r="F1022" s="22" t="str">
        <x:v>Exposure-dataset discovery</x:v>
      </x:c>
      <x:c r="G1022" s="22" t="str">
        <x:v>A dataset match is not proof of identity, intentional membership or wrongdoing; raw data was not reviewed.</x:v>
      </x:c>
      <x:c r="H1022" s="22" t="str">
        <x:v>Verify publisher, source and current function before reliance</x:v>
      </x:c>
      <x:c r="I1022" s="22" t="str">
        <x:v>Not checked</x:v>
      </x:c>
      <x:c r="J1022" s="22" t="str">
        <x:v>Saved bookmark metadata only</x:v>
      </x:c>
      <x:c r="K1022" s="22" t="str"/>
      <x:c r="L1022" s="24" t="str"/>
      <x:c r="M1022" s="24" t="str">
        <x:v>https://cybernews.com/personal-data-leak-check/</x:v>
      </x:c>
      <x:c r="N1022" s="22" t="str">
        <x:v>286013394</x:v>
      </x:c>
      <x:c r="O1022" s="22" t="n">
        <x:v>1046</x:v>
      </x:c>
      <x:c r="P1022" s="22" t="n">
        <x:v>4</x:v>
      </x:c>
      <x:c r="Q1022" s="22" t="str"/>
      <x:c r="R1022" s="22" t="n">
        <x:f>COUNTIF($M$6:$M$1177,M1022)</x:f>
        <x:v>1</x:v>
      </x:c>
      <x:c r="S1022" s="22" t="str">
        <x:v>Other / utility</x:v>
      </x:c>
      <x:c r="T1022" s="22" t="str">
        <x:v>Not established</x:v>
      </x:c>
    </x:row>
    <x:row r="1023" ht="48" customHeight="1">
      <x:c r="A1023" s="22" t="n">
        <x:v>1018</x:v>
      </x:c>
      <x:c r="B1023" s="22" t="str">
        <x:v>Intelligence X</x:v>
      </x:c>
      <x:c r="C1023" s="31" t="str">
        <x:v>U</x:v>
      </x:c>
      <x:c r="D1023" s="22" t="str">
        <x:v>Unassessed</x:v>
      </x:c>
      <x:c r="E1023" s="22" t="str">
        <x:v>DATA DUMP</x:v>
      </x:c>
      <x:c r="F1023" s="22" t="str">
        <x:v>Exposure-dataset discovery</x:v>
      </x:c>
      <x:c r="G1023" s="22" t="str">
        <x:v>A dataset match is not proof of identity, intentional membership or wrongdoing; raw data was not reviewed.</x:v>
      </x:c>
      <x:c r="H1023" s="22" t="str">
        <x:v>Verify publisher, source and current function before reliance</x:v>
      </x:c>
      <x:c r="I1023" s="22" t="str">
        <x:v>Not checked</x:v>
      </x:c>
      <x:c r="J1023" s="22" t="str">
        <x:v>Saved bookmark metadata only</x:v>
      </x:c>
      <x:c r="K1023" s="22" t="str"/>
      <x:c r="L1023" s="24" t="str"/>
      <x:c r="M1023" s="24" t="str">
        <x:v>https://intelx.io/</x:v>
      </x:c>
      <x:c r="N1023" s="22" t="str">
        <x:v>268376369</x:v>
      </x:c>
      <x:c r="O1023" s="22" t="n">
        <x:v>1046</x:v>
      </x:c>
      <x:c r="P1023" s="22" t="n">
        <x:v>5</x:v>
      </x:c>
      <x:c r="Q1023" s="22" t="str"/>
      <x:c r="R1023" s="22" t="n">
        <x:f>COUNTIF($M$6:$M$1177,M1023)</x:f>
        <x:v>1</x:v>
      </x:c>
      <x:c r="S1023" s="22" t="str">
        <x:v>Other / utility</x:v>
      </x:c>
      <x:c r="T1023" s="22" t="str">
        <x:v>Not established</x:v>
      </x:c>
    </x:row>
    <x:row r="1024" ht="48" customHeight="1">
      <x:c r="A1024" s="22" t="n">
        <x:v>1019</x:v>
      </x:c>
      <x:c r="B1024" s="22" t="str">
        <x:v>DDoSecrets</x:v>
      </x:c>
      <x:c r="C1024" s="31" t="str">
        <x:v>U</x:v>
      </x:c>
      <x:c r="D1024" s="22" t="str">
        <x:v>Unassessed</x:v>
      </x:c>
      <x:c r="E1024" s="22" t="str">
        <x:v>DATA DUMP</x:v>
      </x:c>
      <x:c r="F1024" s="22" t="str">
        <x:v>Exposure-dataset discovery</x:v>
      </x:c>
      <x:c r="G1024" s="22" t="str">
        <x:v>A dataset match is not proof of identity, intentional membership or wrongdoing; raw data was not reviewed.</x:v>
      </x:c>
      <x:c r="H1024" s="22" t="str">
        <x:v>Verify publisher, source and current function before reliance</x:v>
      </x:c>
      <x:c r="I1024" s="22" t="str">
        <x:v>Not checked</x:v>
      </x:c>
      <x:c r="J1024" s="22" t="str">
        <x:v>Saved bookmark metadata only</x:v>
      </x:c>
      <x:c r="K1024" s="22" t="str"/>
      <x:c r="L1024" s="24" t="str"/>
      <x:c r="M1024" s="24" t="str">
        <x:v>https://ddosecrets.com/wiki/Special:AllPages</x:v>
      </x:c>
      <x:c r="N1024" s="22" t="str">
        <x:v>289966110</x:v>
      </x:c>
      <x:c r="O1024" s="22" t="n">
        <x:v>1046</x:v>
      </x:c>
      <x:c r="P1024" s="22" t="n">
        <x:v>6</x:v>
      </x:c>
      <x:c r="Q1024" s="22" t="str"/>
      <x:c r="R1024" s="22" t="n">
        <x:f>COUNTIF($M$6:$M$1177,M1024)</x:f>
        <x:v>1</x:v>
      </x:c>
      <x:c r="S1024" s="22" t="str">
        <x:v>Other / utility</x:v>
      </x:c>
      <x:c r="T1024" s="22" t="str">
        <x:v>Not established</x:v>
      </x:c>
    </x:row>
    <x:row r="1025" ht="48" customHeight="1">
      <x:c r="A1025" s="22" t="n">
        <x:v>1020</x:v>
      </x:c>
      <x:c r="B1025" s="22" t="str">
        <x:v>Scylla.so</x:v>
      </x:c>
      <x:c r="C1025" s="31" t="str">
        <x:v>U</x:v>
      </x:c>
      <x:c r="D1025" s="22" t="str">
        <x:v>Unassessed</x:v>
      </x:c>
      <x:c r="E1025" s="22" t="str">
        <x:v>DATA DUMP</x:v>
      </x:c>
      <x:c r="F1025" s="22" t="str">
        <x:v>Exposure-dataset discovery</x:v>
      </x:c>
      <x:c r="G1025" s="22" t="str">
        <x:v>A dataset match is not proof of identity, intentional membership or wrongdoing; raw data was not reviewed.</x:v>
      </x:c>
      <x:c r="H1025" s="22" t="str">
        <x:v>Verify publisher, source and current function before reliance</x:v>
      </x:c>
      <x:c r="I1025" s="22" t="str">
        <x:v>Not checked</x:v>
      </x:c>
      <x:c r="J1025" s="22" t="str">
        <x:v>Saved bookmark metadata only</x:v>
      </x:c>
      <x:c r="K1025" s="22" t="str"/>
      <x:c r="L1025" s="24" t="str"/>
      <x:c r="M1025" s="24" t="str">
        <x:v>https://scylla.so/</x:v>
      </x:c>
      <x:c r="N1025" s="22" t="str">
        <x:v>289966024</x:v>
      </x:c>
      <x:c r="O1025" s="22" t="n">
        <x:v>1046</x:v>
      </x:c>
      <x:c r="P1025" s="22" t="n">
        <x:v>7</x:v>
      </x:c>
      <x:c r="Q1025" s="22" t="str"/>
      <x:c r="R1025" s="22" t="n">
        <x:f>COUNTIF($M$6:$M$1177,M1025)</x:f>
        <x:v>1</x:v>
      </x:c>
      <x:c r="S1025" s="22" t="str">
        <x:v>Other / utility</x:v>
      </x:c>
      <x:c r="T1025" s="22" t="str">
        <x:v>Not established</x:v>
      </x:c>
    </x:row>
    <x:row r="1026" ht="48" customHeight="1">
      <x:c r="A1026" s="22" t="n">
        <x:v>1021</x:v>
      </x:c>
      <x:c r="B1026" s="22" t="str">
        <x:v>Leakedpassword.com</x:v>
      </x:c>
      <x:c r="C1026" s="31" t="str">
        <x:v>U</x:v>
      </x:c>
      <x:c r="D1026" s="22" t="str">
        <x:v>Unassessed</x:v>
      </x:c>
      <x:c r="E1026" s="22" t="str">
        <x:v>DATA DUMP</x:v>
      </x:c>
      <x:c r="F1026" s="22" t="str">
        <x:v>Exposure-dataset discovery</x:v>
      </x:c>
      <x:c r="G1026" s="22" t="str">
        <x:v>A dataset match is not proof of identity, intentional membership or wrongdoing; raw data was not reviewed.</x:v>
      </x:c>
      <x:c r="H1026" s="22" t="str">
        <x:v>Verify publisher, source and current function before reliance</x:v>
      </x:c>
      <x:c r="I1026" s="22" t="str">
        <x:v>Not checked</x:v>
      </x:c>
      <x:c r="J1026" s="22" t="str">
        <x:v>Saved bookmark metadata only</x:v>
      </x:c>
      <x:c r="K1026" s="22" t="str"/>
      <x:c r="L1026" s="24" t="str"/>
      <x:c r="M1026" s="24" t="str">
        <x:v>https://leakedpassword.com/</x:v>
      </x:c>
      <x:c r="N1026" s="22" t="str">
        <x:v>268507774</x:v>
      </x:c>
      <x:c r="O1026" s="22" t="n">
        <x:v>1046</x:v>
      </x:c>
      <x:c r="P1026" s="22" t="n">
        <x:v>8</x:v>
      </x:c>
      <x:c r="Q1026" s="22" t="str"/>
      <x:c r="R1026" s="22" t="n">
        <x:f>COUNTIF($M$6:$M$1177,M1026)</x:f>
        <x:v>1</x:v>
      </x:c>
      <x:c r="S1026" s="22" t="str">
        <x:v>Other / utility</x:v>
      </x:c>
      <x:c r="T1026" s="22" t="str">
        <x:v>Not established</x:v>
      </x:c>
    </x:row>
    <x:row r="1027" ht="48" customHeight="1">
      <x:c r="A1027" s="22" t="n">
        <x:v>1022</x:v>
      </x:c>
      <x:c r="B1027" s="22" t="str">
        <x:v>DeHashed</x:v>
      </x:c>
      <x:c r="C1027" s="31" t="str">
        <x:v>U</x:v>
      </x:c>
      <x:c r="D1027" s="22" t="str">
        <x:v>Unassessed</x:v>
      </x:c>
      <x:c r="E1027" s="22" t="str">
        <x:v>DATA DUMP</x:v>
      </x:c>
      <x:c r="F1027" s="22" t="str">
        <x:v>Exposure-dataset discovery</x:v>
      </x:c>
      <x:c r="G1027" s="22" t="str">
        <x:v>A dataset match is not proof of identity, intentional membership or wrongdoing; raw data was not reviewed.</x:v>
      </x:c>
      <x:c r="H1027" s="22" t="str">
        <x:v>Verify publisher, source and current function before reliance</x:v>
      </x:c>
      <x:c r="I1027" s="22" t="str">
        <x:v>Not checked</x:v>
      </x:c>
      <x:c r="J1027" s="22" t="str">
        <x:v>Saved bookmark metadata only</x:v>
      </x:c>
      <x:c r="K1027" s="22" t="str"/>
      <x:c r="L1027" s="24" t="str"/>
      <x:c r="M1027" s="24" t="str">
        <x:v>https://dehashed.com/</x:v>
      </x:c>
      <x:c r="N1027" s="22" t="str">
        <x:v>268376388</x:v>
      </x:c>
      <x:c r="O1027" s="22" t="n">
        <x:v>1046</x:v>
      </x:c>
      <x:c r="P1027" s="22" t="n">
        <x:v>9</x:v>
      </x:c>
      <x:c r="Q1027" s="22" t="str"/>
      <x:c r="R1027" s="22" t="n">
        <x:f>COUNTIF($M$6:$M$1177,M1027)</x:f>
        <x:v>1</x:v>
      </x:c>
      <x:c r="S1027" s="22" t="str">
        <x:v>Other / utility</x:v>
      </x:c>
      <x:c r="T1027" s="22" t="str">
        <x:v>Not established</x:v>
      </x:c>
    </x:row>
    <x:row r="1028" ht="48" customHeight="1">
      <x:c r="A1028" s="22" t="n">
        <x:v>1023</x:v>
      </x:c>
      <x:c r="B1028" s="22" t="str">
        <x:v>Snusbase</x:v>
      </x:c>
      <x:c r="C1028" s="31" t="str">
        <x:v>U</x:v>
      </x:c>
      <x:c r="D1028" s="22" t="str">
        <x:v>Unassessed</x:v>
      </x:c>
      <x:c r="E1028" s="22" t="str">
        <x:v>DATA DUMP</x:v>
      </x:c>
      <x:c r="F1028" s="22" t="str">
        <x:v>Exposure-dataset discovery</x:v>
      </x:c>
      <x:c r="G1028" s="22" t="str">
        <x:v>A dataset match is not proof of identity, intentional membership or wrongdoing; raw data was not reviewed.</x:v>
      </x:c>
      <x:c r="H1028" s="22" t="str">
        <x:v>Verify publisher, source and current function before reliance</x:v>
      </x:c>
      <x:c r="I1028" s="22" t="str">
        <x:v>Not checked</x:v>
      </x:c>
      <x:c r="J1028" s="22" t="str">
        <x:v>Saved bookmark metadata only</x:v>
      </x:c>
      <x:c r="K1028" s="22" t="str"/>
      <x:c r="L1028" s="24" t="str"/>
      <x:c r="M1028" s="24" t="str">
        <x:v>https://www.snusbase.com/</x:v>
      </x:c>
      <x:c r="N1028" s="22" t="str">
        <x:v>268388658</x:v>
      </x:c>
      <x:c r="O1028" s="22" t="n">
        <x:v>1047</x:v>
      </x:c>
      <x:c r="P1028" s="22" t="n">
        <x:v>10</x:v>
      </x:c>
      <x:c r="Q1028" s="22" t="str"/>
      <x:c r="R1028" s="22" t="n">
        <x:f>COUNTIF($M$6:$M$1177,M1028)</x:f>
        <x:v>1</x:v>
      </x:c>
      <x:c r="S1028" s="22" t="str">
        <x:v>Other / utility</x:v>
      </x:c>
      <x:c r="T1028" s="22" t="str">
        <x:v>Not established</x:v>
      </x:c>
    </x:row>
    <x:row r="1029" ht="48" customHeight="1">
      <x:c r="A1029" s="22" t="n">
        <x:v>1024</x:v>
      </x:c>
      <x:c r="B1029" s="22" t="str">
        <x:v>Leaked.site</x:v>
      </x:c>
      <x:c r="C1029" s="31" t="str">
        <x:v>U</x:v>
      </x:c>
      <x:c r="D1029" s="22" t="str">
        <x:v>Unassessed</x:v>
      </x:c>
      <x:c r="E1029" s="22" t="str">
        <x:v>DATA DUMP</x:v>
      </x:c>
      <x:c r="F1029" s="22" t="str">
        <x:v>Exposure-dataset discovery</x:v>
      </x:c>
      <x:c r="G1029" s="22" t="str">
        <x:v>A dataset match is not proof of identity, intentional membership or wrongdoing; raw data was not reviewed.</x:v>
      </x:c>
      <x:c r="H1029" s="22" t="str">
        <x:v>Verify publisher, source and current function before reliance</x:v>
      </x:c>
      <x:c r="I1029" s="22" t="str">
        <x:v>Not checked</x:v>
      </x:c>
      <x:c r="J1029" s="22" t="str">
        <x:v>Saved bookmark metadata only</x:v>
      </x:c>
      <x:c r="K1029" s="22" t="str"/>
      <x:c r="L1029" s="24" t="str"/>
      <x:c r="M1029" s="24" t="str">
        <x:v>https://www.leaked.site/</x:v>
      </x:c>
      <x:c r="N1029" s="22" t="str">
        <x:v>268408480</x:v>
      </x:c>
      <x:c r="O1029" s="22" t="n">
        <x:v>1047</x:v>
      </x:c>
      <x:c r="P1029" s="22" t="n">
        <x:v>11</x:v>
      </x:c>
      <x:c r="Q1029" s="22" t="str"/>
      <x:c r="R1029" s="22" t="n">
        <x:f>COUNTIF($M$6:$M$1177,M1029)</x:f>
        <x:v>1</x:v>
      </x:c>
      <x:c r="S1029" s="22" t="str">
        <x:v>Other / utility</x:v>
      </x:c>
      <x:c r="T1029" s="22" t="str">
        <x:v>Not established</x:v>
      </x:c>
    </x:row>
    <x:row r="1030" ht="48" customHeight="1">
      <x:c r="A1030" s="22" t="n">
        <x:v>1025</x:v>
      </x:c>
      <x:c r="B1030" s="22" t="str">
        <x:v>Ashley Madison hacked email checker</x:v>
      </x:c>
      <x:c r="C1030" s="31" t="str">
        <x:v>U</x:v>
      </x:c>
      <x:c r="D1030" s="22" t="str">
        <x:v>Unassessed</x:v>
      </x:c>
      <x:c r="E1030" s="22" t="str">
        <x:v>DATA DUMP</x:v>
      </x:c>
      <x:c r="F1030" s="22" t="str">
        <x:v>Exposure-dataset discovery</x:v>
      </x:c>
      <x:c r="G1030" s="22" t="str">
        <x:v>A dataset match is not proof of identity, intentional membership or wrongdoing; raw data was not reviewed.</x:v>
      </x:c>
      <x:c r="H1030" s="22" t="str">
        <x:v>Verify publisher, source and current function before reliance</x:v>
      </x:c>
      <x:c r="I1030" s="22" t="str">
        <x:v>Not checked</x:v>
      </x:c>
      <x:c r="J1030" s="22" t="str">
        <x:v>Saved bookmark metadata only</x:v>
      </x:c>
      <x:c r="K1030" s="22" t="str"/>
      <x:c r="L1030" s="24" t="str"/>
      <x:c r="M1030" s="24" t="str">
        <x:v>https://ashley.cynic.al/</x:v>
      </x:c>
      <x:c r="N1030" s="22" t="str">
        <x:v>286105643</x:v>
      </x:c>
      <x:c r="O1030" s="22" t="n">
        <x:v>1047</x:v>
      </x:c>
      <x:c r="P1030" s="22" t="n">
        <x:v>12</x:v>
      </x:c>
      <x:c r="Q1030" s="22" t="str"/>
      <x:c r="R1030" s="22" t="n">
        <x:f>COUNTIF($M$6:$M$1177,M1030)</x:f>
        <x:v>1</x:v>
      </x:c>
      <x:c r="S1030" s="22" t="str">
        <x:v>Other / utility</x:v>
      </x:c>
      <x:c r="T1030" s="22" t="str">
        <x:v>Not established</x:v>
      </x:c>
    </x:row>
    <x:row r="1031" ht="48" customHeight="1">
      <x:c r="A1031" s="22" t="n">
        <x:v>1026</x:v>
      </x:c>
      <x:c r="B1031" s="22" t="str">
        <x:v>Search Ashley Madison Leaked Data</x:v>
      </x:c>
      <x:c r="C1031" s="31" t="str">
        <x:v>U</x:v>
      </x:c>
      <x:c r="D1031" s="22" t="str">
        <x:v>Unassessed</x:v>
      </x:c>
      <x:c r="E1031" s="22" t="str">
        <x:v>DATA DUMP</x:v>
      </x:c>
      <x:c r="F1031" s="22" t="str">
        <x:v>Exposure-dataset discovery</x:v>
      </x:c>
      <x:c r="G1031" s="22" t="str">
        <x:v>A dataset match is not proof of identity, intentional membership or wrongdoing; raw data was not reviewed.</x:v>
      </x:c>
      <x:c r="H1031" s="22" t="str">
        <x:v>Verify publisher, source and current function before reliance</x:v>
      </x:c>
      <x:c r="I1031" s="22" t="str">
        <x:v>Not checked</x:v>
      </x:c>
      <x:c r="J1031" s="22" t="str">
        <x:v>Saved bookmark metadata only</x:v>
      </x:c>
      <x:c r="K1031" s="22" t="str"/>
      <x:c r="L1031" s="24" t="str"/>
      <x:c r="M1031" s="24" t="str">
        <x:v>http://checkashleymadison.com/</x:v>
      </x:c>
      <x:c r="N1031" s="22" t="str">
        <x:v>286105584</x:v>
      </x:c>
      <x:c r="O1031" s="22" t="n">
        <x:v>1047</x:v>
      </x:c>
      <x:c r="P1031" s="22" t="n">
        <x:v>13</x:v>
      </x:c>
      <x:c r="Q1031" s="22" t="str"/>
      <x:c r="R1031" s="22" t="n">
        <x:f>COUNTIF($M$6:$M$1177,M1031)</x:f>
        <x:v>1</x:v>
      </x:c>
      <x:c r="S1031" s="22" t="str">
        <x:v>Other / utility</x:v>
      </x:c>
      <x:c r="T1031" s="22" t="str">
        <x:v>Not established</x:v>
      </x:c>
    </x:row>
    <x:row r="1032" ht="48" customHeight="1">
      <x:c r="A1032" s="22" t="n">
        <x:v>1027</x:v>
      </x:c>
      <x:c r="B1032" s="22" t="str">
        <x:v>Sony Archives</x:v>
      </x:c>
      <x:c r="C1032" s="31" t="str">
        <x:v>U</x:v>
      </x:c>
      <x:c r="D1032" s="22" t="str">
        <x:v>Unassessed</x:v>
      </x:c>
      <x:c r="E1032" s="22" t="str">
        <x:v>DATA DUMP</x:v>
      </x:c>
      <x:c r="F1032" s="22" t="str">
        <x:v>Exposure-dataset discovery</x:v>
      </x:c>
      <x:c r="G1032" s="22" t="str">
        <x:v>A dataset match is not proof of identity, intentional membership or wrongdoing; raw data was not reviewed.</x:v>
      </x:c>
      <x:c r="H1032" s="22" t="str">
        <x:v>Verify publisher, source and current function before reliance</x:v>
      </x:c>
      <x:c r="I1032" s="22" t="str">
        <x:v>Not checked</x:v>
      </x:c>
      <x:c r="J1032" s="22" t="str">
        <x:v>Saved bookmark metadata only</x:v>
      </x:c>
      <x:c r="K1032" s="22" t="str"/>
      <x:c r="L1032" s="24" t="str"/>
      <x:c r="M1032" s="24" t="str">
        <x:v>https://wikileaks.org/sony/emails/</x:v>
      </x:c>
      <x:c r="N1032" s="22" t="str">
        <x:v>286105645</x:v>
      </x:c>
      <x:c r="O1032" s="22" t="n">
        <x:v>1047</x:v>
      </x:c>
      <x:c r="P1032" s="22" t="n">
        <x:v>14</x:v>
      </x:c>
      <x:c r="Q1032" s="22" t="str"/>
      <x:c r="R1032" s="22" t="n">
        <x:f>COUNTIF($M$6:$M$1177,M1032)</x:f>
        <x:v>1</x:v>
      </x:c>
      <x:c r="S1032" s="22" t="str">
        <x:v>Other / utility</x:v>
      </x:c>
      <x:c r="T1032" s="22" t="str">
        <x:v>Not established</x:v>
      </x:c>
    </x:row>
    <x:row r="1033" ht="48" customHeight="1">
      <x:c r="A1033" s="22" t="n">
        <x:v>1028</x:v>
      </x:c>
      <x:c r="B1033" s="22" t="str">
        <x:v>qoob's datasets</x:v>
      </x:c>
      <x:c r="C1033" s="31" t="str">
        <x:v>U</x:v>
      </x:c>
      <x:c r="D1033" s="22" t="str">
        <x:v>Unassessed</x:v>
      </x:c>
      <x:c r="E1033" s="22" t="str">
        <x:v>DATA DUMP</x:v>
      </x:c>
      <x:c r="F1033" s="22" t="str">
        <x:v>Exposure-dataset discovery</x:v>
      </x:c>
      <x:c r="G1033" s="22" t="str">
        <x:v>A dataset match is not proof of identity, intentional membership or wrongdoing; raw data was not reviewed.</x:v>
      </x:c>
      <x:c r="H1033" s="22" t="str">
        <x:v>Verify publisher, source and current function before reliance</x:v>
      </x:c>
      <x:c r="I1033" s="22" t="str">
        <x:v>Not checked</x:v>
      </x:c>
      <x:c r="J1033" s="22" t="str">
        <x:v>Saved bookmark metadata only</x:v>
      </x:c>
      <x:c r="K1033" s="22" t="str"/>
      <x:c r="L1033" s="24" t="str"/>
      <x:c r="M1033" s="24" t="str">
        <x:v>https://qoob.keybase.pub/</x:v>
      </x:c>
      <x:c r="N1033" s="22" t="str">
        <x:v>323363443</x:v>
      </x:c>
      <x:c r="O1033" s="22" t="n">
        <x:v>1047</x:v>
      </x:c>
      <x:c r="P1033" s="22" t="n">
        <x:v>15</x:v>
      </x:c>
      <x:c r="Q1033" s="22" t="str"/>
      <x:c r="R1033" s="22" t="n">
        <x:f>COUNTIF($M$6:$M$1177,M1033)</x:f>
        <x:v>1</x:v>
      </x:c>
      <x:c r="S1033" s="22" t="str">
        <x:v>Other / utility</x:v>
      </x:c>
      <x:c r="T1033" s="22" t="str">
        <x:v>Not established</x:v>
      </x:c>
    </x:row>
    <x:row r="1034" ht="48" customHeight="1">
      <x:c r="A1034" s="22" t="n">
        <x:v>1029</x:v>
      </x:c>
      <x:c r="B1034" s="22" t="str">
        <x:v>Facebook Data Breach Checker</x:v>
      </x:c>
      <x:c r="C1034" s="31" t="str">
        <x:v>U</x:v>
      </x:c>
      <x:c r="D1034" s="22" t="str">
        <x:v>Unassessed</x:v>
      </x:c>
      <x:c r="E1034" s="22" t="str">
        <x:v>DATA DUMP</x:v>
      </x:c>
      <x:c r="F1034" s="22" t="str">
        <x:v>Exposure-dataset discovery</x:v>
      </x:c>
      <x:c r="G1034" s="22" t="str">
        <x:v>A dataset match is not proof of identity, intentional membership or wrongdoing; raw data was not reviewed.</x:v>
      </x:c>
      <x:c r="H1034" s="22" t="str">
        <x:v>Verify publisher, source and current function before reliance</x:v>
      </x:c>
      <x:c r="I1034" s="22" t="str">
        <x:v>Not checked</x:v>
      </x:c>
      <x:c r="J1034" s="22" t="str">
        <x:v>Saved bookmark metadata only</x:v>
      </x:c>
      <x:c r="K1034" s="22" t="str"/>
      <x:c r="L1034" s="24" t="str"/>
      <x:c r="M1034" s="24" t="str">
        <x:v>https://haveibeenzuckered.com/</x:v>
      </x:c>
      <x:c r="N1034" s="22" t="str">
        <x:v>327023784</x:v>
      </x:c>
      <x:c r="O1034" s="22" t="n">
        <x:v>1047</x:v>
      </x:c>
      <x:c r="P1034" s="22" t="n">
        <x:v>16</x:v>
      </x:c>
      <x:c r="Q1034" s="22" t="str"/>
      <x:c r="R1034" s="22" t="n">
        <x:f>COUNTIF($M$6:$M$1177,M1034)</x:f>
        <x:v>1</x:v>
      </x:c>
      <x:c r="S1034" s="22" t="str">
        <x:v>Other / utility</x:v>
      </x:c>
      <x:c r="T1034" s="22" t="str">
        <x:v>Not established</x:v>
      </x:c>
    </x:row>
    <x:row r="1035" ht="54" customHeight="1">
      <x:c r="A1035" s="22" t="n">
        <x:v>1030</x:v>
      </x:c>
      <x:c r="B1035" s="22" t="str">
        <x:v>Search for US Voters with Custom Search Engines #OSINT | Boolean Strings</x:v>
      </x:c>
      <x:c r="C1035" s="31" t="str">
        <x:v>U</x:v>
      </x:c>
      <x:c r="D1035" s="22" t="str">
        <x:v>Unassessed</x:v>
      </x:c>
      <x:c r="E1035" s="22" t="str">
        <x:v>VOTER DATABASES</x:v>
      </x:c>
      <x:c r="F1035" s="22" t="str">
        <x:v>Voter-record information</x:v>
      </x:c>
      <x:c r="G1035" s="22" t="str">
        <x:v>Verify the originating election record and date; a mirror or household match is not proof of a relationship.</x:v>
      </x:c>
      <x:c r="H1035" s="22" t="str">
        <x:v>Verify publisher, source and current function before reliance</x:v>
      </x:c>
      <x:c r="I1035" s="22" t="str">
        <x:v>Not checked</x:v>
      </x:c>
      <x:c r="J1035" s="22" t="str">
        <x:v>Saved bookmark metadata only</x:v>
      </x:c>
      <x:c r="K1035" s="22" t="str"/>
      <x:c r="L1035" s="24" t="str"/>
      <x:c r="M1035" s="24" t="str">
        <x:v>https://booleanstrings.com/2021/07/15/search-for-us-voters-with-custom-search-engines-osint/</x:v>
      </x:c>
      <x:c r="N1035" s="22" t="str">
        <x:v>287837925</x:v>
      </x:c>
      <x:c r="O1035" s="22" t="n">
        <x:v>1047</x:v>
      </x:c>
      <x:c r="P1035" s="22" t="n">
        <x:v>1</x:v>
      </x:c>
      <x:c r="Q1035" s="22" t="str"/>
      <x:c r="R1035" s="22" t="n">
        <x:f>COUNTIF($M$6:$M$1177,M1035)</x:f>
        <x:v>1</x:v>
      </x:c>
      <x:c r="S1035" s="22" t="str">
        <x:v>Other / utility</x:v>
      </x:c>
      <x:c r="T1035" s="22" t="str">
        <x:v>Not established</x:v>
      </x:c>
    </x:row>
    <x:row r="1036" ht="48" customHeight="1">
      <x:c r="A1036" s="22" t="n">
        <x:v>1031</x:v>
      </x:c>
      <x:c r="B1036" s="22" t="str">
        <x:v>Washington State Voter Database</x:v>
      </x:c>
      <x:c r="C1036" s="31" t="str">
        <x:v>U</x:v>
      </x:c>
      <x:c r="D1036" s="22" t="str">
        <x:v>Unassessed</x:v>
      </x:c>
      <x:c r="E1036" s="22" t="str">
        <x:v>VOTER DATABASES</x:v>
      </x:c>
      <x:c r="F1036" s="22" t="str">
        <x:v>Voter-record information</x:v>
      </x:c>
      <x:c r="G1036" s="22" t="str">
        <x:v>Verify the originating election record and date; a mirror or household match is not proof of a relationship.</x:v>
      </x:c>
      <x:c r="H1036" s="22" t="str">
        <x:v>Verify publisher, source and current function before reliance</x:v>
      </x:c>
      <x:c r="I1036" s="22" t="str">
        <x:v>Not checked</x:v>
      </x:c>
      <x:c r="J1036" s="22" t="str">
        <x:v>Saved bookmark metadata only</x:v>
      </x:c>
      <x:c r="K1036" s="22" t="str"/>
      <x:c r="L1036" s="24" t="str"/>
      <x:c r="M1036" s="24" t="str">
        <x:v>http://www.soundpolitics.com/voterlookup.html</x:v>
      </x:c>
      <x:c r="N1036" s="22" t="str">
        <x:v>268395578</x:v>
      </x:c>
      <x:c r="O1036" s="22" t="n">
        <x:v>1047</x:v>
      </x:c>
      <x:c r="P1036" s="22" t="n">
        <x:v>2</x:v>
      </x:c>
      <x:c r="Q1036" s="22" t="str"/>
      <x:c r="R1036" s="22" t="n">
        <x:f>COUNTIF($M$6:$M$1177,M1036)</x:f>
        <x:v>1</x:v>
      </x:c>
      <x:c r="S1036" s="22" t="str">
        <x:v>Other / utility</x:v>
      </x:c>
      <x:c r="T1036" s="22" t="str">
        <x:v>Not established</x:v>
      </x:c>
    </x:row>
    <x:row r="1037" ht="48" customHeight="1">
      <x:c r="A1037" s="22" t="n">
        <x:v>1032</x:v>
      </x:c>
      <x:c r="B1037" s="22" t="str">
        <x:v>Arkvoters.com</x:v>
      </x:c>
      <x:c r="C1037" s="31" t="str">
        <x:v>U</x:v>
      </x:c>
      <x:c r="D1037" s="22" t="str">
        <x:v>Unassessed</x:v>
      </x:c>
      <x:c r="E1037" s="22" t="str">
        <x:v>VOTER DATABASES</x:v>
      </x:c>
      <x:c r="F1037" s="22" t="str">
        <x:v>Voter-record information</x:v>
      </x:c>
      <x:c r="G1037" s="22" t="str">
        <x:v>Verify the originating election record and date; a mirror or household match is not proof of a relationship.</x:v>
      </x:c>
      <x:c r="H1037" s="22" t="str">
        <x:v>Verify publisher, source and current function before reliance</x:v>
      </x:c>
      <x:c r="I1037" s="22" t="str">
        <x:v>Not checked</x:v>
      </x:c>
      <x:c r="J1037" s="22" t="str">
        <x:v>Saved bookmark metadata only</x:v>
      </x:c>
      <x:c r="K1037" s="22" t="str"/>
      <x:c r="L1037" s="24" t="str"/>
      <x:c r="M1037" s="24" t="str">
        <x:v>https://arkvoters.com/</x:v>
      </x:c>
      <x:c r="N1037" s="22" t="str">
        <x:v>268392887</x:v>
      </x:c>
      <x:c r="O1037" s="22" t="n">
        <x:v>1047</x:v>
      </x:c>
      <x:c r="P1037" s="22" t="n">
        <x:v>3</x:v>
      </x:c>
      <x:c r="Q1037" s="22" t="str"/>
      <x:c r="R1037" s="22" t="n">
        <x:f>COUNTIF($M$6:$M$1177,M1037)</x:f>
        <x:v>1</x:v>
      </x:c>
      <x:c r="S1037" s="22" t="str">
        <x:v>Other / utility</x:v>
      </x:c>
      <x:c r="T1037" s="22" t="str">
        <x:v>Not established</x:v>
      </x:c>
    </x:row>
    <x:row r="1038" ht="48" customHeight="1">
      <x:c r="A1038" s="22" t="n">
        <x:v>1033</x:v>
      </x:c>
      <x:c r="B1038" s="22" t="str">
        <x:v>Coloradovoters.info</x:v>
      </x:c>
      <x:c r="C1038" s="31" t="str">
        <x:v>U</x:v>
      </x:c>
      <x:c r="D1038" s="22" t="str">
        <x:v>Unassessed</x:v>
      </x:c>
      <x:c r="E1038" s="22" t="str">
        <x:v>VOTER DATABASES</x:v>
      </x:c>
      <x:c r="F1038" s="22" t="str">
        <x:v>Voter-record information</x:v>
      </x:c>
      <x:c r="G1038" s="22" t="str">
        <x:v>Verify the originating election record and date; a mirror or household match is not proof of a relationship.</x:v>
      </x:c>
      <x:c r="H1038" s="22" t="str">
        <x:v>Verify publisher, source and current function before reliance</x:v>
      </x:c>
      <x:c r="I1038" s="22" t="str">
        <x:v>Not checked</x:v>
      </x:c>
      <x:c r="J1038" s="22" t="str">
        <x:v>Saved bookmark metadata only</x:v>
      </x:c>
      <x:c r="K1038" s="22" t="str"/>
      <x:c r="L1038" s="24" t="str"/>
      <x:c r="M1038" s="24" t="str">
        <x:v>https://coloradovoters.info/</x:v>
      </x:c>
      <x:c r="N1038" s="22" t="str">
        <x:v>268392906</x:v>
      </x:c>
      <x:c r="O1038" s="22" t="n">
        <x:v>1047</x:v>
      </x:c>
      <x:c r="P1038" s="22" t="n">
        <x:v>4</x:v>
      </x:c>
      <x:c r="Q1038" s="22" t="str"/>
      <x:c r="R1038" s="22" t="n">
        <x:f>COUNTIF($M$6:$M$1177,M1038)</x:f>
        <x:v>1</x:v>
      </x:c>
      <x:c r="S1038" s="22" t="str">
        <x:v>Other / utility</x:v>
      </x:c>
      <x:c r="T1038" s="22" t="str">
        <x:v>Not established</x:v>
      </x:c>
    </x:row>
    <x:row r="1039" ht="48" customHeight="1">
      <x:c r="A1039" s="22" t="n">
        <x:v>1034</x:v>
      </x:c>
      <x:c r="B1039" s="22" t="str">
        <x:v>Delawarevoters.info</x:v>
      </x:c>
      <x:c r="C1039" s="31" t="str">
        <x:v>U</x:v>
      </x:c>
      <x:c r="D1039" s="22" t="str">
        <x:v>Unassessed</x:v>
      </x:c>
      <x:c r="E1039" s="22" t="str">
        <x:v>VOTER DATABASES</x:v>
      </x:c>
      <x:c r="F1039" s="22" t="str">
        <x:v>Voter-record information</x:v>
      </x:c>
      <x:c r="G1039" s="22" t="str">
        <x:v>Verify the originating election record and date; a mirror or household match is not proof of a relationship.</x:v>
      </x:c>
      <x:c r="H1039" s="22" t="str">
        <x:v>Verify publisher, source and current function before reliance</x:v>
      </x:c>
      <x:c r="I1039" s="22" t="str">
        <x:v>Not checked</x:v>
      </x:c>
      <x:c r="J1039" s="22" t="str">
        <x:v>Saved bookmark metadata only</x:v>
      </x:c>
      <x:c r="K1039" s="22" t="str"/>
      <x:c r="L1039" s="24" t="str"/>
      <x:c r="M1039" s="24" t="str">
        <x:v>http://delawarevoters.info/</x:v>
      </x:c>
      <x:c r="N1039" s="22" t="str">
        <x:v>268392911</x:v>
      </x:c>
      <x:c r="O1039" s="22" t="n">
        <x:v>1047</x:v>
      </x:c>
      <x:c r="P1039" s="22" t="n">
        <x:v>5</x:v>
      </x:c>
      <x:c r="Q1039" s="22" t="str"/>
      <x:c r="R1039" s="22" t="n">
        <x:f>COUNTIF($M$6:$M$1177,M1039)</x:f>
        <x:v>1</x:v>
      </x:c>
      <x:c r="S1039" s="22" t="str">
        <x:v>Other / utility</x:v>
      </x:c>
      <x:c r="T1039" s="22" t="str">
        <x:v>Not established</x:v>
      </x:c>
    </x:row>
    <x:row r="1040" ht="48" customHeight="1">
      <x:c r="A1040" s="22" t="n">
        <x:v>1035</x:v>
      </x:c>
      <x:c r="B1040" s="22" t="str">
        <x:v>Flvoters.com</x:v>
      </x:c>
      <x:c r="C1040" s="31" t="str">
        <x:v>U</x:v>
      </x:c>
      <x:c r="D1040" s="22" t="str">
        <x:v>Unassessed</x:v>
      </x:c>
      <x:c r="E1040" s="22" t="str">
        <x:v>VOTER DATABASES</x:v>
      </x:c>
      <x:c r="F1040" s="22" t="str">
        <x:v>Voter-record information</x:v>
      </x:c>
      <x:c r="G1040" s="22" t="str">
        <x:v>Verify the originating election record and date; a mirror or household match is not proof of a relationship.</x:v>
      </x:c>
      <x:c r="H1040" s="22" t="str">
        <x:v>Verify publisher, source and current function before reliance</x:v>
      </x:c>
      <x:c r="I1040" s="22" t="str">
        <x:v>Not checked</x:v>
      </x:c>
      <x:c r="J1040" s="22" t="str">
        <x:v>Saved bookmark metadata only</x:v>
      </x:c>
      <x:c r="K1040" s="22" t="str"/>
      <x:c r="L1040" s="24" t="str"/>
      <x:c r="M1040" s="24" t="str">
        <x:v>https://flvoters.com/</x:v>
      </x:c>
      <x:c r="N1040" s="22" t="str">
        <x:v>268392938</x:v>
      </x:c>
      <x:c r="O1040" s="22" t="n">
        <x:v>1047</x:v>
      </x:c>
      <x:c r="P1040" s="22" t="n">
        <x:v>6</x:v>
      </x:c>
      <x:c r="Q1040" s="22" t="str"/>
      <x:c r="R1040" s="22" t="n">
        <x:f>COUNTIF($M$6:$M$1177,M1040)</x:f>
        <x:v>1</x:v>
      </x:c>
      <x:c r="S1040" s="22" t="str">
        <x:v>Other / utility</x:v>
      </x:c>
      <x:c r="T1040" s="22" t="str">
        <x:v>Not established</x:v>
      </x:c>
    </x:row>
    <x:row r="1041" ht="48" customHeight="1">
      <x:c r="A1041" s="22" t="n">
        <x:v>1036</x:v>
      </x:c>
      <x:c r="B1041" s="22" t="str">
        <x:v>Georgia-voters.com</x:v>
      </x:c>
      <x:c r="C1041" s="31" t="str">
        <x:v>U</x:v>
      </x:c>
      <x:c r="D1041" s="22" t="str">
        <x:v>Unassessed</x:v>
      </x:c>
      <x:c r="E1041" s="22" t="str">
        <x:v>VOTER DATABASES</x:v>
      </x:c>
      <x:c r="F1041" s="22" t="str">
        <x:v>Voter-record information</x:v>
      </x:c>
      <x:c r="G1041" s="22" t="str">
        <x:v>Verify the originating election record and date; a mirror or household match is not proof of a relationship.</x:v>
      </x:c>
      <x:c r="H1041" s="22" t="str">
        <x:v>Verify publisher, source and current function before reliance</x:v>
      </x:c>
      <x:c r="I1041" s="22" t="str">
        <x:v>Not checked</x:v>
      </x:c>
      <x:c r="J1041" s="22" t="str">
        <x:v>Saved bookmark metadata only</x:v>
      </x:c>
      <x:c r="K1041" s="22" t="str"/>
      <x:c r="L1041" s="24" t="str"/>
      <x:c r="M1041" s="24" t="str">
        <x:v>https://georgia-voters.com/</x:v>
      </x:c>
      <x:c r="N1041" s="22" t="str">
        <x:v>286015430</x:v>
      </x:c>
      <x:c r="O1041" s="22" t="n">
        <x:v>1047</x:v>
      </x:c>
      <x:c r="P1041" s="22" t="n">
        <x:v>7</x:v>
      </x:c>
      <x:c r="Q1041" s="22" t="str"/>
      <x:c r="R1041" s="22" t="n">
        <x:f>COUNTIF($M$6:$M$1177,M1041)</x:f>
        <x:v>1</x:v>
      </x:c>
      <x:c r="S1041" s="22" t="str">
        <x:v>Other / utility</x:v>
      </x:c>
      <x:c r="T1041" s="22" t="str">
        <x:v>Not established</x:v>
      </x:c>
    </x:row>
    <x:row r="1042" ht="48" customHeight="1">
      <x:c r="A1042" s="22" t="n">
        <x:v>1037</x:v>
      </x:c>
      <x:c r="B1042" s="22" t="str">
        <x:v>Connvoters.com</x:v>
      </x:c>
      <x:c r="C1042" s="31" t="str">
        <x:v>U</x:v>
      </x:c>
      <x:c r="D1042" s="22" t="str">
        <x:v>Unassessed</x:v>
      </x:c>
      <x:c r="E1042" s="22" t="str">
        <x:v>VOTER DATABASES</x:v>
      </x:c>
      <x:c r="F1042" s="22" t="str">
        <x:v>Voter-record information</x:v>
      </x:c>
      <x:c r="G1042" s="22" t="str">
        <x:v>Verify the originating election record and date; a mirror or household match is not proof of a relationship.</x:v>
      </x:c>
      <x:c r="H1042" s="22" t="str">
        <x:v>Verify publisher, source and current function before reliance</x:v>
      </x:c>
      <x:c r="I1042" s="22" t="str">
        <x:v>Not checked</x:v>
      </x:c>
      <x:c r="J1042" s="22" t="str">
        <x:v>Saved bookmark metadata only</x:v>
      </x:c>
      <x:c r="K1042" s="22" t="str"/>
      <x:c r="L1042" s="24" t="str"/>
      <x:c r="M1042" s="24" t="str">
        <x:v>https://connvoters.com/</x:v>
      </x:c>
      <x:c r="N1042" s="22" t="str">
        <x:v>268392908</x:v>
      </x:c>
      <x:c r="O1042" s="22" t="n">
        <x:v>1047</x:v>
      </x:c>
      <x:c r="P1042" s="22" t="n">
        <x:v>8</x:v>
      </x:c>
      <x:c r="Q1042" s="22" t="str"/>
      <x:c r="R1042" s="22" t="n">
        <x:f>COUNTIF($M$6:$M$1177,M1042)</x:f>
        <x:v>1</x:v>
      </x:c>
      <x:c r="S1042" s="22" t="str">
        <x:v>Other / utility</x:v>
      </x:c>
      <x:c r="T1042" s="22" t="str">
        <x:v>Not established</x:v>
      </x:c>
    </x:row>
    <x:row r="1043" ht="48" customHeight="1">
      <x:c r="A1043" s="22" t="n">
        <x:v>1038</x:v>
      </x:c>
      <x:c r="B1043" s="22" t="str">
        <x:v>Michiganvoters.info</x:v>
      </x:c>
      <x:c r="C1043" s="31" t="str">
        <x:v>U</x:v>
      </x:c>
      <x:c r="D1043" s="22" t="str">
        <x:v>Unassessed</x:v>
      </x:c>
      <x:c r="E1043" s="22" t="str">
        <x:v>VOTER DATABASES</x:v>
      </x:c>
      <x:c r="F1043" s="22" t="str">
        <x:v>Voter-record information</x:v>
      </x:c>
      <x:c r="G1043" s="22" t="str">
        <x:v>Verify the originating election record and date; a mirror or household match is not proof of a relationship.</x:v>
      </x:c>
      <x:c r="H1043" s="22" t="str">
        <x:v>Verify publisher, source and current function before reliance</x:v>
      </x:c>
      <x:c r="I1043" s="22" t="str">
        <x:v>Not checked</x:v>
      </x:c>
      <x:c r="J1043" s="22" t="str">
        <x:v>Saved bookmark metadata only</x:v>
      </x:c>
      <x:c r="K1043" s="22" t="str"/>
      <x:c r="L1043" s="24" t="str"/>
      <x:c r="M1043" s="24" t="str">
        <x:v>https://michiganvoters.info/</x:v>
      </x:c>
      <x:c r="N1043" s="22" t="str">
        <x:v>268392940</x:v>
      </x:c>
      <x:c r="O1043" s="22" t="n">
        <x:v>1047</x:v>
      </x:c>
      <x:c r="P1043" s="22" t="n">
        <x:v>9</x:v>
      </x:c>
      <x:c r="Q1043" s="22" t="str"/>
      <x:c r="R1043" s="22" t="n">
        <x:f>COUNTIF($M$6:$M$1177,M1043)</x:f>
        <x:v>1</x:v>
      </x:c>
      <x:c r="S1043" s="22" t="str">
        <x:v>Other / utility</x:v>
      </x:c>
      <x:c r="T1043" s="22" t="str">
        <x:v>Not established</x:v>
      </x:c>
    </x:row>
    <x:row r="1044" ht="48" customHeight="1">
      <x:c r="A1044" s="22" t="n">
        <x:v>1039</x:v>
      </x:c>
      <x:c r="B1044" s="22" t="str">
        <x:v>Ohiovoters.us</x:v>
      </x:c>
      <x:c r="C1044" s="31" t="str">
        <x:v>U</x:v>
      </x:c>
      <x:c r="D1044" s="22" t="str">
        <x:v>Unassessed</x:v>
      </x:c>
      <x:c r="E1044" s="22" t="str">
        <x:v>VOTER DATABASES</x:v>
      </x:c>
      <x:c r="F1044" s="22" t="str">
        <x:v>Voter-record information</x:v>
      </x:c>
      <x:c r="G1044" s="22" t="str">
        <x:v>Verify the originating election record and date; a mirror or household match is not proof of a relationship.</x:v>
      </x:c>
      <x:c r="H1044" s="22" t="str">
        <x:v>Verify publisher, source and current function before reliance</x:v>
      </x:c>
      <x:c r="I1044" s="22" t="str">
        <x:v>Not checked</x:v>
      </x:c>
      <x:c r="J1044" s="22" t="str">
        <x:v>Saved bookmark metadata only</x:v>
      </x:c>
      <x:c r="K1044" s="22" t="str"/>
      <x:c r="L1044" s="24" t="str"/>
      <x:c r="M1044" s="24" t="str">
        <x:v>http://ohiovoters.us/</x:v>
      </x:c>
      <x:c r="N1044" s="22" t="str">
        <x:v>268392942</x:v>
      </x:c>
      <x:c r="O1044" s="22" t="n">
        <x:v>1047</x:v>
      </x:c>
      <x:c r="P1044" s="22" t="n">
        <x:v>10</x:v>
      </x:c>
      <x:c r="Q1044" s="22" t="str"/>
      <x:c r="R1044" s="22" t="n">
        <x:f>COUNTIF($M$6:$M$1177,M1044)</x:f>
        <x:v>1</x:v>
      </x:c>
      <x:c r="S1044" s="22" t="str">
        <x:v>Other / utility</x:v>
      </x:c>
      <x:c r="T1044" s="22" t="str">
        <x:v>Not established</x:v>
      </x:c>
    </x:row>
    <x:row r="1045" ht="48" customHeight="1">
      <x:c r="A1045" s="22" t="n">
        <x:v>1040</x:v>
      </x:c>
      <x:c r="B1045" s="22" t="str">
        <x:v>Oklavoters.com</x:v>
      </x:c>
      <x:c r="C1045" s="31" t="str">
        <x:v>U</x:v>
      </x:c>
      <x:c r="D1045" s="22" t="str">
        <x:v>Unassessed</x:v>
      </x:c>
      <x:c r="E1045" s="22" t="str">
        <x:v>VOTER DATABASES</x:v>
      </x:c>
      <x:c r="F1045" s="22" t="str">
        <x:v>Voter-record information</x:v>
      </x:c>
      <x:c r="G1045" s="22" t="str">
        <x:v>Verify the originating election record and date; a mirror or household match is not proof of a relationship.</x:v>
      </x:c>
      <x:c r="H1045" s="22" t="str">
        <x:v>Verify publisher, source and current function before reliance</x:v>
      </x:c>
      <x:c r="I1045" s="22" t="str">
        <x:v>Not checked</x:v>
      </x:c>
      <x:c r="J1045" s="22" t="str">
        <x:v>Saved bookmark metadata only</x:v>
      </x:c>
      <x:c r="K1045" s="22" t="str"/>
      <x:c r="L1045" s="24" t="str"/>
      <x:c r="M1045" s="24" t="str">
        <x:v>http://oklavoters.com/</x:v>
      </x:c>
      <x:c r="N1045" s="22" t="str">
        <x:v>268392850</x:v>
      </x:c>
      <x:c r="O1045" s="22" t="n">
        <x:v>1047</x:v>
      </x:c>
      <x:c r="P1045" s="22" t="n">
        <x:v>11</x:v>
      </x:c>
      <x:c r="Q1045" s="22" t="str"/>
      <x:c r="R1045" s="22" t="n">
        <x:f>COUNTIF($M$6:$M$1177,M1045)</x:f>
        <x:v>1</x:v>
      </x:c>
      <x:c r="S1045" s="22" t="str">
        <x:v>Other / utility</x:v>
      </x:c>
      <x:c r="T1045" s="22" t="str">
        <x:v>Not established</x:v>
      </x:c>
    </x:row>
    <x:row r="1046" ht="48" customHeight="1">
      <x:c r="A1046" s="22" t="n">
        <x:v>1041</x:v>
      </x:c>
      <x:c r="B1046" s="22" t="str">
        <x:v>Rivoters.com</x:v>
      </x:c>
      <x:c r="C1046" s="31" t="str">
        <x:v>U</x:v>
      </x:c>
      <x:c r="D1046" s="22" t="str">
        <x:v>Unassessed</x:v>
      </x:c>
      <x:c r="E1046" s="22" t="str">
        <x:v>VOTER DATABASES</x:v>
      </x:c>
      <x:c r="F1046" s="22" t="str">
        <x:v>Voter-record information</x:v>
      </x:c>
      <x:c r="G1046" s="22" t="str">
        <x:v>Verify the originating election record and date; a mirror or household match is not proof of a relationship.</x:v>
      </x:c>
      <x:c r="H1046" s="22" t="str">
        <x:v>Verify publisher, source and current function before reliance</x:v>
      </x:c>
      <x:c r="I1046" s="22" t="str">
        <x:v>Not checked</x:v>
      </x:c>
      <x:c r="J1046" s="22" t="str">
        <x:v>Saved bookmark metadata only</x:v>
      </x:c>
      <x:c r="K1046" s="22" t="str"/>
      <x:c r="L1046" s="24" t="str"/>
      <x:c r="M1046" s="24" t="str">
        <x:v>https://rivoters.com/</x:v>
      </x:c>
      <x:c r="N1046" s="22" t="str">
        <x:v>268392943</x:v>
      </x:c>
      <x:c r="O1046" s="22" t="n">
        <x:v>1047</x:v>
      </x:c>
      <x:c r="P1046" s="22" t="n">
        <x:v>12</x:v>
      </x:c>
      <x:c r="Q1046" s="22" t="str"/>
      <x:c r="R1046" s="22" t="n">
        <x:f>COUNTIF($M$6:$M$1177,M1046)</x:f>
        <x:v>1</x:v>
      </x:c>
      <x:c r="S1046" s="22" t="str">
        <x:v>Other / utility</x:v>
      </x:c>
      <x:c r="T1046" s="22" t="str">
        <x:v>Not established</x:v>
      </x:c>
    </x:row>
    <x:row r="1047" ht="48" customHeight="1">
      <x:c r="A1047" s="22" t="n">
        <x:v>1042</x:v>
      </x:c>
      <x:c r="B1047" s="22" t="str">
        <x:v>Wiscvoters.com</x:v>
      </x:c>
      <x:c r="C1047" s="31" t="str">
        <x:v>U</x:v>
      </x:c>
      <x:c r="D1047" s="22" t="str">
        <x:v>Unassessed</x:v>
      </x:c>
      <x:c r="E1047" s="22" t="str">
        <x:v>VOTER DATABASES</x:v>
      </x:c>
      <x:c r="F1047" s="22" t="str">
        <x:v>Voter-record information</x:v>
      </x:c>
      <x:c r="G1047" s="22" t="str">
        <x:v>Verify the originating election record and date; a mirror or household match is not proof of a relationship.</x:v>
      </x:c>
      <x:c r="H1047" s="22" t="str">
        <x:v>Verify publisher, source and current function before reliance</x:v>
      </x:c>
      <x:c r="I1047" s="22" t="str">
        <x:v>Not checked</x:v>
      </x:c>
      <x:c r="J1047" s="22" t="str">
        <x:v>Saved bookmark metadata only</x:v>
      </x:c>
      <x:c r="K1047" s="22" t="str"/>
      <x:c r="L1047" s="24" t="str"/>
      <x:c r="M1047" s="24" t="str">
        <x:v>https://wiscvoters.com/</x:v>
      </x:c>
      <x:c r="N1047" s="22" t="str">
        <x:v>286015428</x:v>
      </x:c>
      <x:c r="O1047" s="22" t="n">
        <x:v>1047</x:v>
      </x:c>
      <x:c r="P1047" s="22" t="n">
        <x:v>13</x:v>
      </x:c>
      <x:c r="Q1047" s="22" t="str"/>
      <x:c r="R1047" s="22" t="n">
        <x:f>COUNTIF($M$6:$M$1177,M1047)</x:f>
        <x:v>1</x:v>
      </x:c>
      <x:c r="S1047" s="22" t="str">
        <x:v>Other / utility</x:v>
      </x:c>
      <x:c r="T1047" s="22" t="str">
        <x:v>Not established</x:v>
      </x:c>
    </x:row>
    <x:row r="1048" ht="48" customHeight="1">
      <x:c r="A1048" s="22" t="n">
        <x:v>1043</x:v>
      </x:c>
      <x:c r="B1048" s="22" t="str">
        <x:v>Utvoters.com</x:v>
      </x:c>
      <x:c r="C1048" s="31" t="str">
        <x:v>U</x:v>
      </x:c>
      <x:c r="D1048" s="22" t="str">
        <x:v>Unassessed</x:v>
      </x:c>
      <x:c r="E1048" s="22" t="str">
        <x:v>VOTER DATABASES</x:v>
      </x:c>
      <x:c r="F1048" s="22" t="str">
        <x:v>Voter-record information</x:v>
      </x:c>
      <x:c r="G1048" s="22" t="str">
        <x:v>Verify the originating election record and date; a mirror or household match is not proof of a relationship.</x:v>
      </x:c>
      <x:c r="H1048" s="22" t="str">
        <x:v>Verify publisher, source and current function before reliance</x:v>
      </x:c>
      <x:c r="I1048" s="22" t="str">
        <x:v>Not checked</x:v>
      </x:c>
      <x:c r="J1048" s="22" t="str">
        <x:v>Saved bookmark metadata only</x:v>
      </x:c>
      <x:c r="K1048" s="22" t="str"/>
      <x:c r="L1048" s="24" t="str"/>
      <x:c r="M1048" s="24" t="str">
        <x:v>http://utvoters.com/</x:v>
      </x:c>
      <x:c r="N1048" s="22" t="str">
        <x:v>289613427</x:v>
      </x:c>
      <x:c r="O1048" s="22" t="n">
        <x:v>1047</x:v>
      </x:c>
      <x:c r="P1048" s="22" t="n">
        <x:v>14</x:v>
      </x:c>
      <x:c r="Q1048" s="22" t="str"/>
      <x:c r="R1048" s="22" t="n">
        <x:f>COUNTIF($M$6:$M$1177,M1048)</x:f>
        <x:v>1</x:v>
      </x:c>
      <x:c r="S1048" s="22" t="str">
        <x:v>Other / utility</x:v>
      </x:c>
      <x:c r="T1048" s="22" t="str">
        <x:v>Not established</x:v>
      </x:c>
    </x:row>
    <x:row r="1049" ht="48" customHeight="1">
      <x:c r="A1049" s="22" t="n">
        <x:v>1044</x:v>
      </x:c>
      <x:c r="B1049" s="22" t="str">
        <x:v>Oklahoma Voters Search</x:v>
      </x:c>
      <x:c r="C1049" s="31" t="str">
        <x:v>U</x:v>
      </x:c>
      <x:c r="D1049" s="22" t="str">
        <x:v>Unassessed</x:v>
      </x:c>
      <x:c r="E1049" s="22" t="str">
        <x:v>VOTER DATABASES</x:v>
      </x:c>
      <x:c r="F1049" s="22" t="str">
        <x:v>Voter-record information</x:v>
      </x:c>
      <x:c r="G1049" s="22" t="str">
        <x:v>Verify the originating election record and date; a mirror or household match is not proof of a relationship.</x:v>
      </x:c>
      <x:c r="H1049" s="22" t="str">
        <x:v>Verify publisher, source and current function before reliance</x:v>
      </x:c>
      <x:c r="I1049" s="22" t="str">
        <x:v>Not checked</x:v>
      </x:c>
      <x:c r="J1049" s="22" t="str">
        <x:v>Saved bookmark metadata only</x:v>
      </x:c>
      <x:c r="K1049" s="22" t="str"/>
      <x:c r="L1049" s="24" t="str"/>
      <x:c r="M1049" s="24" t="str">
        <x:v>http://oklahomadata.com/voters.asp</x:v>
      </x:c>
      <x:c r="N1049" s="22" t="str">
        <x:v>297537923</x:v>
      </x:c>
      <x:c r="O1049" s="22" t="n">
        <x:v>1047</x:v>
      </x:c>
      <x:c r="P1049" s="22" t="n">
        <x:v>15</x:v>
      </x:c>
      <x:c r="Q1049" s="22" t="str"/>
      <x:c r="R1049" s="22" t="n">
        <x:f>COUNTIF($M$6:$M$1177,M1049)</x:f>
        <x:v>1</x:v>
      </x:c>
      <x:c r="S1049" s="22" t="str">
        <x:v>Other / utility</x:v>
      </x:c>
      <x:c r="T1049" s="22" t="str">
        <x:v>Not established</x:v>
      </x:c>
    </x:row>
    <x:row r="1050" ht="48" customHeight="1">
      <x:c r="A1050" s="22" t="n">
        <x:v>1045</x:v>
      </x:c>
      <x:c r="B1050" s="22" t="str">
        <x:v>New Jersey Voter Records</x:v>
      </x:c>
      <x:c r="C1050" s="31" t="str">
        <x:v>U</x:v>
      </x:c>
      <x:c r="D1050" s="22" t="str">
        <x:v>Unassessed</x:v>
      </x:c>
      <x:c r="E1050" s="22" t="str">
        <x:v>VOTER DATABASES</x:v>
      </x:c>
      <x:c r="F1050" s="22" t="str">
        <x:v>Voter-record information</x:v>
      </x:c>
      <x:c r="G1050" s="22" t="str">
        <x:v>Verify the originating election record and date; a mirror or household match is not proof of a relationship.</x:v>
      </x:c>
      <x:c r="H1050" s="22" t="str">
        <x:v>Verify publisher, source and current function before reliance</x:v>
      </x:c>
      <x:c r="I1050" s="22" t="str">
        <x:v>Not checked</x:v>
      </x:c>
      <x:c r="J1050" s="22" t="str">
        <x:v>Saved bookmark metadata only</x:v>
      </x:c>
      <x:c r="K1050" s="22" t="str"/>
      <x:c r="L1050" s="24" t="str"/>
      <x:c r="M1050" s="24" t="str">
        <x:v>https://stevemorse.org/njvoters/njvoters.html</x:v>
      </x:c>
      <x:c r="N1050" s="22" t="str">
        <x:v>268395024</x:v>
      </x:c>
      <x:c r="O1050" s="22" t="n">
        <x:v>1047</x:v>
      </x:c>
      <x:c r="P1050" s="22" t="n">
        <x:v>16</x:v>
      </x:c>
      <x:c r="Q1050" s="22" t="str"/>
      <x:c r="R1050" s="22" t="n">
        <x:f>COUNTIF($M$6:$M$1177,M1050)</x:f>
        <x:v>1</x:v>
      </x:c>
      <x:c r="S1050" s="22" t="str">
        <x:v>Other / utility</x:v>
      </x:c>
      <x:c r="T1050" s="22" t="str">
        <x:v>Not established</x:v>
      </x:c>
    </x:row>
    <x:row r="1051" ht="48" customHeight="1">
      <x:c r="A1051" s="22" t="n">
        <x:v>1046</x:v>
      </x:c>
      <x:c r="B1051" s="22" t="str">
        <x:v>New York State Voter Records</x:v>
      </x:c>
      <x:c r="C1051" s="31" t="str">
        <x:v>U</x:v>
      </x:c>
      <x:c r="D1051" s="22" t="str">
        <x:v>Unassessed</x:v>
      </x:c>
      <x:c r="E1051" s="22" t="str">
        <x:v>VOTER DATABASES</x:v>
      </x:c>
      <x:c r="F1051" s="22" t="str">
        <x:v>Voter-record information</x:v>
      </x:c>
      <x:c r="G1051" s="22" t="str">
        <x:v>Verify the originating election record and date; a mirror or household match is not proof of a relationship.</x:v>
      </x:c>
      <x:c r="H1051" s="22" t="str">
        <x:v>Verify publisher, source and current function before reliance</x:v>
      </x:c>
      <x:c r="I1051" s="22" t="str">
        <x:v>Not checked</x:v>
      </x:c>
      <x:c r="J1051" s="22" t="str">
        <x:v>Saved bookmark metadata only</x:v>
      </x:c>
      <x:c r="K1051" s="22" t="str"/>
      <x:c r="L1051" s="24" t="str"/>
      <x:c r="M1051" s="24" t="str">
        <x:v>https://stevemorse.org/nysvoters/nysvoters.html</x:v>
      </x:c>
      <x:c r="N1051" s="22" t="str">
        <x:v>268395020</x:v>
      </x:c>
      <x:c r="O1051" s="22" t="n">
        <x:v>1047</x:v>
      </x:c>
      <x:c r="P1051" s="22" t="n">
        <x:v>17</x:v>
      </x:c>
      <x:c r="Q1051" s="22" t="str"/>
      <x:c r="R1051" s="22" t="n">
        <x:f>COUNTIF($M$6:$M$1177,M1051)</x:f>
        <x:v>1</x:v>
      </x:c>
      <x:c r="S1051" s="22" t="str">
        <x:v>Other / utility</x:v>
      </x:c>
      <x:c r="T1051" s="22" t="str">
        <x:v>Not established</x:v>
      </x:c>
    </x:row>
    <x:row r="1052" ht="48" customHeight="1">
      <x:c r="A1052" s="22" t="n">
        <x:v>1047</x:v>
      </x:c>
      <x:c r="B1052" s="22" t="str">
        <x:v>Unicorn Riot: Discord Leaks</x:v>
      </x:c>
      <x:c r="C1052" s="31" t="str">
        <x:v>U</x:v>
      </x:c>
      <x:c r="D1052" s="22" t="str">
        <x:v>Unassessed</x:v>
      </x:c>
      <x:c r="E1052" s="22" t="str">
        <x:v>EXTREMIST / FAR-RIGHT</x:v>
      </x:c>
      <x:c r="F1052" s="22" t="str">
        <x:v>Classification / allegation / incident information</x:v>
      </x:c>
      <x:c r="G1052" s="22" t="str">
        <x:v>Separate publisher classification, allegation and official designation; a name match is not a finding.</x:v>
      </x:c>
      <x:c r="H1052" s="22" t="str">
        <x:v>Verify publisher, source and current function before reliance</x:v>
      </x:c>
      <x:c r="I1052" s="22" t="str">
        <x:v>Not checked</x:v>
      </x:c>
      <x:c r="J1052" s="22" t="str">
        <x:v>Saved bookmark metadata only</x:v>
      </x:c>
      <x:c r="K1052" s="22" t="str"/>
      <x:c r="L1052" s="24" t="str"/>
      <x:c r="M1052" s="24" t="str">
        <x:v>https://discordleaks.unicornriot.ninja/discord/</x:v>
      </x:c>
      <x:c r="N1052" s="22" t="str">
        <x:v>268385259</x:v>
      </x:c>
      <x:c r="O1052" s="22" t="n">
        <x:v>1047</x:v>
      </x:c>
      <x:c r="P1052" s="22" t="n">
        <x:v>1</x:v>
      </x:c>
      <x:c r="Q1052" s="22" t="str"/>
      <x:c r="R1052" s="22" t="n">
        <x:f>COUNTIF($M$6:$M$1177,M1052)</x:f>
        <x:v>1</x:v>
      </x:c>
      <x:c r="S1052" s="22" t="str">
        <x:v>Other / utility</x:v>
      </x:c>
      <x:c r="T1052" s="22" t="str">
        <x:v>Not established</x:v>
      </x:c>
    </x:row>
    <x:row r="1053" ht="48" customHeight="1">
      <x:c r="A1053" s="22" t="n">
        <x:v>1048</x:v>
      </x:c>
      <x:c r="B1053" s="22" t="str">
        <x:v>Data | DDoSecrets Search</x:v>
      </x:c>
      <x:c r="C1053" s="31" t="str">
        <x:v>U</x:v>
      </x:c>
      <x:c r="D1053" s="22" t="str">
        <x:v>Unassessed</x:v>
      </x:c>
      <x:c r="E1053" s="22" t="str">
        <x:v>EXTREMIST / FAR-RIGHT</x:v>
      </x:c>
      <x:c r="F1053" s="22" t="str">
        <x:v>Classification / allegation / incident information</x:v>
      </x:c>
      <x:c r="G1053" s="22" t="str">
        <x:v>Separate publisher classification, allegation and official designation; a name match is not a finding.</x:v>
      </x:c>
      <x:c r="H1053" s="22" t="str">
        <x:v>Verify publisher, source and current function before reliance</x:v>
      </x:c>
      <x:c r="I1053" s="22" t="str">
        <x:v>Not checked</x:v>
      </x:c>
      <x:c r="J1053" s="22" t="str">
        <x:v>Saved bookmark metadata only</x:v>
      </x:c>
      <x:c r="K1053" s="22" t="str"/>
      <x:c r="L1053" s="24" t="str"/>
      <x:c r="M1053" s="24" t="str">
        <x:v>https://search.ddosecrets.com/data/</x:v>
      </x:c>
      <x:c r="N1053" s="22" t="str">
        <x:v>304995557</x:v>
      </x:c>
      <x:c r="O1053" s="22" t="n">
        <x:v>1047</x:v>
      </x:c>
      <x:c r="P1053" s="22" t="n">
        <x:v>2</x:v>
      </x:c>
      <x:c r="Q1053" s="22" t="str"/>
      <x:c r="R1053" s="22" t="n">
        <x:f>COUNTIF($M$6:$M$1177,M1053)</x:f>
        <x:v>1</x:v>
      </x:c>
      <x:c r="S1053" s="22" t="str">
        <x:v>Other / utility</x:v>
      </x:c>
      <x:c r="T1053" s="22" t="str">
        <x:v>Not established</x:v>
      </x:c>
    </x:row>
    <x:row r="1054" ht="48" customHeight="1">
      <x:c r="A1054" s="22" t="n">
        <x:v>1049</x:v>
      </x:c>
      <x:c r="B1054" s="22" t="str">
        <x:v>Parler Archive Search</x:v>
      </x:c>
      <x:c r="C1054" s="31" t="str">
        <x:v>U</x:v>
      </x:c>
      <x:c r="D1054" s="22" t="str">
        <x:v>Unassessed</x:v>
      </x:c>
      <x:c r="E1054" s="22" t="str">
        <x:v>EXTREMIST / FAR-RIGHT</x:v>
      </x:c>
      <x:c r="F1054" s="22" t="str">
        <x:v>Classification / allegation / incident information</x:v>
      </x:c>
      <x:c r="G1054" s="22" t="str">
        <x:v>Separate publisher classification, allegation and official designation; a name match is not a finding.</x:v>
      </x:c>
      <x:c r="H1054" s="22" t="str">
        <x:v>Verify publisher, source and current function before reliance</x:v>
      </x:c>
      <x:c r="I1054" s="22" t="str">
        <x:v>Not checked</x:v>
      </x:c>
      <x:c r="J1054" s="22" t="str">
        <x:v>Saved bookmark metadata only</x:v>
      </x:c>
      <x:c r="K1054" s="22" t="str"/>
      <x:c r="L1054" s="24" t="str"/>
      <x:c r="M1054" s="24" t="str">
        <x:v>https://parler.adatascienti.st/research</x:v>
      </x:c>
      <x:c r="N1054" s="22" t="str">
        <x:v>286015606</x:v>
      </x:c>
      <x:c r="O1054" s="22" t="n">
        <x:v>1047</x:v>
      </x:c>
      <x:c r="P1054" s="22" t="n">
        <x:v>3</x:v>
      </x:c>
      <x:c r="Q1054" s="22" t="str"/>
      <x:c r="R1054" s="22" t="n">
        <x:f>COUNTIF($M$6:$M$1177,M1054)</x:f>
        <x:v>1</x:v>
      </x:c>
      <x:c r="S1054" s="22" t="str">
        <x:v>Other / utility</x:v>
      </x:c>
      <x:c r="T1054" s="22" t="str">
        <x:v>Not established</x:v>
      </x:c>
    </x:row>
    <x:row r="1055" ht="48" customHeight="1">
      <x:c r="A1055" s="22" t="n">
        <x:v>1050</x:v>
      </x:c>
      <x:c r="B1055" s="22" t="str">
        <x:v>Parler Capitol Videos</x:v>
      </x:c>
      <x:c r="C1055" s="31" t="str">
        <x:v>U</x:v>
      </x:c>
      <x:c r="D1055" s="22" t="str">
        <x:v>Unassessed</x:v>
      </x:c>
      <x:c r="E1055" s="22" t="str">
        <x:v>EXTREMIST / FAR-RIGHT</x:v>
      </x:c>
      <x:c r="F1055" s="22" t="str">
        <x:v>Classification / allegation / incident information</x:v>
      </x:c>
      <x:c r="G1055" s="22" t="str">
        <x:v>Separate publisher classification, allegation and official designation; a name match is not a finding.</x:v>
      </x:c>
      <x:c r="H1055" s="22" t="str">
        <x:v>Verify publisher, source and current function before reliance</x:v>
      </x:c>
      <x:c r="I1055" s="22" t="str">
        <x:v>Not checked</x:v>
      </x:c>
      <x:c r="J1055" s="22" t="str">
        <x:v>Saved bookmark metadata only</x:v>
      </x:c>
      <x:c r="K1055" s="22" t="str"/>
      <x:c r="L1055" s="24" t="str"/>
      <x:c r="M1055" s="24" t="str">
        <x:v>https://projects.propublica.org/parler-capitol-videos/</x:v>
      </x:c>
      <x:c r="N1055" s="22" t="str">
        <x:v>286105860</x:v>
      </x:c>
      <x:c r="O1055" s="22" t="n">
        <x:v>1047</x:v>
      </x:c>
      <x:c r="P1055" s="22" t="n">
        <x:v>4</x:v>
      </x:c>
      <x:c r="Q1055" s="22" t="str"/>
      <x:c r="R1055" s="22" t="n">
        <x:f>COUNTIF($M$6:$M$1177,M1055)</x:f>
        <x:v>1</x:v>
      </x:c>
      <x:c r="S1055" s="22" t="str">
        <x:v>Other / utility</x:v>
      </x:c>
      <x:c r="T1055" s="22" t="str">
        <x:v>Not established</x:v>
      </x:c>
    </x:row>
    <x:row r="1056" ht="48" customHeight="1">
      <x:c r="A1056" s="22" t="n">
        <x:v>1051</x:v>
      </x:c>
      <x:c r="B1056" s="22" t="str">
        <x:v>Project Whispers</x:v>
      </x:c>
      <x:c r="C1056" s="31" t="str">
        <x:v>U</x:v>
      </x:c>
      <x:c r="D1056" s="22" t="str">
        <x:v>Unassessed</x:v>
      </x:c>
      <x:c r="E1056" s="22" t="str">
        <x:v>EXTREMIST / FAR-RIGHT</x:v>
      </x:c>
      <x:c r="F1056" s="22" t="str">
        <x:v>Classification / allegation / incident information</x:v>
      </x:c>
      <x:c r="G1056" s="22" t="str">
        <x:v>Separate publisher classification, allegation and official designation; a name match is not a finding.</x:v>
      </x:c>
      <x:c r="H1056" s="22" t="str">
        <x:v>Verify publisher, source and current function before reliance</x:v>
      </x:c>
      <x:c r="I1056" s="22" t="str">
        <x:v>Not checked</x:v>
      </x:c>
      <x:c r="J1056" s="22" t="str">
        <x:v>Saved bookmark metadata only</x:v>
      </x:c>
      <x:c r="K1056" s="22" t="str"/>
      <x:c r="L1056" s="24" t="str"/>
      <x:c r="M1056" s="24" t="str">
        <x:v>https://whispers.ddosecrets.com/</x:v>
      </x:c>
      <x:c r="N1056" s="22" t="str">
        <x:v>268462574</x:v>
      </x:c>
      <x:c r="O1056" s="22" t="n">
        <x:v>1047</x:v>
      </x:c>
      <x:c r="P1056" s="22" t="n">
        <x:v>5</x:v>
      </x:c>
      <x:c r="Q1056" s="22" t="str"/>
      <x:c r="R1056" s="22" t="n">
        <x:f>COUNTIF($M$6:$M$1177,M1056)</x:f>
        <x:v>1</x:v>
      </x:c>
      <x:c r="S1056" s="22" t="str">
        <x:v>Other / utility</x:v>
      </x:c>
      <x:c r="T1056" s="22" t="str">
        <x:v>Not established</x:v>
      </x:c>
    </x:row>
    <x:row r="1057" ht="48" customHeight="1">
      <x:c r="A1057" s="22" t="n">
        <x:v>1052</x:v>
      </x:c>
      <x:c r="B1057" s="22" t="str">
        <x:v>4chansearch.org</x:v>
      </x:c>
      <x:c r="C1057" s="31" t="str">
        <x:v>U</x:v>
      </x:c>
      <x:c r="D1057" s="22" t="str">
        <x:v>Unassessed</x:v>
      </x:c>
      <x:c r="E1057" s="22" t="str">
        <x:v>EXTREMIST / FAR-RIGHT</x:v>
      </x:c>
      <x:c r="F1057" s="22" t="str">
        <x:v>Classification / allegation / incident information</x:v>
      </x:c>
      <x:c r="G1057" s="22" t="str">
        <x:v>Separate publisher classification, allegation and official designation; a name match is not a finding.</x:v>
      </x:c>
      <x:c r="H1057" s="22" t="str">
        <x:v>Verify publisher, source and current function before reliance</x:v>
      </x:c>
      <x:c r="I1057" s="22" t="str">
        <x:v>Not checked</x:v>
      </x:c>
      <x:c r="J1057" s="22" t="str">
        <x:v>Saved bookmark metadata only</x:v>
      </x:c>
      <x:c r="K1057" s="22" t="str"/>
      <x:c r="L1057" s="24" t="str"/>
      <x:c r="M1057" s="24" t="str">
        <x:v>https://4chansearch.org/</x:v>
      </x:c>
      <x:c r="N1057" s="22" t="str">
        <x:v>268514122</x:v>
      </x:c>
      <x:c r="O1057" s="22" t="n">
        <x:v>1047</x:v>
      </x:c>
      <x:c r="P1057" s="22" t="n">
        <x:v>6</x:v>
      </x:c>
      <x:c r="Q1057" s="22" t="str"/>
      <x:c r="R1057" s="22" t="n">
        <x:f>COUNTIF($M$6:$M$1177,M1057)</x:f>
        <x:v>1</x:v>
      </x:c>
      <x:c r="S1057" s="22" t="str">
        <x:v>Other / utility</x:v>
      </x:c>
      <x:c r="T1057" s="22" t="str">
        <x:v>Not established</x:v>
      </x:c>
    </x:row>
    <x:row r="1058" ht="48" customHeight="1">
      <x:c r="A1058" s="22" t="n">
        <x:v>1053</x:v>
      </x:c>
      <x:c r="B1058" s="22" t="str">
        <x:v>archived.moe</x:v>
      </x:c>
      <x:c r="C1058" s="31" t="str">
        <x:v>U</x:v>
      </x:c>
      <x:c r="D1058" s="22" t="str">
        <x:v>Unassessed</x:v>
      </x:c>
      <x:c r="E1058" s="22" t="str">
        <x:v>EXTREMIST / FAR-RIGHT</x:v>
      </x:c>
      <x:c r="F1058" s="22" t="str">
        <x:v>Classification / allegation / incident information</x:v>
      </x:c>
      <x:c r="G1058" s="22" t="str">
        <x:v>Separate publisher classification, allegation and official designation; a name match is not a finding.</x:v>
      </x:c>
      <x:c r="H1058" s="22" t="str">
        <x:v>Verify publisher, source and current function before reliance</x:v>
      </x:c>
      <x:c r="I1058" s="22" t="str">
        <x:v>Not checked</x:v>
      </x:c>
      <x:c r="J1058" s="22" t="str">
        <x:v>Saved bookmark metadata only</x:v>
      </x:c>
      <x:c r="K1058" s="22" t="str"/>
      <x:c r="L1058" s="24" t="str"/>
      <x:c r="M1058" s="24" t="str">
        <x:v>https://archived.moe/</x:v>
      </x:c>
      <x:c r="N1058" s="22" t="str">
        <x:v>286825980</x:v>
      </x:c>
      <x:c r="O1058" s="22" t="n">
        <x:v>1047</x:v>
      </x:c>
      <x:c r="P1058" s="22" t="n">
        <x:v>7</x:v>
      </x:c>
      <x:c r="Q1058" s="22" t="str"/>
      <x:c r="R1058" s="22" t="n">
        <x:f>COUNTIF($M$6:$M$1177,M1058)</x:f>
        <x:v>1</x:v>
      </x:c>
      <x:c r="S1058" s="22" t="str">
        <x:v>Other / utility</x:v>
      </x:c>
      <x:c r="T1058" s="22" t="str">
        <x:v>Not established</x:v>
      </x:c>
    </x:row>
    <x:row r="1059" ht="48" customHeight="1">
      <x:c r="A1059" s="22" t="n">
        <x:v>1054</x:v>
      </x:c>
      <x:c r="B1059" s="22" t="str">
        <x:v>8chan/8kun QResearch Board Search</x:v>
      </x:c>
      <x:c r="C1059" s="31" t="str">
        <x:v>U</x:v>
      </x:c>
      <x:c r="D1059" s="22" t="str">
        <x:v>Unassessed</x:v>
      </x:c>
      <x:c r="E1059" s="22" t="str">
        <x:v>EXTREMIST / FAR-RIGHT</x:v>
      </x:c>
      <x:c r="F1059" s="22" t="str">
        <x:v>Classification / allegation / incident information</x:v>
      </x:c>
      <x:c r="G1059" s="22" t="str">
        <x:v>Separate publisher classification, allegation and official designation; a name match is not a finding.</x:v>
      </x:c>
      <x:c r="H1059" s="22" t="str">
        <x:v>Verify publisher, source and current function before reliance</x:v>
      </x:c>
      <x:c r="I1059" s="22" t="str">
        <x:v>Not checked</x:v>
      </x:c>
      <x:c r="J1059" s="22" t="str">
        <x:v>Saved bookmark metadata only</x:v>
      </x:c>
      <x:c r="K1059" s="22" t="str"/>
      <x:c r="L1059" s="24" t="str"/>
      <x:c r="M1059" s="24" t="str">
        <x:v>https://qresear.ch/</x:v>
      </x:c>
      <x:c r="N1059" s="22" t="str">
        <x:v>286036650</x:v>
      </x:c>
      <x:c r="O1059" s="22" t="n">
        <x:v>1047</x:v>
      </x:c>
      <x:c r="P1059" s="22" t="n">
        <x:v>8</x:v>
      </x:c>
      <x:c r="Q1059" s="22" t="str"/>
      <x:c r="R1059" s="22" t="n">
        <x:f>COUNTIF($M$6:$M$1177,M1059)</x:f>
        <x:v>1</x:v>
      </x:c>
      <x:c r="S1059" s="22" t="str">
        <x:v>Other / utility</x:v>
      </x:c>
      <x:c r="T1059" s="22" t="str">
        <x:v>Not established</x:v>
      </x:c>
    </x:row>
    <x:row r="1060" ht="48" customHeight="1">
      <x:c r="A1060" s="22" t="n">
        <x:v>1055</x:v>
      </x:c>
      <x:c r="B1060" s="22" t="str">
        <x:v>Extremist Profiles</x:v>
      </x:c>
      <x:c r="C1060" s="31" t="str">
        <x:v>U</x:v>
      </x:c>
      <x:c r="D1060" s="22" t="str">
        <x:v>Unassessed</x:v>
      </x:c>
      <x:c r="E1060" s="22" t="str">
        <x:v>EXTREMIST / FAR-RIGHT</x:v>
      </x:c>
      <x:c r="F1060" s="22" t="str">
        <x:v>Classification / allegation / incident information</x:v>
      </x:c>
      <x:c r="G1060" s="22" t="str">
        <x:v>Separate publisher classification, allegation and official designation; a name match is not a finding.</x:v>
      </x:c>
      <x:c r="H1060" s="22" t="str">
        <x:v>Verify publisher, source and current function before reliance</x:v>
      </x:c>
      <x:c r="I1060" s="22" t="str">
        <x:v>Not checked</x:v>
      </x:c>
      <x:c r="J1060" s="22" t="str">
        <x:v>Saved bookmark metadata only</x:v>
      </x:c>
      <x:c r="K1060" s="22" t="str"/>
      <x:c r="L1060" s="24" t="str"/>
      <x:c r="M1060" s="24" t="str">
        <x:v>https://www.splcenter.org/fighting-hate/extremist-files/individual</x:v>
      </x:c>
      <x:c r="N1060" s="22" t="str">
        <x:v>268402773</x:v>
      </x:c>
      <x:c r="O1060" s="22" t="n">
        <x:v>1047</x:v>
      </x:c>
      <x:c r="P1060" s="22" t="n">
        <x:v>9</x:v>
      </x:c>
      <x:c r="Q1060" s="22" t="str"/>
      <x:c r="R1060" s="22" t="n">
        <x:f>COUNTIF($M$6:$M$1177,M1060)</x:f>
        <x:v>1</x:v>
      </x:c>
      <x:c r="S1060" s="22" t="str">
        <x:v>Other / utility</x:v>
      </x:c>
      <x:c r="T1060" s="22" t="str">
        <x:v>Not established</x:v>
      </x:c>
    </x:row>
    <x:row r="1061" ht="48" customHeight="1">
      <x:c r="A1061" s="22" t="n">
        <x:v>1056</x:v>
      </x:c>
      <x:c r="B1061" s="22" t="str">
        <x:v>Extremist Groups</x:v>
      </x:c>
      <x:c r="C1061" s="31" t="str">
        <x:v>U</x:v>
      </x:c>
      <x:c r="D1061" s="22" t="str">
        <x:v>Unassessed</x:v>
      </x:c>
      <x:c r="E1061" s="22" t="str">
        <x:v>EXTREMIST / FAR-RIGHT</x:v>
      </x:c>
      <x:c r="F1061" s="22" t="str">
        <x:v>Classification / allegation / incident information</x:v>
      </x:c>
      <x:c r="G1061" s="22" t="str">
        <x:v>Separate publisher classification, allegation and official designation; a name match is not a finding.</x:v>
      </x:c>
      <x:c r="H1061" s="22" t="str">
        <x:v>Verify publisher, source and current function before reliance</x:v>
      </x:c>
      <x:c r="I1061" s="22" t="str">
        <x:v>Not checked</x:v>
      </x:c>
      <x:c r="J1061" s="22" t="str">
        <x:v>Saved bookmark metadata only</x:v>
      </x:c>
      <x:c r="K1061" s="22" t="str"/>
      <x:c r="L1061" s="24" t="str"/>
      <x:c r="M1061" s="24" t="str">
        <x:v>https://www.splcenter.org/fighting-hate/extremist-files/groups</x:v>
      </x:c>
      <x:c r="N1061" s="22" t="str">
        <x:v>268402859</x:v>
      </x:c>
      <x:c r="O1061" s="22" t="n">
        <x:v>1047</x:v>
      </x:c>
      <x:c r="P1061" s="22" t="n">
        <x:v>10</x:v>
      </x:c>
      <x:c r="Q1061" s="22" t="str"/>
      <x:c r="R1061" s="22" t="n">
        <x:f>COUNTIF($M$6:$M$1177,M1061)</x:f>
        <x:v>1</x:v>
      </x:c>
      <x:c r="S1061" s="22" t="str">
        <x:v>Other / utility</x:v>
      </x:c>
      <x:c r="T1061" s="22" t="str">
        <x:v>Not established</x:v>
      </x:c>
    </x:row>
    <x:row r="1062" ht="48" customHeight="1">
      <x:c r="A1062" s="22" t="n">
        <x:v>1057</x:v>
      </x:c>
      <x:c r="B1062" s="22" t="str">
        <x:v>Database of suspected terrorists</x:v>
      </x:c>
      <x:c r="C1062" s="31" t="str">
        <x:v>U</x:v>
      </x:c>
      <x:c r="D1062" s="22" t="str">
        <x:v>Unassessed</x:v>
      </x:c>
      <x:c r="E1062" s="22" t="str">
        <x:v>EXTREMIST / FAR-RIGHT</x:v>
      </x:c>
      <x:c r="F1062" s="22" t="str">
        <x:v>Classification / allegation / incident information</x:v>
      </x:c>
      <x:c r="G1062" s="22" t="str">
        <x:v>Separate publisher classification, allegation and official designation; a name match is not a finding.</x:v>
      </x:c>
      <x:c r="H1062" s="22" t="str">
        <x:v>Verify publisher, source and current function before reliance</x:v>
      </x:c>
      <x:c r="I1062" s="22" t="str">
        <x:v>Not checked</x:v>
      </x:c>
      <x:c r="J1062" s="22" t="str">
        <x:v>Saved bookmark metadata only</x:v>
      </x:c>
      <x:c r="K1062" s="22" t="str"/>
      <x:c r="L1062" s="24" t="str"/>
      <x:c r="M1062" s="24" t="str">
        <x:v>https://www.nsatt.org/</x:v>
      </x:c>
      <x:c r="N1062" s="22" t="str">
        <x:v>268402937</x:v>
      </x:c>
      <x:c r="O1062" s="22" t="n">
        <x:v>1047</x:v>
      </x:c>
      <x:c r="P1062" s="22" t="n">
        <x:v>11</x:v>
      </x:c>
      <x:c r="Q1062" s="22" t="str"/>
      <x:c r="R1062" s="22" t="n">
        <x:f>COUNTIF($M$6:$M$1177,M1062)</x:f>
        <x:v>1</x:v>
      </x:c>
      <x:c r="S1062" s="22" t="str">
        <x:v>Other / utility</x:v>
      </x:c>
      <x:c r="T1062" s="22" t="str">
        <x:v>Not established</x:v>
      </x:c>
    </x:row>
    <x:row r="1063" ht="48" customHeight="1">
      <x:c r="A1063" s="22" t="n">
        <x:v>1058</x:v>
      </x:c>
      <x:c r="B1063" s="22" t="str">
        <x:v>TSA No-Fly List</x:v>
      </x:c>
      <x:c r="C1063" s="31" t="str">
        <x:v>U</x:v>
      </x:c>
      <x:c r="D1063" s="22" t="str">
        <x:v>Unassessed</x:v>
      </x:c>
      <x:c r="E1063" s="22" t="str">
        <x:v>EXTREMIST / FAR-RIGHT</x:v>
      </x:c>
      <x:c r="F1063" s="22" t="str">
        <x:v>Classification / allegation / incident information</x:v>
      </x:c>
      <x:c r="G1063" s="22" t="str">
        <x:v>Separate publisher classification, allegation and official designation; a name match is not a finding.</x:v>
      </x:c>
      <x:c r="H1063" s="22" t="str">
        <x:v>Verify publisher, source and current function before reliance</x:v>
      </x:c>
      <x:c r="I1063" s="22" t="str">
        <x:v>Not checked</x:v>
      </x:c>
      <x:c r="J1063" s="22" t="str">
        <x:v>Saved bookmark metadata only</x:v>
      </x:c>
      <x:c r="K1063" s="22" t="str"/>
      <x:c r="L1063" s="24" t="str"/>
      <x:c r="M1063" s="24" t="str">
        <x:v>https://www.no-fly-list.com/</x:v>
      </x:c>
      <x:c r="N1063" s="22" t="str">
        <x:v>268456394</x:v>
      </x:c>
      <x:c r="O1063" s="22" t="n">
        <x:v>1047</x:v>
      </x:c>
      <x:c r="P1063" s="22" t="n">
        <x:v>12</x:v>
      </x:c>
      <x:c r="Q1063" s="22" t="str"/>
      <x:c r="R1063" s="22" t="n">
        <x:f>COUNTIF($M$6:$M$1177,M1063)</x:f>
        <x:v>1</x:v>
      </x:c>
      <x:c r="S1063" s="22" t="str">
        <x:v>Other / utility</x:v>
      </x:c>
      <x:c r="T1063" s="22" t="str">
        <x:v>Not established</x:v>
      </x:c>
    </x:row>
    <x:row r="1064" ht="48" customHeight="1">
      <x:c r="A1064" s="22" t="n">
        <x:v>1059</x:v>
      </x:c>
      <x:c r="B1064" s="22" t="str">
        <x:v>Terrorism Incidents Database</x:v>
      </x:c>
      <x:c r="C1064" s="31" t="str">
        <x:v>U</x:v>
      </x:c>
      <x:c r="D1064" s="22" t="str">
        <x:v>Unassessed</x:v>
      </x:c>
      <x:c r="E1064" s="22" t="str">
        <x:v>EXTREMIST / FAR-RIGHT</x:v>
      </x:c>
      <x:c r="F1064" s="22" t="str">
        <x:v>Classification / allegation / incident information</x:v>
      </x:c>
      <x:c r="G1064" s="22" t="str">
        <x:v>Separate publisher classification, allegation and official designation; a name match is not a finding.</x:v>
      </x:c>
      <x:c r="H1064" s="22" t="str">
        <x:v>Verify publisher, source and current function before reliance</x:v>
      </x:c>
      <x:c r="I1064" s="22" t="str">
        <x:v>Not checked</x:v>
      </x:c>
      <x:c r="J1064" s="22" t="str">
        <x:v>Saved bookmark metadata only</x:v>
      </x:c>
      <x:c r="K1064" s="22" t="str"/>
      <x:c r="L1064" s="24" t="str"/>
      <x:c r="M1064" s="24" t="str">
        <x:v>http://smapp.rand.org/rwtid/search_form.php</x:v>
      </x:c>
      <x:c r="N1064" s="22" t="str">
        <x:v>268456483</x:v>
      </x:c>
      <x:c r="O1064" s="22" t="n">
        <x:v>1047</x:v>
      </x:c>
      <x:c r="P1064" s="22" t="n">
        <x:v>13</x:v>
      </x:c>
      <x:c r="Q1064" s="22" t="str"/>
      <x:c r="R1064" s="22" t="n">
        <x:f>COUNTIF($M$6:$M$1177,M1064)</x:f>
        <x:v>1</x:v>
      </x:c>
      <x:c r="S1064" s="22" t="str">
        <x:v>Other / utility</x:v>
      </x:c>
      <x:c r="T1064" s="22" t="str">
        <x:v>Not established</x:v>
      </x:c>
    </x:row>
    <x:row r="1065" ht="48" customHeight="1">
      <x:c r="A1065" s="22" t="n">
        <x:v>1060</x:v>
      </x:c>
      <x:c r="B1065" s="22" t="str">
        <x:v>Global Terrorism Database</x:v>
      </x:c>
      <x:c r="C1065" s="31" t="str">
        <x:v>U</x:v>
      </x:c>
      <x:c r="D1065" s="22" t="str">
        <x:v>Unassessed</x:v>
      </x:c>
      <x:c r="E1065" s="22" t="str">
        <x:v>EXTREMIST / FAR-RIGHT</x:v>
      </x:c>
      <x:c r="F1065" s="22" t="str">
        <x:v>Classification / allegation / incident information</x:v>
      </x:c>
      <x:c r="G1065" s="22" t="str">
        <x:v>Separate publisher classification, allegation and official designation; a name match is not a finding.</x:v>
      </x:c>
      <x:c r="H1065" s="22" t="str">
        <x:v>Verify publisher, source and current function before reliance</x:v>
      </x:c>
      <x:c r="I1065" s="22" t="str">
        <x:v>Not checked</x:v>
      </x:c>
      <x:c r="J1065" s="22" t="str">
        <x:v>Saved bookmark metadata only</x:v>
      </x:c>
      <x:c r="K1065" s="22" t="str"/>
      <x:c r="L1065" s="24" t="str"/>
      <x:c r="M1065" s="24" t="str">
        <x:v>https://www.start.umd.edu/gtd/access/</x:v>
      </x:c>
      <x:c r="N1065" s="22" t="str">
        <x:v>268456551</x:v>
      </x:c>
      <x:c r="O1065" s="22" t="n">
        <x:v>1047</x:v>
      </x:c>
      <x:c r="P1065" s="22" t="n">
        <x:v>14</x:v>
      </x:c>
      <x:c r="Q1065" s="22" t="str"/>
      <x:c r="R1065" s="22" t="n">
        <x:f>COUNTIF($M$6:$M$1177,M1065)</x:f>
        <x:v>1</x:v>
      </x:c>
      <x:c r="S1065" s="22" t="str">
        <x:v>Other / utility</x:v>
      </x:c>
      <x:c r="T1065" s="22" t="str">
        <x:v>Not established</x:v>
      </x:c>
    </x:row>
    <x:row r="1066" ht="48" customHeight="1">
      <x:c r="A1066" s="22" t="n">
        <x:v>1061</x:v>
      </x:c>
      <x:c r="B1066" s="22" t="str">
        <x:v>Sanctions List Search</x:v>
      </x:c>
      <x:c r="C1066" s="51" t="str">
        <x:v>A</x:v>
      </x:c>
      <x:c r="D1066" s="22" t="str">
        <x:v>Documented</x:v>
      </x:c>
      <x:c r="E1066" s="22" t="str">
        <x:v>EXTREMIST / FAR-RIGHT</x:v>
      </x:c>
      <x:c r="F1066" s="22" t="str">
        <x:v>Official OFAC list entries</x:v>
      </x:c>
      <x:c r="G1066" s="22" t="str">
        <x:v>The official tool uses fuzzy name matching. A search score is not an identity probability; match the identifiers on the actual entry.</x:v>
      </x:c>
      <x:c r="H1066" s="22" t="str">
        <x:v>Verify exact official record</x:v>
      </x:c>
      <x:c r="I1066" s="22" t="str">
        <x:v>Official search instructions readable; no person query</x:v>
      </x:c>
      <x:c r="J1066" s="22" t="str">
        <x:v>Official tool instructions</x:v>
      </x:c>
      <x:c r="K1066" s="22" t="str">
        <x:v>S047</x:v>
      </x:c>
      <x:c r="L1066" s="24" t="str">
        <x:v>https://sanctionssearch.ofac.treas.gov/</x:v>
      </x:c>
      <x:c r="M1066" s="24" t="str">
        <x:v>https://sanctionssearch.ofac.treas.gov/</x:v>
      </x:c>
      <x:c r="N1066" s="22" t="str">
        <x:v>268456596</x:v>
      </x:c>
      <x:c r="O1066" s="22" t="n">
        <x:v>1047</x:v>
      </x:c>
      <x:c r="P1066" s="22" t="n">
        <x:v>15</x:v>
      </x:c>
      <x:c r="Q1066" s="22" t="str">
        <x:v>2026-09-15</x:v>
      </x:c>
      <x:c r="R1066" s="22" t="n">
        <x:f>COUNTIF($M$6:$M$1177,M1066)</x:f>
        <x:v>1</x:v>
      </x:c>
      <x:c r="S1066" s="22" t="str">
        <x:v>Contacts / records</x:v>
      </x:c>
      <x:c r="T1066" s="22" t="str">
        <x:v>Scoped desk assessment</x:v>
      </x:c>
    </x:row>
    <x:row r="1067" ht="48" customHeight="1">
      <x:c r="A1067" s="22" t="n">
        <x:v>1062</x:v>
      </x:c>
      <x:c r="B1067" s="22" t="str">
        <x:v>Trump Twitter Archive</x:v>
      </x:c>
      <x:c r="C1067" s="31" t="str">
        <x:v>U</x:v>
      </x:c>
      <x:c r="D1067" s="22" t="str">
        <x:v>Unassessed</x:v>
      </x:c>
      <x:c r="E1067" s="22" t="str">
        <x:v>EXTREMIST / FAR-RIGHT</x:v>
      </x:c>
      <x:c r="F1067" s="22" t="str">
        <x:v>Classification / allegation / incident information</x:v>
      </x:c>
      <x:c r="G1067" s="22" t="str">
        <x:v>Separate publisher classification, allegation and official designation; a name match is not a finding.</x:v>
      </x:c>
      <x:c r="H1067" s="22" t="str">
        <x:v>Verify publisher, source and current function before reliance</x:v>
      </x:c>
      <x:c r="I1067" s="22" t="str">
        <x:v>Not checked</x:v>
      </x:c>
      <x:c r="J1067" s="22" t="str">
        <x:v>Saved bookmark metadata only</x:v>
      </x:c>
      <x:c r="K1067" s="22" t="str"/>
      <x:c r="L1067" s="24" t="str"/>
      <x:c r="M1067" s="24" t="str">
        <x:v>https://www.thetrumparchive.com/</x:v>
      </x:c>
      <x:c r="N1067" s="22" t="str">
        <x:v>271266703</x:v>
      </x:c>
      <x:c r="O1067" s="22" t="n">
        <x:v>1047</x:v>
      </x:c>
      <x:c r="P1067" s="22" t="n">
        <x:v>16</x:v>
      </x:c>
      <x:c r="Q1067" s="22" t="str"/>
      <x:c r="R1067" s="22" t="n">
        <x:f>COUNTIF($M$6:$M$1177,M1067)</x:f>
        <x:v>1</x:v>
      </x:c>
      <x:c r="S1067" s="22" t="str">
        <x:v>Other / utility</x:v>
      </x:c>
      <x:c r="T1067" s="22" t="str">
        <x:v>Not established</x:v>
      </x:c>
    </x:row>
    <x:row r="1068" ht="48" customHeight="1">
      <x:c r="A1068" s="22" t="n">
        <x:v>1063</x:v>
      </x:c>
      <x:c r="B1068" s="22" t="str">
        <x:v>OFAC Sanctioned Search Engine</x:v>
      </x:c>
      <x:c r="C1068" s="43" t="str">
        <x:v>C-P</x:v>
      </x:c>
      <x:c r="D1068" s="22" t="str">
        <x:v>Provisional</x:v>
      </x:c>
      <x:c r="E1068" s="22" t="str">
        <x:v>EXTREMIST / FAR-RIGHT</x:v>
      </x:c>
      <x:c r="F1068" s="22" t="str">
        <x:v>Custom-search discovery only</x:v>
      </x:c>
      <x:c r="G1068" s="22" t="str">
        <x:v>The saved URL identifies a custom search. This engine's configuration, coverage and query results were not tested.</x:v>
      </x:c>
      <x:c r="H1068" s="22" t="str">
        <x:v>Open and verify the original result; do not count the search as corroboration</x:v>
      </x:c>
      <x:c r="I1068" s="22" t="str">
        <x:v>Not checked</x:v>
      </x:c>
      <x:c r="J1068" s="22" t="str">
        <x:v>Saved bookmark metadata only</x:v>
      </x:c>
      <x:c r="K1068" s="22" t="str"/>
      <x:c r="L1068" s="24" t="str"/>
      <x:c r="M1068" s="24" t="str">
        <x:v>https://cse.google.com/cse?cx=e96467889fb82b9b0</x:v>
      </x:c>
      <x:c r="N1068" s="22" t="str">
        <x:v>286820112</x:v>
      </x:c>
      <x:c r="O1068" s="22" t="n">
        <x:v>1047</x:v>
      </x:c>
      <x:c r="P1068" s="22" t="n">
        <x:v>17</x:v>
      </x:c>
      <x:c r="Q1068" s="22" t="str"/>
      <x:c r="R1068" s="22" t="n">
        <x:f>COUNTIF($M$6:$M$1177,M1068)</x:f>
        <x:v>1</x:v>
      </x:c>
      <x:c r="S1068" s="22" t="str">
        <x:v>Other / utility</x:v>
      </x:c>
      <x:c r="T1068" s="22" t="str">
        <x:v>Low</x:v>
      </x:c>
    </x:row>
    <x:row r="1069" ht="48" customHeight="1">
      <x:c r="A1069" s="22" t="n">
        <x:v>1064</x:v>
      </x:c>
      <x:c r="B1069" s="22" t="str">
        <x:v>INFORMNAPALM</x:v>
      </x:c>
      <x:c r="C1069" s="31" t="str">
        <x:v>U</x:v>
      </x:c>
      <x:c r="D1069" s="22" t="str">
        <x:v>Unassessed</x:v>
      </x:c>
      <x:c r="E1069" s="22" t="str">
        <x:v>EXTREMIST / FAR-RIGHT</x:v>
      </x:c>
      <x:c r="F1069" s="22" t="str">
        <x:v>Classification / allegation / incident information</x:v>
      </x:c>
      <x:c r="G1069" s="22" t="str">
        <x:v>Separate publisher classification, allegation and official designation; a name match is not a finding.</x:v>
      </x:c>
      <x:c r="H1069" s="22" t="str">
        <x:v>Verify publisher, source and current function before reliance</x:v>
      </x:c>
      <x:c r="I1069" s="22" t="str">
        <x:v>Not checked</x:v>
      </x:c>
      <x:c r="J1069" s="22" t="str">
        <x:v>Saved bookmark metadata only</x:v>
      </x:c>
      <x:c r="K1069" s="22" t="str"/>
      <x:c r="L1069" s="24" t="str"/>
      <x:c r="M1069" s="24" t="str">
        <x:v>https://informnapalm.org/db/russian-aggression/#lang=en&amp;page=m_unit</x:v>
      </x:c>
      <x:c r="N1069" s="22" t="str">
        <x:v>286821634</x:v>
      </x:c>
      <x:c r="O1069" s="22" t="n">
        <x:v>1047</x:v>
      </x:c>
      <x:c r="P1069" s="22" t="n">
        <x:v>18</x:v>
      </x:c>
      <x:c r="Q1069" s="22" t="str"/>
      <x:c r="R1069" s="22" t="n">
        <x:f>COUNTIF($M$6:$M$1177,M1069)</x:f>
        <x:v>1</x:v>
      </x:c>
      <x:c r="S1069" s="22" t="str">
        <x:v>Other / utility</x:v>
      </x:c>
      <x:c r="T1069" s="22" t="str">
        <x:v>Not established</x:v>
      </x:c>
    </x:row>
    <x:row r="1070" ht="48" customHeight="1">
      <x:c r="A1070" s="22" t="n">
        <x:v>1065</x:v>
      </x:c>
      <x:c r="B1070" s="22" t="str">
        <x:v>gogettr</x:v>
      </x:c>
      <x:c r="C1070" s="31" t="str">
        <x:v>U</x:v>
      </x:c>
      <x:c r="D1070" s="22" t="str">
        <x:v>Unassessed</x:v>
      </x:c>
      <x:c r="E1070" s="22" t="str">
        <x:v>EXTREMIST / FAR-RIGHT</x:v>
      </x:c>
      <x:c r="F1070" s="22" t="str">
        <x:v>Classification / allegation / incident information</x:v>
      </x:c>
      <x:c r="G1070" s="22" t="str">
        <x:v>Separate publisher classification, allegation and official designation; a name match is not a finding.</x:v>
      </x:c>
      <x:c r="H1070" s="22" t="str">
        <x:v>Verify publisher, source and current function before reliance</x:v>
      </x:c>
      <x:c r="I1070" s="22" t="str">
        <x:v>Not checked</x:v>
      </x:c>
      <x:c r="J1070" s="22" t="str">
        <x:v>Saved bookmark metadata only</x:v>
      </x:c>
      <x:c r="K1070" s="22" t="str"/>
      <x:c r="L1070" s="24" t="str"/>
      <x:c r="M1070" s="24" t="str">
        <x:v>https://pypi.org/project/gogettr/</x:v>
      </x:c>
      <x:c r="N1070" s="22" t="str">
        <x:v>286945726</x:v>
      </x:c>
      <x:c r="O1070" s="22" t="n">
        <x:v>1048</x:v>
      </x:c>
      <x:c r="P1070" s="22" t="n">
        <x:v>19</x:v>
      </x:c>
      <x:c r="Q1070" s="22" t="str"/>
      <x:c r="R1070" s="22" t="n">
        <x:f>COUNTIF($M$6:$M$1177,M1070)</x:f>
        <x:v>1</x:v>
      </x:c>
      <x:c r="S1070" s="22" t="str">
        <x:v>Other / utility</x:v>
      </x:c>
      <x:c r="T1070" s="22" t="str">
        <x:v>Not established</x:v>
      </x:c>
    </x:row>
    <x:row r="1071" ht="48" customHeight="1">
      <x:c r="A1071" s="22" t="n">
        <x:v>1066</x:v>
      </x:c>
      <x:c r="B1071" s="22" t="str">
        <x:v>GUTTR</x:v>
      </x:c>
      <x:c r="C1071" s="31" t="str">
        <x:v>U</x:v>
      </x:c>
      <x:c r="D1071" s="22" t="str">
        <x:v>Unassessed</x:v>
      </x:c>
      <x:c r="E1071" s="22" t="str">
        <x:v>EXTREMIST / FAR-RIGHT</x:v>
      </x:c>
      <x:c r="F1071" s="22" t="str">
        <x:v>Classification / allegation / incident information</x:v>
      </x:c>
      <x:c r="G1071" s="22" t="str">
        <x:v>Separate publisher classification, allegation and official designation; a name match is not a finding.</x:v>
      </x:c>
      <x:c r="H1071" s="22" t="str">
        <x:v>Verify publisher, source and current function before reliance</x:v>
      </x:c>
      <x:c r="I1071" s="22" t="str">
        <x:v>Not checked</x:v>
      </x:c>
      <x:c r="J1071" s="22" t="str">
        <x:v>Saved bookmark metadata only</x:v>
      </x:c>
      <x:c r="K1071" s="22" t="str"/>
      <x:c r="L1071" s="24" t="str"/>
      <x:c r="M1071" s="24" t="str">
        <x:v>https://github.com/VVX7/GUTTR</x:v>
      </x:c>
      <x:c r="N1071" s="22" t="str">
        <x:v>286822226</x:v>
      </x:c>
      <x:c r="O1071" s="22" t="n">
        <x:v>1048</x:v>
      </x:c>
      <x:c r="P1071" s="22" t="n">
        <x:v>20</x:v>
      </x:c>
      <x:c r="Q1071" s="22" t="str"/>
      <x:c r="R1071" s="22" t="n">
        <x:f>COUNTIF($M$6:$M$1177,M1071)</x:f>
        <x:v>1</x:v>
      </x:c>
      <x:c r="S1071" s="22" t="str">
        <x:v>Other / utility</x:v>
      </x:c>
      <x:c r="T1071" s="22" t="str">
        <x:v>Not established</x:v>
      </x:c>
    </x:row>
    <x:row r="1072" ht="48" customHeight="1">
      <x:c r="A1072" s="22" t="n">
        <x:v>1067</x:v>
      </x:c>
      <x:c r="B1072" s="22" t="str">
        <x:v>FBI Most Wanted Search Engine</x:v>
      </x:c>
      <x:c r="C1072" s="43" t="str">
        <x:v>C-P</x:v>
      </x:c>
      <x:c r="D1072" s="22" t="str">
        <x:v>Provisional</x:v>
      </x:c>
      <x:c r="E1072" s="22" t="str">
        <x:v>EXTREMIST / FAR-RIGHT</x:v>
      </x:c>
      <x:c r="F1072" s="22" t="str">
        <x:v>Custom-search discovery only</x:v>
      </x:c>
      <x:c r="G1072" s="22" t="str">
        <x:v>The saved URL identifies a custom search. This engine's configuration, coverage and query results were not tested.</x:v>
      </x:c>
      <x:c r="H1072" s="22" t="str">
        <x:v>Open and verify the original result; do not count the search as corroboration</x:v>
      </x:c>
      <x:c r="I1072" s="22" t="str">
        <x:v>Not checked</x:v>
      </x:c>
      <x:c r="J1072" s="22" t="str">
        <x:v>Saved bookmark metadata only</x:v>
      </x:c>
      <x:c r="K1072" s="22" t="str"/>
      <x:c r="L1072" s="24" t="str"/>
      <x:c r="M1072" s="24" t="str">
        <x:v>https://cse.google.com/cse?cx=1ee952e6584aa91f9</x:v>
      </x:c>
      <x:c r="N1072" s="22" t="str">
        <x:v>286820053</x:v>
      </x:c>
      <x:c r="O1072" s="22" t="n">
        <x:v>1049</x:v>
      </x:c>
      <x:c r="P1072" s="22" t="n">
        <x:v>21</x:v>
      </x:c>
      <x:c r="Q1072" s="22" t="str"/>
      <x:c r="R1072" s="22" t="n">
        <x:f>COUNTIF($M$6:$M$1177,M1072)</x:f>
        <x:v>1</x:v>
      </x:c>
      <x:c r="S1072" s="22" t="str">
        <x:v>Other / utility</x:v>
      </x:c>
      <x:c r="T1072" s="22" t="str">
        <x:v>Low</x:v>
      </x:c>
    </x:row>
    <x:row r="1073" ht="48" customHeight="1">
      <x:c r="A1073" s="22" t="n">
        <x:v>1068</x:v>
      </x:c>
      <x:c r="B1073" s="22" t="str">
        <x:v>Interpol Most Wanted Search Engine</x:v>
      </x:c>
      <x:c r="C1073" s="43" t="str">
        <x:v>C-P</x:v>
      </x:c>
      <x:c r="D1073" s="22" t="str">
        <x:v>Provisional</x:v>
      </x:c>
      <x:c r="E1073" s="22" t="str">
        <x:v>EXTREMIST / FAR-RIGHT</x:v>
      </x:c>
      <x:c r="F1073" s="22" t="str">
        <x:v>Custom-search discovery only</x:v>
      </x:c>
      <x:c r="G1073" s="22" t="str">
        <x:v>The saved URL identifies a custom search. This engine's configuration, coverage and query results were not tested.</x:v>
      </x:c>
      <x:c r="H1073" s="22" t="str">
        <x:v>Open and verify the original result; do not count the search as corroboration</x:v>
      </x:c>
      <x:c r="I1073" s="22" t="str">
        <x:v>Not checked</x:v>
      </x:c>
      <x:c r="J1073" s="22" t="str">
        <x:v>Saved bookmark metadata only</x:v>
      </x:c>
      <x:c r="K1073" s="22" t="str"/>
      <x:c r="L1073" s="24" t="str"/>
      <x:c r="M1073" s="24" t="str">
        <x:v>https://cse.google.com/cse?cx=b1746754c83012613</x:v>
      </x:c>
      <x:c r="N1073" s="22" t="str">
        <x:v>286820056</x:v>
      </x:c>
      <x:c r="O1073" s="22" t="n">
        <x:v>1049</x:v>
      </x:c>
      <x:c r="P1073" s="22" t="n">
        <x:v>22</x:v>
      </x:c>
      <x:c r="Q1073" s="22" t="str"/>
      <x:c r="R1073" s="22" t="n">
        <x:f>COUNTIF($M$6:$M$1177,M1073)</x:f>
        <x:v>1</x:v>
      </x:c>
      <x:c r="S1073" s="22" t="str">
        <x:v>Other / utility</x:v>
      </x:c>
      <x:c r="T1073" s="22" t="str">
        <x:v>Low</x:v>
      </x:c>
    </x:row>
    <x:row r="1074" ht="48" customHeight="1">
      <x:c r="A1074" s="22" t="n">
        <x:v>1069</x:v>
      </x:c>
      <x:c r="B1074" s="22" t="str">
        <x:v>Europol Most Wanted Search Engine</x:v>
      </x:c>
      <x:c r="C1074" s="43" t="str">
        <x:v>C-P</x:v>
      </x:c>
      <x:c r="D1074" s="22" t="str">
        <x:v>Provisional</x:v>
      </x:c>
      <x:c r="E1074" s="22" t="str">
        <x:v>EXTREMIST / FAR-RIGHT</x:v>
      </x:c>
      <x:c r="F1074" s="22" t="str">
        <x:v>Custom-search discovery only</x:v>
      </x:c>
      <x:c r="G1074" s="22" t="str">
        <x:v>The saved URL identifies a custom search. This engine's configuration, coverage and query results were not tested.</x:v>
      </x:c>
      <x:c r="H1074" s="22" t="str">
        <x:v>Open and verify the original result; do not count the search as corroboration</x:v>
      </x:c>
      <x:c r="I1074" s="22" t="str">
        <x:v>Not checked</x:v>
      </x:c>
      <x:c r="J1074" s="22" t="str">
        <x:v>Saved bookmark metadata only</x:v>
      </x:c>
      <x:c r="K1074" s="22" t="str"/>
      <x:c r="L1074" s="24" t="str"/>
      <x:c r="M1074" s="24" t="str">
        <x:v>https://cse.google.com/cse?cx=f08e8dc2172da1ba8</x:v>
      </x:c>
      <x:c r="N1074" s="22" t="str">
        <x:v>286820111</x:v>
      </x:c>
      <x:c r="O1074" s="22" t="n">
        <x:v>1049</x:v>
      </x:c>
      <x:c r="P1074" s="22" t="n">
        <x:v>23</x:v>
      </x:c>
      <x:c r="Q1074" s="22" t="str"/>
      <x:c r="R1074" s="22" t="n">
        <x:f>COUNTIF($M$6:$M$1177,M1074)</x:f>
        <x:v>1</x:v>
      </x:c>
      <x:c r="S1074" s="22" t="str">
        <x:v>Other / utility</x:v>
      </x:c>
      <x:c r="T1074" s="22" t="str">
        <x:v>Low</x:v>
      </x:c>
    </x:row>
    <x:row r="1075" ht="48" customHeight="1">
      <x:c r="A1075" s="22" t="n">
        <x:v>1070</x:v>
      </x:c>
      <x:c r="B1075" s="22" t="str">
        <x:v>Ironmarch.exposed</x:v>
      </x:c>
      <x:c r="C1075" s="31" t="str">
        <x:v>U</x:v>
      </x:c>
      <x:c r="D1075" s="22" t="str">
        <x:v>Unassessed</x:v>
      </x:c>
      <x:c r="E1075" s="22" t="str">
        <x:v>EXTREMIST / FAR-RIGHT</x:v>
      </x:c>
      <x:c r="F1075" s="22" t="str">
        <x:v>Classification / allegation / incident information</x:v>
      </x:c>
      <x:c r="G1075" s="22" t="str">
        <x:v>Separate publisher classification, allegation and official designation; a name match is not a finding.</x:v>
      </x:c>
      <x:c r="H1075" s="22" t="str">
        <x:v>Verify publisher, source and current function before reliance</x:v>
      </x:c>
      <x:c r="I1075" s="22" t="str">
        <x:v>Not checked</x:v>
      </x:c>
      <x:c r="J1075" s="22" t="str">
        <x:v>Saved bookmark metadata only</x:v>
      </x:c>
      <x:c r="K1075" s="22" t="str"/>
      <x:c r="L1075" s="24" t="str"/>
      <x:c r="M1075" s="24" t="str">
        <x:v>https://www.ironmarch.exposed/</x:v>
      </x:c>
      <x:c r="N1075" s="22" t="str">
        <x:v>268385223</x:v>
      </x:c>
      <x:c r="O1075" s="22" t="n">
        <x:v>1049</x:v>
      </x:c>
      <x:c r="P1075" s="22" t="n">
        <x:v>24</x:v>
      </x:c>
      <x:c r="Q1075" s="22" t="str"/>
      <x:c r="R1075" s="22" t="n">
        <x:f>COUNTIF($M$6:$M$1177,M1075)</x:f>
        <x:v>1</x:v>
      </x:c>
      <x:c r="S1075" s="22" t="str">
        <x:v>Other / utility</x:v>
      </x:c>
      <x:c r="T1075" s="22" t="str">
        <x:v>Not established</x:v>
      </x:c>
    </x:row>
    <x:row r="1076" ht="48" customHeight="1">
      <x:c r="A1076" s="22" t="n">
        <x:v>1071</x:v>
      </x:c>
      <x:c r="B1076" s="22" t="str">
        <x:v>Greylist Trace</x:v>
      </x:c>
      <x:c r="C1076" s="31" t="str">
        <x:v>U</x:v>
      </x:c>
      <x:c r="D1076" s="22" t="str">
        <x:v>Unassessed</x:v>
      </x:c>
      <x:c r="E1076" s="22" t="str">
        <x:v>FINANCE</x:v>
      </x:c>
      <x:c r="F1076" s="22" t="str">
        <x:v>Business-finance / public funding information</x:v>
      </x:c>
      <x:c r="G1076" s="22" t="str">
        <x:v>Verify the originating financial record and entity identifier; funding receipt is not evidence of fraud.</x:v>
      </x:c>
      <x:c r="H1076" s="22" t="str">
        <x:v>Verify publisher, source and current function before reliance</x:v>
      </x:c>
      <x:c r="I1076" s="22" t="str">
        <x:v>Not checked</x:v>
      </x:c>
      <x:c r="J1076" s="22" t="str">
        <x:v>Saved bookmark metadata only</x:v>
      </x:c>
      <x:c r="K1076" s="22" t="str"/>
      <x:c r="L1076" s="24" t="str"/>
      <x:c r="M1076" s="24" t="str">
        <x:v>https://greylisttrace.com/</x:v>
      </x:c>
      <x:c r="N1076" s="22" t="str">
        <x:v>297888678</x:v>
      </x:c>
      <x:c r="O1076" s="22" t="n">
        <x:v>1049</x:v>
      </x:c>
      <x:c r="P1076" s="22" t="n">
        <x:v>1</x:v>
      </x:c>
      <x:c r="Q1076" s="22" t="str"/>
      <x:c r="R1076" s="22" t="n">
        <x:f>COUNTIF($M$6:$M$1177,M1076)</x:f>
        <x:v>1</x:v>
      </x:c>
      <x:c r="S1076" s="22" t="str">
        <x:v>Contacts / records</x:v>
      </x:c>
      <x:c r="T1076" s="22" t="str">
        <x:v>Not established</x:v>
      </x:c>
    </x:row>
    <x:row r="1077" ht="48" customHeight="1">
      <x:c r="A1077" s="22" t="n">
        <x:v>1072</x:v>
      </x:c>
      <x:c r="B1077" s="22" t="str">
        <x:v>analytics-engine</x:v>
      </x:c>
      <x:c r="C1077" s="31" t="str">
        <x:v>U</x:v>
      </x:c>
      <x:c r="D1077" s="22" t="str">
        <x:v>Unassessed</x:v>
      </x:c>
      <x:c r="E1077" s="22" t="str">
        <x:v>FINANCE</x:v>
      </x:c>
      <x:c r="F1077" s="22" t="str">
        <x:v>Business-finance / public funding information</x:v>
      </x:c>
      <x:c r="G1077" s="22" t="str">
        <x:v>Verify the originating financial record and entity identifier; funding receipt is not evidence of fraud.</x:v>
      </x:c>
      <x:c r="H1077" s="22" t="str">
        <x:v>Verify publisher, source and current function before reliance</x:v>
      </x:c>
      <x:c r="I1077" s="22" t="str">
        <x:v>Not checked</x:v>
      </x:c>
      <x:c r="J1077" s="22" t="str">
        <x:v>Saved bookmark metadata only</x:v>
      </x:c>
      <x:c r="K1077" s="22" t="str"/>
      <x:c r="L1077" s="24" t="str"/>
      <x:c r="M1077" s="24" t="str">
        <x:v>https://github.com/mashiox/analytics-engine</x:v>
      </x:c>
      <x:c r="N1077" s="22" t="str">
        <x:v>297888632</x:v>
      </x:c>
      <x:c r="O1077" s="22" t="n">
        <x:v>1049</x:v>
      </x:c>
      <x:c r="P1077" s="22" t="n">
        <x:v>2</x:v>
      </x:c>
      <x:c r="Q1077" s="22" t="str"/>
      <x:c r="R1077" s="22" t="n">
        <x:f>COUNTIF($M$6:$M$1177,M1077)</x:f>
        <x:v>1</x:v>
      </x:c>
      <x:c r="S1077" s="22" t="str">
        <x:v>Contacts / records</x:v>
      </x:c>
      <x:c r="T1077" s="22" t="str">
        <x:v>Not established</x:v>
      </x:c>
    </x:row>
    <x:row r="1078" ht="48" customHeight="1">
      <x:c r="A1078" s="22" t="n">
        <x:v>1073</x:v>
      </x:c>
      <x:c r="B1078" s="22" t="str">
        <x:v>Tradint Research Tool</x:v>
      </x:c>
      <x:c r="C1078" s="31" t="str">
        <x:v>U</x:v>
      </x:c>
      <x:c r="D1078" s="22" t="str">
        <x:v>Unassessed</x:v>
      </x:c>
      <x:c r="E1078" s="22" t="str">
        <x:v>FINANCE</x:v>
      </x:c>
      <x:c r="F1078" s="22" t="str">
        <x:v>Business-finance / public funding information</x:v>
      </x:c>
      <x:c r="G1078" s="22" t="str">
        <x:v>Verify the originating financial record and entity identifier; funding receipt is not evidence of fraud.</x:v>
      </x:c>
      <x:c r="H1078" s="22" t="str">
        <x:v>Verify publisher, source and current function before reliance</x:v>
      </x:c>
      <x:c r="I1078" s="22" t="str">
        <x:v>Not checked</x:v>
      </x:c>
      <x:c r="J1078" s="22" t="str">
        <x:v>Saved bookmark metadata only</x:v>
      </x:c>
      <x:c r="K1078" s="22" t="str"/>
      <x:c r="L1078" s="24" t="str"/>
      <x:c r="M1078" s="24" t="str">
        <x:v>https://tradint.io/</x:v>
      </x:c>
      <x:c r="N1078" s="22" t="str">
        <x:v>286015423</x:v>
      </x:c>
      <x:c r="O1078" s="22" t="n">
        <x:v>1050</x:v>
      </x:c>
      <x:c r="P1078" s="22" t="n">
        <x:v>3</x:v>
      </x:c>
      <x:c r="Q1078" s="22" t="str"/>
      <x:c r="R1078" s="22" t="n">
        <x:f>COUNTIF($M$6:$M$1177,M1078)</x:f>
        <x:v>1</x:v>
      </x:c>
      <x:c r="S1078" s="22" t="str">
        <x:v>Contacts / records</x:v>
      </x:c>
      <x:c r="T1078" s="22" t="str">
        <x:v>Not established</x:v>
      </x:c>
    </x:row>
    <x:row r="1079" ht="48" customHeight="1">
      <x:c r="A1079" s="22" t="n">
        <x:v>1074</x:v>
      </x:c>
      <x:c r="B1079" s="22" t="str">
        <x:v>CoVi Analytics</x:v>
      </x:c>
      <x:c r="C1079" s="31" t="str">
        <x:v>U</x:v>
      </x:c>
      <x:c r="D1079" s="22" t="str">
        <x:v>Unassessed</x:v>
      </x:c>
      <x:c r="E1079" s="22" t="str">
        <x:v>FINANCE</x:v>
      </x:c>
      <x:c r="F1079" s="22" t="str">
        <x:v>Business-finance / public funding information</x:v>
      </x:c>
      <x:c r="G1079" s="22" t="str">
        <x:v>Verify the originating financial record and entity identifier; funding receipt is not evidence of fraud.</x:v>
      </x:c>
      <x:c r="H1079" s="22" t="str">
        <x:v>Verify publisher, source and current function before reliance</x:v>
      </x:c>
      <x:c r="I1079" s="22" t="str">
        <x:v>Not checked</x:v>
      </x:c>
      <x:c r="J1079" s="22" t="str">
        <x:v>Saved bookmark metadata only</x:v>
      </x:c>
      <x:c r="K1079" s="22" t="str"/>
      <x:c r="L1079" s="24" t="str"/>
      <x:c r="M1079" s="24" t="str">
        <x:v>https://www.covianalytics.com/</x:v>
      </x:c>
      <x:c r="N1079" s="22" t="str">
        <x:v>297888682</x:v>
      </x:c>
      <x:c r="O1079" s="22" t="n">
        <x:v>1050</x:v>
      </x:c>
      <x:c r="P1079" s="22" t="n">
        <x:v>4</x:v>
      </x:c>
      <x:c r="Q1079" s="22" t="str"/>
      <x:c r="R1079" s="22" t="n">
        <x:f>COUNTIF($M$6:$M$1177,M1079)</x:f>
        <x:v>1</x:v>
      </x:c>
      <x:c r="S1079" s="22" t="str">
        <x:v>Contacts / records</x:v>
      </x:c>
      <x:c r="T1079" s="22" t="str">
        <x:v>Not established</x:v>
      </x:c>
    </x:row>
    <x:row r="1080" ht="48" customHeight="1">
      <x:c r="A1080" s="22" t="n">
        <x:v>1075</x:v>
      </x:c>
      <x:c r="B1080" s="22" t="str">
        <x:v>Ppp.adatascienti.st</x:v>
      </x:c>
      <x:c r="C1080" s="31" t="str">
        <x:v>U</x:v>
      </x:c>
      <x:c r="D1080" s="22" t="str">
        <x:v>Unassessed</x:v>
      </x:c>
      <x:c r="E1080" s="22" t="str">
        <x:v>FINANCE</x:v>
      </x:c>
      <x:c r="F1080" s="22" t="str">
        <x:v>Business-finance / public funding information</x:v>
      </x:c>
      <x:c r="G1080" s="22" t="str">
        <x:v>Verify the originating financial record and entity identifier; funding receipt is not evidence of fraud.</x:v>
      </x:c>
      <x:c r="H1080" s="22" t="str">
        <x:v>Verify publisher, source and current function before reliance</x:v>
      </x:c>
      <x:c r="I1080" s="22" t="str">
        <x:v>Not checked</x:v>
      </x:c>
      <x:c r="J1080" s="22" t="str">
        <x:v>Saved bookmark metadata only</x:v>
      </x:c>
      <x:c r="K1080" s="22" t="str"/>
      <x:c r="L1080" s="24" t="str"/>
      <x:c r="M1080" s="24" t="str">
        <x:v>https://ppp.adatascienti.st/</x:v>
      </x:c>
      <x:c r="N1080" s="22" t="str">
        <x:v>290063442</x:v>
      </x:c>
      <x:c r="O1080" s="22" t="n">
        <x:v>1050</x:v>
      </x:c>
      <x:c r="P1080" s="22" t="n">
        <x:v>5</x:v>
      </x:c>
      <x:c r="Q1080" s="22" t="str"/>
      <x:c r="R1080" s="22" t="n">
        <x:f>COUNTIF($M$6:$M$1177,M1080)</x:f>
        <x:v>1</x:v>
      </x:c>
      <x:c r="S1080" s="22" t="str">
        <x:v>Contacts / records</x:v>
      </x:c>
      <x:c r="T1080" s="22" t="str">
        <x:v>Not established</x:v>
      </x:c>
    </x:row>
    <x:row r="1081" ht="48" customHeight="1">
      <x:c r="A1081" s="22" t="n">
        <x:v>1076</x:v>
      </x:c>
      <x:c r="B1081" s="22" t="str">
        <x:v>Search Our PPP Loan Database</x:v>
      </x:c>
      <x:c r="C1081" s="31" t="str">
        <x:v>U</x:v>
      </x:c>
      <x:c r="D1081" s="22" t="str">
        <x:v>Unassessed</x:v>
      </x:c>
      <x:c r="E1081" s="22" t="str">
        <x:v>FINANCE</x:v>
      </x:c>
      <x:c r="F1081" s="22" t="str">
        <x:v>Business-finance / public funding information</x:v>
      </x:c>
      <x:c r="G1081" s="22" t="str">
        <x:v>Verify the originating financial record and entity identifier; funding receipt is not evidence of fraud.</x:v>
      </x:c>
      <x:c r="H1081" s="22" t="str">
        <x:v>Verify publisher, source and current function before reliance</x:v>
      </x:c>
      <x:c r="I1081" s="22" t="str">
        <x:v>Not checked</x:v>
      </x:c>
      <x:c r="J1081" s="22" t="str">
        <x:v>Saved bookmark metadata only</x:v>
      </x:c>
      <x:c r="K1081" s="22" t="str"/>
      <x:c r="L1081" s="24" t="str"/>
      <x:c r="M1081" s="24" t="str">
        <x:v>https://ppp.directory/search</x:v>
      </x:c>
      <x:c r="N1081" s="22" t="str">
        <x:v>286702863</x:v>
      </x:c>
      <x:c r="O1081" s="22" t="n">
        <x:v>1050</x:v>
      </x:c>
      <x:c r="P1081" s="22" t="n">
        <x:v>6</x:v>
      </x:c>
      <x:c r="Q1081" s="22" t="str"/>
      <x:c r="R1081" s="22" t="n">
        <x:f>COUNTIF($M$6:$M$1177,M1081)</x:f>
        <x:v>1</x:v>
      </x:c>
      <x:c r="S1081" s="22" t="str">
        <x:v>Contacts / records</x:v>
      </x:c>
      <x:c r="T1081" s="22" t="str">
        <x:v>Not established</x:v>
      </x:c>
    </x:row>
    <x:row r="1082" ht="48" customHeight="1">
      <x:c r="A1082" s="22" t="n">
        <x:v>1077</x:v>
      </x:c>
      <x:c r="B1082" s="22" t="str">
        <x:v>TMX</x:v>
      </x:c>
      <x:c r="C1082" s="31" t="str">
        <x:v>U</x:v>
      </x:c>
      <x:c r="D1082" s="22" t="str">
        <x:v>Unassessed</x:v>
      </x:c>
      <x:c r="E1082" s="22" t="str">
        <x:v>FINANCE</x:v>
      </x:c>
      <x:c r="F1082" s="22" t="str">
        <x:v>Business-finance / public funding information</x:v>
      </x:c>
      <x:c r="G1082" s="22" t="str">
        <x:v>Verify the originating financial record and entity identifier; funding receipt is not evidence of fraud.</x:v>
      </x:c>
      <x:c r="H1082" s="22" t="str">
        <x:v>Verify publisher, source and current function before reliance</x:v>
      </x:c>
      <x:c r="I1082" s="22" t="str">
        <x:v>Not checked</x:v>
      </x:c>
      <x:c r="J1082" s="22" t="str">
        <x:v>Saved bookmark metadata only</x:v>
      </x:c>
      <x:c r="K1082" s="22" t="str"/>
      <x:c r="L1082" s="24" t="str"/>
      <x:c r="M1082" s="24" t="str">
        <x:v>https://www.m-x.ca/en/trading/data/quotes?symbol=</x:v>
      </x:c>
      <x:c r="N1082" s="22" t="str">
        <x:v>305288826</x:v>
      </x:c>
      <x:c r="O1082" s="22" t="n">
        <x:v>1050</x:v>
      </x:c>
      <x:c r="P1082" s="22" t="n">
        <x:v>7</x:v>
      </x:c>
      <x:c r="Q1082" s="22" t="str"/>
      <x:c r="R1082" s="22" t="n">
        <x:f>COUNTIF($M$6:$M$1177,M1082)</x:f>
        <x:v>1</x:v>
      </x:c>
      <x:c r="S1082" s="22" t="str">
        <x:v>Contacts / records</x:v>
      </x:c>
      <x:c r="T1082" s="22" t="str">
        <x:v>Not established</x:v>
      </x:c>
    </x:row>
    <x:row r="1083" ht="48" customHeight="1">
      <x:c r="A1083" s="22" t="n">
        <x:v>1078</x:v>
      </x:c>
      <x:c r="B1083" s="22" t="str">
        <x:v>TMX TSX</x:v>
      </x:c>
      <x:c r="C1083" s="31" t="str">
        <x:v>U</x:v>
      </x:c>
      <x:c r="D1083" s="22" t="str">
        <x:v>Unassessed</x:v>
      </x:c>
      <x:c r="E1083" s="22" t="str">
        <x:v>FINANCE</x:v>
      </x:c>
      <x:c r="F1083" s="22" t="str">
        <x:v>Business-finance / public funding information</x:v>
      </x:c>
      <x:c r="G1083" s="22" t="str">
        <x:v>Verify the originating financial record and entity identifier; funding receipt is not evidence of fraud.</x:v>
      </x:c>
      <x:c r="H1083" s="22" t="str">
        <x:v>Verify publisher, source and current function before reliance</x:v>
      </x:c>
      <x:c r="I1083" s="22" t="str">
        <x:v>Not checked</x:v>
      </x:c>
      <x:c r="J1083" s="22" t="str">
        <x:v>Saved bookmark metadata only</x:v>
      </x:c>
      <x:c r="K1083" s="22" t="str"/>
      <x:c r="L1083" s="24" t="str"/>
      <x:c r="M1083" s="24" t="str">
        <x:v>https://www.tsx.com/listings/listing-with-us/listed-company-directory</x:v>
      </x:c>
      <x:c r="N1083" s="22" t="str">
        <x:v>305288827</x:v>
      </x:c>
      <x:c r="O1083" s="22" t="n">
        <x:v>1050</x:v>
      </x:c>
      <x:c r="P1083" s="22" t="n">
        <x:v>8</x:v>
      </x:c>
      <x:c r="Q1083" s="22" t="str"/>
      <x:c r="R1083" s="22" t="n">
        <x:f>COUNTIF($M$6:$M$1177,M1083)</x:f>
        <x:v>1</x:v>
      </x:c>
      <x:c r="S1083" s="22" t="str">
        <x:v>Contacts / records</x:v>
      </x:c>
      <x:c r="T1083" s="22" t="str">
        <x:v>Not established</x:v>
      </x:c>
    </x:row>
    <x:row r="1084" ht="48" customHeight="1">
      <x:c r="A1084" s="22" t="n">
        <x:v>1079</x:v>
      </x:c>
      <x:c r="B1084" s="22" t="str">
        <x:v>Search for Investment Fund Documents</x:v>
      </x:c>
      <x:c r="C1084" s="31" t="str">
        <x:v>U</x:v>
      </x:c>
      <x:c r="D1084" s="22" t="str">
        <x:v>Unassessed</x:v>
      </x:c>
      <x:c r="E1084" s="22" t="str">
        <x:v>FINANCE</x:v>
      </x:c>
      <x:c r="F1084" s="22" t="str">
        <x:v>Business-finance / public funding information</x:v>
      </x:c>
      <x:c r="G1084" s="22" t="str">
        <x:v>Verify the originating financial record and entity identifier; funding receipt is not evidence of fraud.</x:v>
      </x:c>
      <x:c r="H1084" s="22" t="str">
        <x:v>Verify publisher, source and current function before reliance</x:v>
      </x:c>
      <x:c r="I1084" s="22" t="str">
        <x:v>Not checked</x:v>
      </x:c>
      <x:c r="J1084" s="22" t="str">
        <x:v>Saved bookmark metadata only</x:v>
      </x:c>
      <x:c r="K1084" s="22" t="str"/>
      <x:c r="L1084" s="24" t="str"/>
      <x:c r="M1084" s="24" t="str">
        <x:v>https://www.sedar.com/search/search_form_mf_en.htm</x:v>
      </x:c>
      <x:c r="N1084" s="22" t="str">
        <x:v>305288884</x:v>
      </x:c>
      <x:c r="O1084" s="22" t="n">
        <x:v>1050</x:v>
      </x:c>
      <x:c r="P1084" s="22" t="n">
        <x:v>9</x:v>
      </x:c>
      <x:c r="Q1084" s="22" t="str"/>
      <x:c r="R1084" s="22" t="n">
        <x:f>COUNTIF($M$6:$M$1177,M1084)</x:f>
        <x:v>1</x:v>
      </x:c>
      <x:c r="S1084" s="22" t="str">
        <x:v>Contacts / records</x:v>
      </x:c>
      <x:c r="T1084" s="22" t="str">
        <x:v>Not established</x:v>
      </x:c>
    </x:row>
    <x:row r="1085" ht="48" customHeight="1">
      <x:c r="A1085" s="22" t="n">
        <x:v>1080</x:v>
      </x:c>
      <x:c r="B1085" s="22" t="str">
        <x:v>Companies &amp; Orgs Search Engine</x:v>
      </x:c>
      <x:c r="C1085" s="43" t="str">
        <x:v>C-P</x:v>
      </x:c>
      <x:c r="D1085" s="22" t="str">
        <x:v>Provisional</x:v>
      </x:c>
      <x:c r="E1085" s="22" t="str">
        <x:v>BUSINESS</x:v>
      </x:c>
      <x:c r="F1085" s="22" t="str">
        <x:v>Custom-search discovery only</x:v>
      </x:c>
      <x:c r="G1085" s="22" t="str">
        <x:v>The saved URL identifies a custom search. This engine's configuration, coverage and query results were not tested.</x:v>
      </x:c>
      <x:c r="H1085" s="22" t="str">
        <x:v>Open and verify the original result; do not count the search as corroboration</x:v>
      </x:c>
      <x:c r="I1085" s="22" t="str">
        <x:v>Not checked</x:v>
      </x:c>
      <x:c r="J1085" s="22" t="str">
        <x:v>Saved bookmark metadata only</x:v>
      </x:c>
      <x:c r="K1085" s="22" t="str"/>
      <x:c r="L1085" s="24" t="str"/>
      <x:c r="M1085" s="24" t="str">
        <x:v>https://cse.google.com/cse?cx=72ea9d8cfefc142d3</x:v>
      </x:c>
      <x:c r="N1085" s="22" t="str">
        <x:v>286819724</x:v>
      </x:c>
      <x:c r="O1085" s="22" t="n">
        <x:v>1050</x:v>
      </x:c>
      <x:c r="P1085" s="22" t="n">
        <x:v>1</x:v>
      </x:c>
      <x:c r="Q1085" s="22" t="str"/>
      <x:c r="R1085" s="22" t="n">
        <x:f>COUNTIF($M$6:$M$1177,M1085)</x:f>
        <x:v>1</x:v>
      </x:c>
      <x:c r="S1085" s="22" t="str">
        <x:v>Contacts / records</x:v>
      </x:c>
      <x:c r="T1085" s="22" t="str">
        <x:v>Low</x:v>
      </x:c>
    </x:row>
    <x:row r="1086" ht="48" customHeight="1">
      <x:c r="A1086" s="22" t="n">
        <x:v>1081</x:v>
      </x:c>
      <x:c r="B1086" s="22" t="str">
        <x:v>WhaleSlide</x:v>
      </x:c>
      <x:c r="C1086" s="31" t="str">
        <x:v>U</x:v>
      </x:c>
      <x:c r="D1086" s="22" t="str">
        <x:v>Unassessed</x:v>
      </x:c>
      <x:c r="E1086" s="22" t="str">
        <x:v>BUSINESS</x:v>
      </x:c>
      <x:c r="F1086" s="22" t="str">
        <x:v>Organization / role / funding records</x:v>
      </x:c>
      <x:c r="G1086" s="22" t="str">
        <x:v>Match jurisdiction, entity identifier, role and date; shared agents or addresses do not prove ownership.</x:v>
      </x:c>
      <x:c r="H1086" s="22" t="str">
        <x:v>Verify publisher, source and current function before reliance</x:v>
      </x:c>
      <x:c r="I1086" s="22" t="str">
        <x:v>Not checked</x:v>
      </x:c>
      <x:c r="J1086" s="22" t="str">
        <x:v>Saved bookmark metadata only</x:v>
      </x:c>
      <x:c r="K1086" s="22" t="str"/>
      <x:c r="L1086" s="24" t="str"/>
      <x:c r="M1086" s="24" t="str">
        <x:v>https://whaleslide.com/</x:v>
      </x:c>
      <x:c r="N1086" s="22" t="str">
        <x:v>286826152</x:v>
      </x:c>
      <x:c r="O1086" s="22" t="n">
        <x:v>1050</x:v>
      </x:c>
      <x:c r="P1086" s="22" t="n">
        <x:v>2</x:v>
      </x:c>
      <x:c r="Q1086" s="22" t="str"/>
      <x:c r="R1086" s="22" t="n">
        <x:f>COUNTIF($M$6:$M$1177,M1086)</x:f>
        <x:v>1</x:v>
      </x:c>
      <x:c r="S1086" s="22" t="str">
        <x:v>Contacts / records</x:v>
      </x:c>
      <x:c r="T1086" s="22" t="str">
        <x:v>Not established</x:v>
      </x:c>
    </x:row>
    <x:row r="1087" ht="48" customHeight="1">
      <x:c r="A1087" s="22" t="n">
        <x:v>1082</x:v>
      </x:c>
      <x:c r="B1087" s="22" t="str">
        <x:v>AllPeople</x:v>
      </x:c>
      <x:c r="C1087" s="39" t="str">
        <x:v>C</x:v>
      </x:c>
      <x:c r="D1087" s="22" t="str">
        <x:v>Documented</x:v>
      </x:c>
      <x:c r="E1087" s="22" t="str">
        <x:v>BUSINESS</x:v>
      </x:c>
      <x:c r="F1087" s="22" t="str">
        <x:v>Business-professional directory leads</x:v>
      </x:c>
      <x:c r="G1087" s="22" t="str">
        <x:v>Directory listings are starting points. Independently establish the person's role, employer and relevant dates.</x:v>
      </x:c>
      <x:c r="H1087" s="22" t="str">
        <x:v>Corroborate before attribution</x:v>
      </x:c>
      <x:c r="I1087" s="22" t="str">
        <x:v>Content readable; lookup not tested</x:v>
      </x:c>
      <x:c r="J1087" s="22" t="str">
        <x:v>Provider landing page</x:v>
      </x:c>
      <x:c r="K1087" s="22" t="str">
        <x:v>S041</x:v>
      </x:c>
      <x:c r="L1087" s="24" t="str">
        <x:v>https://allpeople.com/</x:v>
      </x:c>
      <x:c r="M1087" s="24" t="str">
        <x:v>https://allpeople.com/</x:v>
      </x:c>
      <x:c r="N1087" s="22" t="str">
        <x:v>268508960</x:v>
      </x:c>
      <x:c r="O1087" s="22" t="n">
        <x:v>1050</x:v>
      </x:c>
      <x:c r="P1087" s="22" t="n">
        <x:v>3</x:v>
      </x:c>
      <x:c r="Q1087" s="22" t="str">
        <x:v>2026-09-15</x:v>
      </x:c>
      <x:c r="R1087" s="22" t="n">
        <x:f>COUNTIF($M$6:$M$1177,M1087)</x:f>
        <x:v>1</x:v>
      </x:c>
      <x:c r="S1087" s="22" t="str">
        <x:v>Contacts / records</x:v>
      </x:c>
      <x:c r="T1087" s="22" t="str">
        <x:v>Scoped desk assessment</x:v>
      </x:c>
    </x:row>
    <x:row r="1088" ht="48" customHeight="1">
      <x:c r="A1088" s="22" t="n">
        <x:v>1083</x:v>
      </x:c>
      <x:c r="B1088" s="22" t="str">
        <x:v>Corporation Wiki</x:v>
      </x:c>
      <x:c r="C1088" s="31" t="str">
        <x:v>U</x:v>
      </x:c>
      <x:c r="D1088" s="22" t="str">
        <x:v>Access unresolved</x:v>
      </x:c>
      <x:c r="E1088" s="22" t="str">
        <x:v>BUSINESS</x:v>
      </x:c>
      <x:c r="F1088" s="22" t="str">
        <x:v>Organization / role / funding records</x:v>
      </x:c>
      <x:c r="G1088" s="22" t="str">
        <x:v>Match jurisdiction, entity identifier, role and date; shared agents or addresses do not prove ownership.</x:v>
      </x:c>
      <x:c r="H1088" s="22" t="str">
        <x:v>Check manually; retrieval failure is not evidence the service is unreliable</x:v>
      </x:c>
      <x:c r="I1088" s="22" t="str">
        <x:v>Unresolved reader access; website status unknown</x:v>
      </x:c>
      <x:c r="J1088" s="22" t="str">
        <x:v>Fetch attempted; no usable substantive content</x:v>
      </x:c>
      <x:c r="K1088" s="22" t="str"/>
      <x:c r="L1088" s="24" t="str"/>
      <x:c r="M1088" s="24" t="str">
        <x:v>https://www.corporationwiki.com/</x:v>
      </x:c>
      <x:c r="N1088" s="22" t="str">
        <x:v>268404186</x:v>
      </x:c>
      <x:c r="O1088" s="22" t="n">
        <x:v>1050</x:v>
      </x:c>
      <x:c r="P1088" s="22" t="n">
        <x:v>4</x:v>
      </x:c>
      <x:c r="Q1088" s="22" t="str">
        <x:v>2026-09-15</x:v>
      </x:c>
      <x:c r="R1088" s="22" t="n">
        <x:f>COUNTIF($M$6:$M$1177,M1088)</x:f>
        <x:v>1</x:v>
      </x:c>
      <x:c r="S1088" s="22" t="str">
        <x:v>Contacts / records</x:v>
      </x:c>
      <x:c r="T1088" s="22" t="str">
        <x:v>Not established</x:v>
      </x:c>
    </x:row>
    <x:row r="1089" ht="48" customHeight="1">
      <x:c r="A1089" s="22" t="n">
        <x:v>1084</x:v>
      </x:c>
      <x:c r="B1089" s="22" t="str">
        <x:v>PA PPP Database</x:v>
      </x:c>
      <x:c r="C1089" s="31" t="str">
        <x:v>U</x:v>
      </x:c>
      <x:c r="D1089" s="22" t="str">
        <x:v>Unassessed</x:v>
      </x:c>
      <x:c r="E1089" s="22" t="str">
        <x:v>BUSINESS</x:v>
      </x:c>
      <x:c r="F1089" s="22" t="str">
        <x:v>Organization / role / funding records</x:v>
      </x:c>
      <x:c r="G1089" s="22" t="str">
        <x:v>Match jurisdiction, entity identifier, role and date; shared agents or addresses do not prove ownership.</x:v>
      </x:c>
      <x:c r="H1089" s="22" t="str">
        <x:v>Verify publisher, source and current function before reliance</x:v>
      </x:c>
      <x:c r="I1089" s="22" t="str">
        <x:v>Not checked</x:v>
      </x:c>
      <x:c r="J1089" s="22" t="str">
        <x:v>Saved bookmark metadata only</x:v>
      </x:c>
      <x:c r="K1089" s="22" t="str"/>
      <x:c r="L1089" s="24" t="str"/>
      <x:c r="M1089" s="24" t="str">
        <x:v>https://public.flourish.studio/visualisation/3105919/</x:v>
      </x:c>
      <x:c r="N1089" s="22" t="str">
        <x:v>268470342</x:v>
      </x:c>
      <x:c r="O1089" s="22" t="n">
        <x:v>1050</x:v>
      </x:c>
      <x:c r="P1089" s="22" t="n">
        <x:v>5</x:v>
      </x:c>
      <x:c r="Q1089" s="22" t="str"/>
      <x:c r="R1089" s="22" t="n">
        <x:f>COUNTIF($M$6:$M$1177,M1089)</x:f>
        <x:v>1</x:v>
      </x:c>
      <x:c r="S1089" s="22" t="str">
        <x:v>Contacts / records</x:v>
      </x:c>
      <x:c r="T1089" s="22" t="str">
        <x:v>Not established</x:v>
      </x:c>
    </x:row>
    <x:row r="1090" ht="48" customHeight="1">
      <x:c r="A1090" s="22" t="n">
        <x:v>1085</x:v>
      </x:c>
      <x:c r="B1090" s="22" t="str">
        <x:v>Michigan PPP loans</x:v>
      </x:c>
      <x:c r="C1090" s="31" t="str">
        <x:v>U</x:v>
      </x:c>
      <x:c r="D1090" s="22" t="str">
        <x:v>Unassessed</x:v>
      </x:c>
      <x:c r="E1090" s="22" t="str">
        <x:v>BUSINESS</x:v>
      </x:c>
      <x:c r="F1090" s="22" t="str">
        <x:v>Organization / role / funding records</x:v>
      </x:c>
      <x:c r="G1090" s="22" t="str">
        <x:v>Match jurisdiction, entity identifier, role and date; shared agents or addresses do not prove ownership.</x:v>
      </x:c>
      <x:c r="H1090" s="22" t="str">
        <x:v>Verify publisher, source and current function before reliance</x:v>
      </x:c>
      <x:c r="I1090" s="22" t="str">
        <x:v>Not checked</x:v>
      </x:c>
      <x:c r="J1090" s="22" t="str">
        <x:v>Saved bookmark metadata only</x:v>
      </x:c>
      <x:c r="K1090" s="22" t="str"/>
      <x:c r="L1090" s="24" t="str"/>
      <x:c r="M1090" s="24" t="str">
        <x:v>https://c0eib122.caspio.com/dp/74321000d4c16abc2baf480b8934</x:v>
      </x:c>
      <x:c r="N1090" s="22" t="str">
        <x:v>286946360</x:v>
      </x:c>
      <x:c r="O1090" s="22" t="n">
        <x:v>1050</x:v>
      </x:c>
      <x:c r="P1090" s="22" t="n">
        <x:v>6</x:v>
      </x:c>
      <x:c r="Q1090" s="22" t="str"/>
      <x:c r="R1090" s="22" t="n">
        <x:f>COUNTIF($M$6:$M$1177,M1090)</x:f>
        <x:v>1</x:v>
      </x:c>
      <x:c r="S1090" s="22" t="str">
        <x:v>Contacts / records</x:v>
      </x:c>
      <x:c r="T1090" s="22" t="str">
        <x:v>Not established</x:v>
      </x:c>
    </x:row>
    <x:row r="1091" ht="54" customHeight="1">
      <x:c r="A1091" s="22" t="n">
        <x:v>1086</x:v>
      </x:c>
      <x:c r="B1091" s="22" t="str">
        <x:v>Companies House</x:v>
      </x:c>
      <x:c r="C1091" s="51" t="str">
        <x:v>A</x:v>
      </x:c>
      <x:c r="D1091" s="22" t="str">
        <x:v>Documented</x:v>
      </x:c>
      <x:c r="E1091" s="22" t="str">
        <x:v>BUSINESS</x:v>
      </x:c>
      <x:c r="F1091" s="22" t="str">
        <x:v>Official company filing provenance</x:v>
      </x:c>
      <x:c r="G1091" s="22" t="str">
        <x:v>Official registry: a filing's existence is authoritative; submitted statements still require verification. Identity checks do not certify every filed fact.</x:v>
      </x:c>
      <x:c r="H1091" s="22" t="str">
        <x:v>Verify exact official record</x:v>
      </x:c>
      <x:c r="I1091" s="22" t="str">
        <x:v>Registry notice readable; no entity query</x:v>
      </x:c>
      <x:c r="J1091" s="22" t="str">
        <x:v>Official registry notice</x:v>
      </x:c>
      <x:c r="K1091" s="22" t="str">
        <x:v>S037</x:v>
      </x:c>
      <x:c r="L1091" s="24" t="str">
        <x:v>https://find-and-update.company-information.service.gov.uk/</x:v>
      </x:c>
      <x:c r="M1091" s="24" t="str">
        <x:v>https://www.gov.uk/government/organisations/companies-house</x:v>
      </x:c>
      <x:c r="N1091" s="22" t="str">
        <x:v>268404188</x:v>
      </x:c>
      <x:c r="O1091" s="22" t="n">
        <x:v>1050</x:v>
      </x:c>
      <x:c r="P1091" s="22" t="n">
        <x:v>7</x:v>
      </x:c>
      <x:c r="Q1091" s="22" t="str">
        <x:v>2026-09-15</x:v>
      </x:c>
      <x:c r="R1091" s="22" t="n">
        <x:f>COUNTIF($M$6:$M$1177,M1091)</x:f>
        <x:v>1</x:v>
      </x:c>
      <x:c r="S1091" s="22" t="str">
        <x:v>Contacts / records</x:v>
      </x:c>
      <x:c r="T1091" s="22" t="str">
        <x:v>Scoped desk assessment</x:v>
      </x:c>
    </x:row>
    <x:row r="1092" ht="48" customHeight="1">
      <x:c r="A1092" s="22" t="n">
        <x:v>1087</x:v>
      </x:c>
      <x:c r="B1092" s="22" t="str">
        <x:v>Global Brownbook</x:v>
      </x:c>
      <x:c r="C1092" s="39" t="str">
        <x:v>C</x:v>
      </x:c>
      <x:c r="D1092" s="22" t="str">
        <x:v>Documented</x:v>
      </x:c>
      <x:c r="E1092" s="22" t="str">
        <x:v>BUSINESS</x:v>
      </x:c>
      <x:c r="F1092" s="22" t="str">
        <x:v>Business listing leads</x:v>
      </x:c>
      <x:c r="G1092" s="22" t="str">
        <x:v>Business-directory listings, including contributed listings. Verify contact and role claims with the organization or an original record.</x:v>
      </x:c>
      <x:c r="H1092" s="22" t="str">
        <x:v>Corroborate before attribution</x:v>
      </x:c>
      <x:c r="I1092" s="22" t="str">
        <x:v>Content readable; lookup not tested</x:v>
      </x:c>
      <x:c r="J1092" s="22" t="str">
        <x:v>Provider landing page</x:v>
      </x:c>
      <x:c r="K1092" s="22" t="str">
        <x:v>S042</x:v>
      </x:c>
      <x:c r="L1092" s="24" t="str">
        <x:v>https://www.brownbook.net/</x:v>
      </x:c>
      <x:c r="M1092" s="24" t="str">
        <x:v>https://www.brownbook.net/</x:v>
      </x:c>
      <x:c r="N1092" s="22" t="str">
        <x:v>268404189</x:v>
      </x:c>
      <x:c r="O1092" s="22" t="n">
        <x:v>1050</x:v>
      </x:c>
      <x:c r="P1092" s="22" t="n">
        <x:v>8</x:v>
      </x:c>
      <x:c r="Q1092" s="22" t="str">
        <x:v>2026-09-15</x:v>
      </x:c>
      <x:c r="R1092" s="22" t="n">
        <x:f>COUNTIF($M$6:$M$1177,M1092)</x:f>
        <x:v>1</x:v>
      </x:c>
      <x:c r="S1092" s="22" t="str">
        <x:v>Contacts / records</x:v>
      </x:c>
      <x:c r="T1092" s="22" t="str">
        <x:v>Scoped desk assessment</x:v>
      </x:c>
    </x:row>
    <x:row r="1093" ht="48" customHeight="1">
      <x:c r="A1093" s="22" t="n">
        <x:v>1088</x:v>
      </x:c>
      <x:c r="B1093" s="22" t="str">
        <x:v>list-org</x:v>
      </x:c>
      <x:c r="C1093" s="39" t="str">
        <x:v>C</x:v>
      </x:c>
      <x:c r="D1093" s="22" t="str">
        <x:v>Documented</x:v>
      </x:c>
      <x:c r="E1093" s="22" t="str">
        <x:v>BUSINESS</x:v>
      </x:c>
      <x:c r="F1093" s="22" t="str">
        <x:v>Russian company discovery</x:v>
      </x:c>
      <x:c r="G1093" s="22" t="str">
        <x:v>Secondary company-search service. Obtain a dated official registry extract before relying on a director or ownership connection.</x:v>
      </x:c>
      <x:c r="H1093" s="22" t="str">
        <x:v>Corroborate before attribution</x:v>
      </x:c>
      <x:c r="I1093" s="22" t="str">
        <x:v>Content readable; lookup not tested</x:v>
      </x:c>
      <x:c r="J1093" s="22" t="str">
        <x:v>Provider landing page</x:v>
      </x:c>
      <x:c r="K1093" s="22" t="str">
        <x:v>S043</x:v>
      </x:c>
      <x:c r="L1093" s="24" t="str">
        <x:v>https://www.list-org.com/</x:v>
      </x:c>
      <x:c r="M1093" s="24" t="str">
        <x:v>https://www.list-org.com/</x:v>
      </x:c>
      <x:c r="N1093" s="22" t="str">
        <x:v>268404193</x:v>
      </x:c>
      <x:c r="O1093" s="22" t="n">
        <x:v>1050</x:v>
      </x:c>
      <x:c r="P1093" s="22" t="n">
        <x:v>9</x:v>
      </x:c>
      <x:c r="Q1093" s="22" t="str">
        <x:v>2026-09-15</x:v>
      </x:c>
      <x:c r="R1093" s="22" t="n">
        <x:f>COUNTIF($M$6:$M$1177,M1093)</x:f>
        <x:v>1</x:v>
      </x:c>
      <x:c r="S1093" s="22" t="str">
        <x:v>Contacts / records</x:v>
      </x:c>
      <x:c r="T1093" s="22" t="str">
        <x:v>Scoped desk assessment</x:v>
      </x:c>
    </x:row>
    <x:row r="1094" ht="48" customHeight="1">
      <x:c r="A1094" s="22" t="n">
        <x:v>1089</x:v>
      </x:c>
      <x:c r="B1094" s="22" t="str">
        <x:v>OpenCorporates</x:v>
      </x:c>
      <x:c r="C1094" s="35" t="str">
        <x:v>B</x:v>
      </x:c>
      <x:c r="D1094" s="22" t="str">
        <x:v>Documented</x:v>
      </x:c>
      <x:c r="E1094" s="22" t="str">
        <x:v>BUSINESS</x:v>
      </x:c>
      <x:c r="F1094" s="22" t="str">
        <x:v>Source-linked company discovery</x:v>
      </x:c>
      <x:c r="G1094" s="22" t="str">
        <x:v>Registry aggregation with source provenance. Confirm jurisdiction, company number, role and dates against the originating registry.</x:v>
      </x:c>
      <x:c r="H1094" s="22" t="str">
        <x:v>Corroborate before attribution</x:v>
      </x:c>
      <x:c r="I1094" s="22" t="str">
        <x:v>Content readable; lookup not tested</x:v>
      </x:c>
      <x:c r="J1094" s="22" t="str">
        <x:v>Provider documentation</x:v>
      </x:c>
      <x:c r="K1094" s="22" t="str">
        <x:v>S038</x:v>
      </x:c>
      <x:c r="L1094" s="24" t="str">
        <x:v>https://opencorporates.com/</x:v>
      </x:c>
      <x:c r="M1094" s="24" t="str">
        <x:v>https://opencorporates.com/</x:v>
      </x:c>
      <x:c r="N1094" s="22" t="str">
        <x:v>268404194</x:v>
      </x:c>
      <x:c r="O1094" s="22" t="n">
        <x:v>1050</x:v>
      </x:c>
      <x:c r="P1094" s="22" t="n">
        <x:v>10</x:v>
      </x:c>
      <x:c r="Q1094" s="22" t="str">
        <x:v>2026-09-15</x:v>
      </x:c>
      <x:c r="R1094" s="22" t="n">
        <x:f>COUNTIF($M$6:$M$1177,M1094)</x:f>
        <x:v>1</x:v>
      </x:c>
      <x:c r="S1094" s="22" t="str">
        <x:v>Contacts / records</x:v>
      </x:c>
      <x:c r="T1094" s="22" t="str">
        <x:v>Scoped desk assessment</x:v>
      </x:c>
    </x:row>
    <x:row r="1095" ht="48" customHeight="1">
      <x:c r="A1095" s="22" t="n">
        <x:v>1090</x:v>
      </x:c>
      <x:c r="B1095" s="22" t="str">
        <x:v>ICIJ Offshore Leaks Database</x:v>
      </x:c>
      <x:c r="C1095" s="35" t="str">
        <x:v>B</x:v>
      </x:c>
      <x:c r="D1095" s="22" t="str">
        <x:v>Documented</x:v>
      </x:c>
      <x:c r="E1095" s="22" t="str">
        <x:v>BUSINESS</x:v>
      </x:c>
      <x:c r="F1095" s="22" t="str">
        <x:v>Historical offshore-record connections</x:v>
      </x:c>
      <x:c r="G1095" s="22" t="str">
        <x:v>Historical dataset, not a wrongdoing list. Resolve namesakes and follow the specific source documents before attributing a connection.</x:v>
      </x:c>
      <x:c r="H1095" s="22" t="str">
        <x:v>Corroborate before attribution</x:v>
      </x:c>
      <x:c r="I1095" s="22" t="str">
        <x:v>Content readable; lookup not tested</x:v>
      </x:c>
      <x:c r="J1095" s="22" t="str">
        <x:v>Publisher methodology / caveats</x:v>
      </x:c>
      <x:c r="K1095" s="22" t="str">
        <x:v>S039</x:v>
      </x:c>
      <x:c r="L1095" s="24" t="str">
        <x:v>https://offshoreleaks.icij.org/pages/about</x:v>
      </x:c>
      <x:c r="M1095" s="24" t="str">
        <x:v>https://offshoreleaks.icij.org/</x:v>
      </x:c>
      <x:c r="N1095" s="22" t="str">
        <x:v>268404195</x:v>
      </x:c>
      <x:c r="O1095" s="22" t="n">
        <x:v>1050</x:v>
      </x:c>
      <x:c r="P1095" s="22" t="n">
        <x:v>11</x:v>
      </x:c>
      <x:c r="Q1095" s="22" t="str">
        <x:v>2026-09-15</x:v>
      </x:c>
      <x:c r="R1095" s="22" t="n">
        <x:f>COUNTIF($M$6:$M$1177,M1095)</x:f>
        <x:v>1</x:v>
      </x:c>
      <x:c r="S1095" s="22" t="str">
        <x:v>Contacts / records</x:v>
      </x:c>
      <x:c r="T1095" s="22" t="str">
        <x:v>Scoped desk assessment</x:v>
      </x:c>
    </x:row>
    <x:row r="1096" ht="48" customHeight="1">
      <x:c r="A1096" s="22" t="n">
        <x:v>1091</x:v>
      </x:c>
      <x:c r="B1096" s="22" t="str">
        <x:v>Home Comptroller.Texas.Gov</x:v>
      </x:c>
      <x:c r="C1096" s="51" t="str">
        <x:v>A</x:v>
      </x:c>
      <x:c r="D1096" s="22" t="str">
        <x:v>Documented</x:v>
      </x:c>
      <x:c r="E1096" s="22" t="str">
        <x:v>BUSINESS</x:v>
      </x:c>
      <x:c r="F1096" s="22" t="str">
        <x:v>Official Texas tax / entity records</x:v>
      </x:c>
      <x:c r="G1096" s="22" t="str">
        <x:v>Official agency entry point. Use the actual entity or tax-status record; a homepage or name match does not establish ownership.</x:v>
      </x:c>
      <x:c r="H1096" s="22" t="str">
        <x:v>Verify exact official record</x:v>
      </x:c>
      <x:c r="I1096" s="22" t="str">
        <x:v>Agency page readable; no entity query</x:v>
      </x:c>
      <x:c r="J1096" s="22" t="str">
        <x:v>Official agency page</x:v>
      </x:c>
      <x:c r="K1096" s="22" t="str">
        <x:v>S040</x:v>
      </x:c>
      <x:c r="L1096" s="24" t="str">
        <x:v>https://comptroller.texas.gov/</x:v>
      </x:c>
      <x:c r="M1096" s="24" t="str">
        <x:v>https://comptroller.texas.gov/</x:v>
      </x:c>
      <x:c r="N1096" s="22" t="str">
        <x:v>268465957</x:v>
      </x:c>
      <x:c r="O1096" s="22" t="n">
        <x:v>1050</x:v>
      </x:c>
      <x:c r="P1096" s="22" t="n">
        <x:v>12</x:v>
      </x:c>
      <x:c r="Q1096" s="22" t="str">
        <x:v>2026-09-15</x:v>
      </x:c>
      <x:c r="R1096" s="22" t="n">
        <x:f>COUNTIF($M$6:$M$1177,M1096)</x:f>
        <x:v>1</x:v>
      </x:c>
      <x:c r="S1096" s="22" t="str">
        <x:v>Contacts / records</x:v>
      </x:c>
      <x:c r="T1096" s="22" t="str">
        <x:v>Scoped desk assessment</x:v>
      </x:c>
    </x:row>
    <x:row r="1097" ht="48" customHeight="1">
      <x:c r="A1097" s="22" t="n">
        <x:v>1092</x:v>
      </x:c>
      <x:c r="B1097" s="22" t="str">
        <x:v>Company search tool</x:v>
      </x:c>
      <x:c r="C1097" s="39" t="str">
        <x:v>C</x:v>
      </x:c>
      <x:c r="D1097" s="22" t="str">
        <x:v>Documented</x:v>
      </x:c>
      <x:c r="E1097" s="22" t="str">
        <x:v>BUSINESS</x:v>
      </x:c>
      <x:c r="F1097" s="22" t="str">
        <x:v>Company-search query building</x:v>
      </x:c>
      <x:c r="G1097" s="22" t="str">
        <x:v>Search launcher, not independent confirmation. Attribute each returned claim to the original publisher.</x:v>
      </x:c>
      <x:c r="H1097" s="22" t="str">
        <x:v>Corroborate before attribution</x:v>
      </x:c>
      <x:c r="I1097" s="22" t="str">
        <x:v>Content readable; lookup not tested</x:v>
      </x:c>
      <x:c r="J1097" s="22" t="str">
        <x:v>Provider documentation</x:v>
      </x:c>
      <x:c r="K1097" s="22" t="str">
        <x:v>S044</x:v>
      </x:c>
      <x:c r="L1097" s="24" t="str">
        <x:v>https://www.aware-online.com/en/osint-tools/company-search-tool/</x:v>
      </x:c>
      <x:c r="M1097" s="24" t="str">
        <x:v>https://www.aware-online.com/en/osint-tools/company-search-tool/</x:v>
      </x:c>
      <x:c r="N1097" s="22" t="str">
        <x:v>268503463</x:v>
      </x:c>
      <x:c r="O1097" s="22" t="n">
        <x:v>1050</x:v>
      </x:c>
      <x:c r="P1097" s="22" t="n">
        <x:v>13</x:v>
      </x:c>
      <x:c r="Q1097" s="22" t="str">
        <x:v>2026-09-15</x:v>
      </x:c>
      <x:c r="R1097" s="22" t="n">
        <x:f>COUNTIF($M$6:$M$1177,M1097)</x:f>
        <x:v>1</x:v>
      </x:c>
      <x:c r="S1097" s="22" t="str">
        <x:v>Contacts / records</x:v>
      </x:c>
      <x:c r="T1097" s="22" t="str">
        <x:v>Scoped desk assessment</x:v>
      </x:c>
    </x:row>
    <x:row r="1098" ht="54" customHeight="1">
      <x:c r="A1098" s="22" t="n">
        <x:v>1093</x:v>
      </x:c>
      <x:c r="B1098" s="22" t="str">
        <x:v>XRefer</x:v>
      </x:c>
      <x:c r="C1098" s="39" t="str">
        <x:v>C</x:v>
      </x:c>
      <x:c r="D1098" s="22" t="str">
        <x:v>Documented</x:v>
      </x:c>
      <x:c r="E1098" s="22" t="str">
        <x:v>BUSINESS</x:v>
      </x:c>
      <x:c r="F1098" s="22" t="str">
        <x:v>Local service-provider referral leads</x:v>
      </x:c>
      <x:c r="G1098" s="22" t="str">
        <x:v>Current destination is a local-company referral directory. Verification claims on the landing page were not independently tested; this is not a corporate ownership register.</x:v>
      </x:c>
      <x:c r="H1098" s="22" t="str">
        <x:v>Corroborate before attribution</x:v>
      </x:c>
      <x:c r="I1098" s="22" t="str">
        <x:v>Content readable; lookup not tested</x:v>
      </x:c>
      <x:c r="J1098" s="22" t="str">
        <x:v>Provider landing page</x:v>
      </x:c>
      <x:c r="K1098" s="22" t="str">
        <x:v>S088</x:v>
      </x:c>
      <x:c r="L1098" s="24" t="str">
        <x:v>https://www.xrefer.com/</x:v>
      </x:c>
      <x:c r="M1098" s="24" t="str">
        <x:v>https://www.xrefer.com/</x:v>
      </x:c>
      <x:c r="N1098" s="22" t="str">
        <x:v>268509011</x:v>
      </x:c>
      <x:c r="O1098" s="22" t="n">
        <x:v>1050</x:v>
      </x:c>
      <x:c r="P1098" s="22" t="n">
        <x:v>14</x:v>
      </x:c>
      <x:c r="Q1098" s="22" t="str">
        <x:v>2026-09-15</x:v>
      </x:c>
      <x:c r="R1098" s="22" t="n">
        <x:f>COUNTIF($M$6:$M$1177,M1098)</x:f>
        <x:v>1</x:v>
      </x:c>
      <x:c r="S1098" s="22" t="str">
        <x:v>Contacts / records</x:v>
      </x:c>
      <x:c r="T1098" s="22" t="str">
        <x:v>Scoped desk assessment</x:v>
      </x:c>
    </x:row>
    <x:row r="1099" ht="48" customHeight="1">
      <x:c r="A1099" s="22" t="n">
        <x:v>1094</x:v>
      </x:c>
      <x:c r="B1099" s="22" t="str">
        <x:v>Ttabcenter.com</x:v>
      </x:c>
      <x:c r="C1099" s="31" t="str">
        <x:v>U</x:v>
      </x:c>
      <x:c r="D1099" s="22" t="str">
        <x:v>Access unresolved</x:v>
      </x:c>
      <x:c r="E1099" s="22" t="str">
        <x:v>BUSINESS</x:v>
      </x:c>
      <x:c r="F1099" s="22" t="str">
        <x:v>Organization / role / funding records</x:v>
      </x:c>
      <x:c r="G1099" s="22" t="str">
        <x:v>Match jurisdiction, entity identifier, role and date; shared agents or addresses do not prove ownership.</x:v>
      </x:c>
      <x:c r="H1099" s="22" t="str">
        <x:v>Check manually; retrieval failure is not evidence the service is unreliable</x:v>
      </x:c>
      <x:c r="I1099" s="22" t="str">
        <x:v>Unresolved reader access; website status unknown</x:v>
      </x:c>
      <x:c r="J1099" s="22" t="str">
        <x:v>Fetch attempted; no usable substantive content</x:v>
      </x:c>
      <x:c r="K1099" s="22" t="str"/>
      <x:c r="L1099" s="24" t="str"/>
      <x:c r="M1099" s="24" t="str">
        <x:v>https://ttabcenter.com/</x:v>
      </x:c>
      <x:c r="N1099" s="22" t="str">
        <x:v>268509686</x:v>
      </x:c>
      <x:c r="O1099" s="22" t="n">
        <x:v>1050</x:v>
      </x:c>
      <x:c r="P1099" s="22" t="n">
        <x:v>15</x:v>
      </x:c>
      <x:c r="Q1099" s="22" t="str">
        <x:v>2026-09-15</x:v>
      </x:c>
      <x:c r="R1099" s="22" t="n">
        <x:f>COUNTIF($M$6:$M$1177,M1099)</x:f>
        <x:v>1</x:v>
      </x:c>
      <x:c r="S1099" s="22" t="str">
        <x:v>Contacts / records</x:v>
      </x:c>
      <x:c r="T1099" s="22" t="str">
        <x:v>Not established</x:v>
      </x:c>
    </x:row>
    <x:row r="1100" ht="54" customHeight="1">
      <x:c r="A1100" s="22" t="n">
        <x:v>1095</x:v>
      </x:c>
      <x:c r="B1100" s="22" t="str">
        <x:v>First Search</x:v>
      </x:c>
      <x:c r="C1100" s="27" t="str">
        <x:v>N/A</x:v>
      </x:c>
      <x:c r="D1100" s="22" t="str">
        <x:v>Documented</x:v>
      </x:c>
      <x:c r="E1100" s="22" t="str">
        <x:v>BUSINESS</x:v>
      </x:c>
      <x:c r="F1100" s="22" t="str">
        <x:v>Editorial reference, not a contact database</x:v>
      </x:c>
      <x:c r="G1100" s="22" t="str">
        <x:v>The saved search URL redirects to First Round Review. The current destination is editorial material, not evidence of a personal connection.</x:v>
      </x:c>
      <x:c r="H1100" s="22" t="str">
        <x:v>Update label; use as reference only</x:v>
      </x:c>
      <x:c r="I1100" s="22" t="str">
        <x:v>Redirect to editorial site; old search not validated</x:v>
      </x:c>
      <x:c r="J1100" s="22" t="str">
        <x:v>Observed redirect and destination</x:v>
      </x:c>
      <x:c r="K1100" s="22" t="str">
        <x:v>S046</x:v>
      </x:c>
      <x:c r="L1100" s="24" t="str">
        <x:v>https://review.firstround.com/</x:v>
      </x:c>
      <x:c r="M1100" s="24" t="str">
        <x:v>https://search.firstround.com/</x:v>
      </x:c>
      <x:c r="N1100" s="22" t="str">
        <x:v>268509781</x:v>
      </x:c>
      <x:c r="O1100" s="22" t="n">
        <x:v>1050</x:v>
      </x:c>
      <x:c r="P1100" s="22" t="n">
        <x:v>16</x:v>
      </x:c>
      <x:c r="Q1100" s="22" t="str">
        <x:v>2026-09-15</x:v>
      </x:c>
      <x:c r="R1100" s="22" t="n">
        <x:f>COUNTIF($M$6:$M$1177,M1100)</x:f>
        <x:v>1</x:v>
      </x:c>
      <x:c r="S1100" s="22" t="str">
        <x:v>Contacts / records</x:v>
      </x:c>
      <x:c r="T1100" s="22" t="str">
        <x:v>Scoped desk assessment</x:v>
      </x:c>
    </x:row>
    <x:row r="1101" ht="48" customHeight="1">
      <x:c r="A1101" s="22" t="n">
        <x:v>1096</x:v>
      </x:c>
      <x:c r="B1101" s="22" t="str">
        <x:v>Findingstartups.com</x:v>
      </x:c>
      <x:c r="C1101" s="31" t="str">
        <x:v>U</x:v>
      </x:c>
      <x:c r="D1101" s="22" t="str">
        <x:v>Unassessed</x:v>
      </x:c>
      <x:c r="E1101" s="22" t="str">
        <x:v>BUSINESS</x:v>
      </x:c>
      <x:c r="F1101" s="22" t="str">
        <x:v>Organization / role / funding records</x:v>
      </x:c>
      <x:c r="G1101" s="22" t="str">
        <x:v>Match jurisdiction, entity identifier, role and date; shared agents or addresses do not prove ownership.</x:v>
      </x:c>
      <x:c r="H1101" s="22" t="str">
        <x:v>Verify publisher, source and current function before reliance</x:v>
      </x:c>
      <x:c r="I1101" s="22" t="str">
        <x:v>Not checked</x:v>
      </x:c>
      <x:c r="J1101" s="22" t="str">
        <x:v>Saved bookmark metadata only</x:v>
      </x:c>
      <x:c r="K1101" s="22" t="str"/>
      <x:c r="L1101" s="24" t="str"/>
      <x:c r="M1101" s="24" t="str">
        <x:v>https://findingstartups.com/</x:v>
      </x:c>
      <x:c r="N1101" s="22" t="str">
        <x:v>268510358</x:v>
      </x:c>
      <x:c r="O1101" s="22" t="n">
        <x:v>1050</x:v>
      </x:c>
      <x:c r="P1101" s="22" t="n">
        <x:v>17</x:v>
      </x:c>
      <x:c r="Q1101" s="22" t="str"/>
      <x:c r="R1101" s="22" t="n">
        <x:f>COUNTIF($M$6:$M$1177,M1101)</x:f>
        <x:v>1</x:v>
      </x:c>
      <x:c r="S1101" s="22" t="str">
        <x:v>Contacts / records</x:v>
      </x:c>
      <x:c r="T1101" s="22" t="str">
        <x:v>Not established</x:v>
      </x:c>
    </x:row>
    <x:row r="1102" ht="48" customHeight="1">
      <x:c r="A1102" s="22" t="n">
        <x:v>1097</x:v>
      </x:c>
      <x:c r="B1102" s="22" t="str">
        <x:v>Startup Tracker</x:v>
      </x:c>
      <x:c r="C1102" s="31" t="str">
        <x:v>U</x:v>
      </x:c>
      <x:c r="D1102" s="22" t="str">
        <x:v>Access unresolved</x:v>
      </x:c>
      <x:c r="E1102" s="22" t="str">
        <x:v>BUSINESS</x:v>
      </x:c>
      <x:c r="F1102" s="22" t="str">
        <x:v>Organization / role / funding records</x:v>
      </x:c>
      <x:c r="G1102" s="22" t="str">
        <x:v>Match jurisdiction, entity identifier, role and date; shared agents or addresses do not prove ownership.</x:v>
      </x:c>
      <x:c r="H1102" s="22" t="str">
        <x:v>Check manually; retrieval failure is not evidence the service is unreliable</x:v>
      </x:c>
      <x:c r="I1102" s="22" t="str">
        <x:v>Unresolved reader access; website status unknown</x:v>
      </x:c>
      <x:c r="J1102" s="22" t="str">
        <x:v>Fetch attempted; no usable substantive content</x:v>
      </x:c>
      <x:c r="K1102" s="22" t="str"/>
      <x:c r="L1102" s="24" t="str"/>
      <x:c r="M1102" s="24" t="str">
        <x:v>https://startuptracker.io/home</x:v>
      </x:c>
      <x:c r="N1102" s="22" t="str">
        <x:v>268510361</x:v>
      </x:c>
      <x:c r="O1102" s="22" t="n">
        <x:v>1050</x:v>
      </x:c>
      <x:c r="P1102" s="22" t="n">
        <x:v>18</x:v>
      </x:c>
      <x:c r="Q1102" s="22" t="str">
        <x:v>2026-09-15</x:v>
      </x:c>
      <x:c r="R1102" s="22" t="n">
        <x:f>COUNTIF($M$6:$M$1177,M1102)</x:f>
        <x:v>1</x:v>
      </x:c>
      <x:c r="S1102" s="22" t="str">
        <x:v>Contacts / records</x:v>
      </x:c>
      <x:c r="T1102" s="22" t="str">
        <x:v>Not established</x:v>
      </x:c>
    </x:row>
    <x:row r="1103" ht="48" customHeight="1">
      <x:c r="A1103" s="22" t="n">
        <x:v>1098</x:v>
      </x:c>
      <x:c r="B1103" s="22" t="str">
        <x:v>Shopsearchengine.com</x:v>
      </x:c>
      <x:c r="C1103" s="31" t="str">
        <x:v>U</x:v>
      </x:c>
      <x:c r="D1103" s="22" t="str">
        <x:v>Unassessed</x:v>
      </x:c>
      <x:c r="E1103" s="22" t="str">
        <x:v>BUSINESS</x:v>
      </x:c>
      <x:c r="F1103" s="22" t="str">
        <x:v>Organization / role / funding records</x:v>
      </x:c>
      <x:c r="G1103" s="22" t="str">
        <x:v>Match jurisdiction, entity identifier, role and date; shared agents or addresses do not prove ownership.</x:v>
      </x:c>
      <x:c r="H1103" s="22" t="str">
        <x:v>Verify publisher, source and current function before reliance</x:v>
      </x:c>
      <x:c r="I1103" s="22" t="str">
        <x:v>Not checked</x:v>
      </x:c>
      <x:c r="J1103" s="22" t="str">
        <x:v>Saved bookmark metadata only</x:v>
      </x:c>
      <x:c r="K1103" s="22" t="str"/>
      <x:c r="L1103" s="24" t="str"/>
      <x:c r="M1103" s="24" t="str">
        <x:v>http://shopsearchengine.com/</x:v>
      </x:c>
      <x:c r="N1103" s="22" t="str">
        <x:v>268514035</x:v>
      </x:c>
      <x:c r="O1103" s="22" t="n">
        <x:v>1050</x:v>
      </x:c>
      <x:c r="P1103" s="22" t="n">
        <x:v>19</x:v>
      </x:c>
      <x:c r="Q1103" s="22" t="str"/>
      <x:c r="R1103" s="22" t="n">
        <x:f>COUNTIF($M$6:$M$1177,M1103)</x:f>
        <x:v>1</x:v>
      </x:c>
      <x:c r="S1103" s="22" t="str">
        <x:v>Contacts / records</x:v>
      </x:c>
      <x:c r="T1103" s="22" t="str">
        <x:v>Not established</x:v>
      </x:c>
    </x:row>
    <x:row r="1104" ht="48" customHeight="1">
      <x:c r="A1104" s="22" t="n">
        <x:v>1099</x:v>
      </x:c>
      <x:c r="B1104" s="22" t="str">
        <x:v>Covidbailouttracker.com</x:v>
      </x:c>
      <x:c r="C1104" s="31" t="str">
        <x:v>U</x:v>
      </x:c>
      <x:c r="D1104" s="22" t="str">
        <x:v>Unassessed</x:v>
      </x:c>
      <x:c r="E1104" s="22" t="str">
        <x:v>BUSINESS</x:v>
      </x:c>
      <x:c r="F1104" s="22" t="str">
        <x:v>Organization / role / funding records</x:v>
      </x:c>
      <x:c r="G1104" s="22" t="str">
        <x:v>Match jurisdiction, entity identifier, role and date; shared agents or addresses do not prove ownership.</x:v>
      </x:c>
      <x:c r="H1104" s="22" t="str">
        <x:v>Verify publisher, source and current function before reliance</x:v>
      </x:c>
      <x:c r="I1104" s="22" t="str">
        <x:v>Not checked</x:v>
      </x:c>
      <x:c r="J1104" s="22" t="str">
        <x:v>Saved bookmark metadata only</x:v>
      </x:c>
      <x:c r="K1104" s="22" t="str"/>
      <x:c r="L1104" s="24" t="str"/>
      <x:c r="M1104" s="24" t="str">
        <x:v>https://covidbailouttracker.com/</x:v>
      </x:c>
      <x:c r="N1104" s="22" t="str">
        <x:v>271266204</x:v>
      </x:c>
      <x:c r="O1104" s="22" t="n">
        <x:v>1050</x:v>
      </x:c>
      <x:c r="P1104" s="22" t="n">
        <x:v>20</x:v>
      </x:c>
      <x:c r="Q1104" s="22" t="str"/>
      <x:c r="R1104" s="22" t="n">
        <x:f>COUNTIF($M$6:$M$1177,M1104)</x:f>
        <x:v>1</x:v>
      </x:c>
      <x:c r="S1104" s="22" t="str">
        <x:v>Contacts / records</x:v>
      </x:c>
      <x:c r="T1104" s="22" t="str">
        <x:v>Not established</x:v>
      </x:c>
    </x:row>
    <x:row r="1105" ht="54" customHeight="1">
      <x:c r="A1105" s="22" t="n">
        <x:v>1100</x:v>
      </x:c>
      <x:c r="B1105" s="22" t="str">
        <x:v>Coronavirus Bailouts: Search Every Company Approved for Federal Loans Over $150k</x:v>
      </x:c>
      <x:c r="C1105" s="35" t="str">
        <x:v>B</x:v>
      </x:c>
      <x:c r="D1105" s="22" t="str">
        <x:v>Documented</x:v>
      </x:c>
      <x:c r="E1105" s="22" t="str">
        <x:v>BUSINESS</x:v>
      </x:c>
      <x:c r="F1105" s="22" t="str">
        <x:v>Archived SBA loan-record discovery</x:v>
      </x:c>
      <x:c r="G1105" s="22" t="str">
        <x:v>Secondary archive of loan data. Confirm the particular entity and source record; a PPP loan is not evidence of fraud.</x:v>
      </x:c>
      <x:c r="H1105" s="22" t="str">
        <x:v>Corroborate before attribution</x:v>
      </x:c>
      <x:c r="I1105" s="22" t="str">
        <x:v>Content readable; lookup not tested</x:v>
      </x:c>
      <x:c r="J1105" s="22" t="str">
        <x:v>Publisher project / methodology</x:v>
      </x:c>
      <x:c r="K1105" s="22" t="str">
        <x:v>S045</x:v>
      </x:c>
      <x:c r="L1105" s="24" t="str">
        <x:v>https://projects.propublica.org/coronavirus/bailouts/</x:v>
      </x:c>
      <x:c r="M1105" s="24" t="str">
        <x:v>https://projects.propublica.org/coronavirus/bailouts/</x:v>
      </x:c>
      <x:c r="N1105" s="22" t="str">
        <x:v>271266209</x:v>
      </x:c>
      <x:c r="O1105" s="22" t="n">
        <x:v>1050</x:v>
      </x:c>
      <x:c r="P1105" s="22" t="n">
        <x:v>21</x:v>
      </x:c>
      <x:c r="Q1105" s="22" t="str">
        <x:v>2026-09-15</x:v>
      </x:c>
      <x:c r="R1105" s="22" t="n">
        <x:f>COUNTIF($M$6:$M$1177,M1105)</x:f>
        <x:v>1</x:v>
      </x:c>
      <x:c r="S1105" s="22" t="str">
        <x:v>Contacts / records</x:v>
      </x:c>
      <x:c r="T1105" s="22" t="str">
        <x:v>Scoped desk assessment</x:v>
      </x:c>
    </x:row>
    <x:row r="1106" ht="48" customHeight="1">
      <x:c r="A1106" s="22" t="n">
        <x:v>1101</x:v>
      </x:c>
      <x:c r="B1106" s="22" t="str">
        <x:v>LA County CA Restaurant Health Violations</x:v>
      </x:c>
      <x:c r="C1106" s="31" t="str">
        <x:v>U</x:v>
      </x:c>
      <x:c r="D1106" s="22" t="str">
        <x:v>Unassessed</x:v>
      </x:c>
      <x:c r="E1106" s="22" t="str">
        <x:v>BUSINESS</x:v>
      </x:c>
      <x:c r="F1106" s="22" t="str">
        <x:v>Organization / role / funding records</x:v>
      </x:c>
      <x:c r="G1106" s="22" t="str">
        <x:v>Match jurisdiction, entity identifier, role and date; shared agents or addresses do not prove ownership.</x:v>
      </x:c>
      <x:c r="H1106" s="22" t="str">
        <x:v>Verify publisher, source and current function before reliance</x:v>
      </x:c>
      <x:c r="I1106" s="22" t="str">
        <x:v>Not checked</x:v>
      </x:c>
      <x:c r="J1106" s="22" t="str">
        <x:v>Saved bookmark metadata only</x:v>
      </x:c>
      <x:c r="K1106" s="22" t="str"/>
      <x:c r="L1106" s="24" t="str"/>
      <x:c r="M1106" s="24" t="str">
        <x:v>https://b2.caspio.com/dp.asp?AppKey=22341000af0b9c98ebf047f1b9f2</x:v>
      </x:c>
      <x:c r="N1106" s="22" t="str">
        <x:v>287037685</x:v>
      </x:c>
      <x:c r="O1106" s="22" t="n">
        <x:v>1050</x:v>
      </x:c>
      <x:c r="P1106" s="22" t="n">
        <x:v>22</x:v>
      </x:c>
      <x:c r="Q1106" s="22" t="str"/>
      <x:c r="R1106" s="22" t="n">
        <x:f>COUNTIF($M$6:$M$1177,M1106)</x:f>
        <x:v>1</x:v>
      </x:c>
      <x:c r="S1106" s="22" t="str">
        <x:v>Contacts / records</x:v>
      </x:c>
      <x:c r="T1106" s="22" t="str">
        <x:v>Not established</x:v>
      </x:c>
    </x:row>
    <x:row r="1107" ht="48" customHeight="1">
      <x:c r="A1107" s="22" t="n">
        <x:v>1102</x:v>
      </x:c>
      <x:c r="B1107" s="22" t="str">
        <x:v>Kansas Restaurant Inspections</x:v>
      </x:c>
      <x:c r="C1107" s="31" t="str">
        <x:v>U</x:v>
      </x:c>
      <x:c r="D1107" s="22" t="str">
        <x:v>Unassessed</x:v>
      </x:c>
      <x:c r="E1107" s="22" t="str">
        <x:v>BUSINESS</x:v>
      </x:c>
      <x:c r="F1107" s="22" t="str">
        <x:v>Organization / role / funding records</x:v>
      </x:c>
      <x:c r="G1107" s="22" t="str">
        <x:v>Match jurisdiction, entity identifier, role and date; shared agents or addresses do not prove ownership.</x:v>
      </x:c>
      <x:c r="H1107" s="22" t="str">
        <x:v>Verify publisher, source and current function before reliance</x:v>
      </x:c>
      <x:c r="I1107" s="22" t="str">
        <x:v>Not checked</x:v>
      </x:c>
      <x:c r="J1107" s="22" t="str">
        <x:v>Saved bookmark metadata only</x:v>
      </x:c>
      <x:c r="K1107" s="22" t="str"/>
      <x:c r="L1107" s="24" t="str"/>
      <x:c r="M1107" s="24" t="str">
        <x:v>https://b2.caspio.com/dp/a1a31000af3bac4c5e434987a857</x:v>
      </x:c>
      <x:c r="N1107" s="22" t="str">
        <x:v>287037043</x:v>
      </x:c>
      <x:c r="O1107" s="22" t="n">
        <x:v>1050</x:v>
      </x:c>
      <x:c r="P1107" s="22" t="n">
        <x:v>23</x:v>
      </x:c>
      <x:c r="Q1107" s="22" t="str"/>
      <x:c r="R1107" s="22" t="n">
        <x:f>COUNTIF($M$6:$M$1177,M1107)</x:f>
        <x:v>1</x:v>
      </x:c>
      <x:c r="S1107" s="22" t="str">
        <x:v>Contacts / records</x:v>
      </x:c>
      <x:c r="T1107" s="22" t="str">
        <x:v>Not established</x:v>
      </x:c>
    </x:row>
    <x:row r="1108" ht="54" customHeight="1">
      <x:c r="A1108" s="22" t="n">
        <x:v>1103</x:v>
      </x:c>
      <x:c r="B1108" s="22" t="str">
        <x:v>Lexington-Fayette County KY Health Department Restaurant Inspections</x:v>
      </x:c>
      <x:c r="C1108" s="31" t="str">
        <x:v>U</x:v>
      </x:c>
      <x:c r="D1108" s="22" t="str">
        <x:v>Unassessed</x:v>
      </x:c>
      <x:c r="E1108" s="22" t="str">
        <x:v>BUSINESS</x:v>
      </x:c>
      <x:c r="F1108" s="22" t="str">
        <x:v>Organization / role / funding records</x:v>
      </x:c>
      <x:c r="G1108" s="22" t="str">
        <x:v>Match jurisdiction, entity identifier, role and date; shared agents or addresses do not prove ownership.</x:v>
      </x:c>
      <x:c r="H1108" s="22" t="str">
        <x:v>Verify publisher, source and current function before reliance</x:v>
      </x:c>
      <x:c r="I1108" s="22" t="str">
        <x:v>Not checked</x:v>
      </x:c>
      <x:c r="J1108" s="22" t="str">
        <x:v>Saved bookmark metadata only</x:v>
      </x:c>
      <x:c r="K1108" s="22" t="str"/>
      <x:c r="L1108" s="24" t="str"/>
      <x:c r="M1108" s="24" t="str">
        <x:v>https://b2.caspio.com/dp.asp?AppKey=c8521000c641ab80b6d2448e89d9</x:v>
      </x:c>
      <x:c r="N1108" s="22" t="str">
        <x:v>287037396</x:v>
      </x:c>
      <x:c r="O1108" s="22" t="n">
        <x:v>1050</x:v>
      </x:c>
      <x:c r="P1108" s="22" t="n">
        <x:v>24</x:v>
      </x:c>
      <x:c r="Q1108" s="22" t="str"/>
      <x:c r="R1108" s="22" t="n">
        <x:f>COUNTIF($M$6:$M$1177,M1108)</x:f>
        <x:v>1</x:v>
      </x:c>
      <x:c r="S1108" s="22" t="str">
        <x:v>Contacts / records</x:v>
      </x:c>
      <x:c r="T1108" s="22" t="str">
        <x:v>Not established</x:v>
      </x:c>
    </x:row>
    <x:row r="1109" ht="48" customHeight="1">
      <x:c r="A1109" s="22" t="n">
        <x:v>1104</x:v>
      </x:c>
      <x:c r="B1109" s="22" t="str">
        <x:v>FL Energy Money in Politics</x:v>
      </x:c>
      <x:c r="C1109" s="31" t="str">
        <x:v>U</x:v>
      </x:c>
      <x:c r="D1109" s="22" t="str">
        <x:v>Unassessed</x:v>
      </x:c>
      <x:c r="E1109" s="22" t="str">
        <x:v>BUSINESS</x:v>
      </x:c>
      <x:c r="F1109" s="22" t="str">
        <x:v>Organization / role / funding records</x:v>
      </x:c>
      <x:c r="G1109" s="22" t="str">
        <x:v>Match jurisdiction, entity identifier, role and date; shared agents or addresses do not prove ownership.</x:v>
      </x:c>
      <x:c r="H1109" s="22" t="str">
        <x:v>Verify publisher, source and current function before reliance</x:v>
      </x:c>
      <x:c r="I1109" s="22" t="str">
        <x:v>Not checked</x:v>
      </x:c>
      <x:c r="J1109" s="22" t="str">
        <x:v>Saved bookmark metadata only</x:v>
      </x:c>
      <x:c r="K1109" s="22" t="str"/>
      <x:c r="L1109" s="24" t="str"/>
      <x:c r="M1109" s="24" t="str">
        <x:v>https://b2.caspio.com/dp.asp?AppKey=c73210001174b8c2a8d444768f5c</x:v>
      </x:c>
      <x:c r="N1109" s="22" t="str">
        <x:v>287037542</x:v>
      </x:c>
      <x:c r="O1109" s="22" t="n">
        <x:v>1050</x:v>
      </x:c>
      <x:c r="P1109" s="22" t="n">
        <x:v>25</x:v>
      </x:c>
      <x:c r="Q1109" s="22" t="str"/>
      <x:c r="R1109" s="22" t="n">
        <x:f>COUNTIF($M$6:$M$1177,M1109)</x:f>
        <x:v>1</x:v>
      </x:c>
      <x:c r="S1109" s="22" t="str">
        <x:v>Contacts / records</x:v>
      </x:c>
      <x:c r="T1109" s="22" t="str">
        <x:v>Not established</x:v>
      </x:c>
    </x:row>
    <x:row r="1110" ht="48" customHeight="1">
      <x:c r="A1110" s="22" t="n">
        <x:v>1105</x:v>
      </x:c>
      <x:c r="B1110" s="22" t="str">
        <x:v>ValidFleetList (unknown Sail Boat database)</x:v>
      </x:c>
      <x:c r="C1110" s="31" t="str">
        <x:v>U</x:v>
      </x:c>
      <x:c r="D1110" s="22" t="str">
        <x:v>Unassessed</x:v>
      </x:c>
      <x:c r="E1110" s="22" t="str">
        <x:v>BUSINESS</x:v>
      </x:c>
      <x:c r="F1110" s="22" t="str">
        <x:v>Organization / role / funding records</x:v>
      </x:c>
      <x:c r="G1110" s="22" t="str">
        <x:v>Match jurisdiction, entity identifier, role and date; shared agents or addresses do not prove ownership.</x:v>
      </x:c>
      <x:c r="H1110" s="22" t="str">
        <x:v>Verify publisher, source and current function before reliance</x:v>
      </x:c>
      <x:c r="I1110" s="22" t="str">
        <x:v>Not checked</x:v>
      </x:c>
      <x:c r="J1110" s="22" t="str">
        <x:v>Saved bookmark metadata only</x:v>
      </x:c>
      <x:c r="K1110" s="22" t="str"/>
      <x:c r="L1110" s="24" t="str"/>
      <x:c r="M1110" s="24" t="str">
        <x:v>https://c0eru285.caspio.com/dp/0dc330002829dcc1ad864b5bb094</x:v>
      </x:c>
      <x:c r="N1110" s="22" t="str">
        <x:v>286945493</x:v>
      </x:c>
      <x:c r="O1110" s="22" t="n">
        <x:v>1050</x:v>
      </x:c>
      <x:c r="P1110" s="22" t="n">
        <x:v>26</x:v>
      </x:c>
      <x:c r="Q1110" s="22" t="str"/>
      <x:c r="R1110" s="22" t="n">
        <x:f>COUNTIF($M$6:$M$1177,M1110)</x:f>
        <x:v>1</x:v>
      </x:c>
      <x:c r="S1110" s="22" t="str">
        <x:v>Contacts / records</x:v>
      </x:c>
      <x:c r="T1110" s="22" t="str">
        <x:v>Not established</x:v>
      </x:c>
    </x:row>
    <x:row r="1111" ht="48" customHeight="1">
      <x:c r="A1111" s="22" t="n">
        <x:v>1106</x:v>
      </x:c>
      <x:c r="B1111" s="22" t="str">
        <x:v>Viking Rifle Series Shooter Live Results</x:v>
      </x:c>
      <x:c r="C1111" s="31" t="str">
        <x:v>U</x:v>
      </x:c>
      <x:c r="D1111" s="22" t="str">
        <x:v>Unassessed</x:v>
      </x:c>
      <x:c r="E1111" s="22" t="str">
        <x:v>BUSINESS</x:v>
      </x:c>
      <x:c r="F1111" s="22" t="str">
        <x:v>Organization / role / funding records</x:v>
      </x:c>
      <x:c r="G1111" s="22" t="str">
        <x:v>Match jurisdiction, entity identifier, role and date; shared agents or addresses do not prove ownership.</x:v>
      </x:c>
      <x:c r="H1111" s="22" t="str">
        <x:v>Verify publisher, source and current function before reliance</x:v>
      </x:c>
      <x:c r="I1111" s="22" t="str">
        <x:v>Not checked</x:v>
      </x:c>
      <x:c r="J1111" s="22" t="str">
        <x:v>Saved bookmark metadata only</x:v>
      </x:c>
      <x:c r="K1111" s="22" t="str"/>
      <x:c r="L1111" s="24" t="str"/>
      <x:c r="M1111" s="24" t="str">
        <x:v>https://vikingrifleseries.caspio.com/dp/c8ac5000f29041f935cf42b6a641</x:v>
      </x:c>
      <x:c r="N1111" s="22" t="str">
        <x:v>286945718</x:v>
      </x:c>
      <x:c r="O1111" s="22" t="n">
        <x:v>1050</x:v>
      </x:c>
      <x:c r="P1111" s="22" t="n">
        <x:v>27</x:v>
      </x:c>
      <x:c r="Q1111" s="22" t="str"/>
      <x:c r="R1111" s="22" t="n">
        <x:f>COUNTIF($M$6:$M$1177,M1111)</x:f>
        <x:v>1</x:v>
      </x:c>
      <x:c r="S1111" s="22" t="str">
        <x:v>Contacts / records</x:v>
      </x:c>
      <x:c r="T1111" s="22" t="str">
        <x:v>Not established</x:v>
      </x:c>
    </x:row>
    <x:row r="1112" ht="48" customHeight="1">
      <x:c r="A1112" s="22" t="n">
        <x:v>1107</x:v>
      </x:c>
      <x:c r="B1112" s="22" t="str">
        <x:v>Openoversight</x:v>
      </x:c>
      <x:c r="C1112" s="39" t="str">
        <x:v>C</x:v>
      </x:c>
      <x:c r="D1112" s="22" t="str">
        <x:v>Documented</x:v>
      </x:c>
      <x:c r="E1112" s="22" t="str">
        <x:v>POLICE / LE / FED</x:v>
      </x:c>
      <x:c r="F1112" s="22" t="str">
        <x:v>Public and crowdsourced officer-directory leads</x:v>
      </x:c>
      <x:c r="G1112" s="22" t="str">
        <x:v>Crowdsourced/public information needs original-source confirmation. A directory association does not establish an allegation or finding.</x:v>
      </x:c>
      <x:c r="H1112" s="22" t="str">
        <x:v>Corroborate before attribution</x:v>
      </x:c>
      <x:c r="I1112" s="22" t="str">
        <x:v>Content readable; lookup not tested</x:v>
      </x:c>
      <x:c r="J1112" s="22" t="str">
        <x:v>Publisher project description</x:v>
      </x:c>
      <x:c r="K1112" s="22" t="str">
        <x:v>S062</x:v>
      </x:c>
      <x:c r="L1112" s="24" t="str">
        <x:v>https://openoversight.com/</x:v>
      </x:c>
      <x:c r="M1112" s="24" t="str">
        <x:v>https://openoversight.com/</x:v>
      </x:c>
      <x:c r="N1112" s="22" t="str">
        <x:v>268390096</x:v>
      </x:c>
      <x:c r="O1112" s="22" t="n">
        <x:v>1050</x:v>
      </x:c>
      <x:c r="P1112" s="22" t="n">
        <x:v>1</x:v>
      </x:c>
      <x:c r="Q1112" s="22" t="str">
        <x:v>2026-09-15</x:v>
      </x:c>
      <x:c r="R1112" s="22" t="n">
        <x:f>COUNTIF($M$6:$M$1177,M1112)</x:f>
        <x:v>1</x:v>
      </x:c>
      <x:c r="S1112" s="22" t="str">
        <x:v>Contacts / records</x:v>
      </x:c>
      <x:c r="T1112" s="22" t="str">
        <x:v>Scoped desk assessment</x:v>
      </x:c>
    </x:row>
    <x:row r="1113" ht="48" customHeight="1">
      <x:c r="A1113" s="22" t="n">
        <x:v>1108</x:v>
      </x:c>
      <x:c r="B1113" s="22" t="str">
        <x:v>Criminal Cop Database Lookup</x:v>
      </x:c>
      <x:c r="C1113" s="31" t="str">
        <x:v>U</x:v>
      </x:c>
      <x:c r="D1113" s="22" t="str">
        <x:v>Unassessed</x:v>
      </x:c>
      <x:c r="E1113" s="22" t="str">
        <x:v>POLICE / LE / FED</x:v>
      </x:c>
      <x:c r="F1113" s="22" t="str">
        <x:v>Police records / accountability information</x:v>
      </x:c>
      <x:c r="G1113" s="22" t="str">
        <x:v>Distinguish complaint, allegation, charge, investigation and final finding; verify the original record.</x:v>
      </x:c>
      <x:c r="H1113" s="22" t="str">
        <x:v>Verify publisher, source and current function before reliance</x:v>
      </x:c>
      <x:c r="I1113" s="22" t="str">
        <x:v>Not checked</x:v>
      </x:c>
      <x:c r="J1113" s="22" t="str">
        <x:v>Saved bookmark metadata only</x:v>
      </x:c>
      <x:c r="K1113" s="22" t="str"/>
      <x:c r="L1113" s="24" t="str"/>
      <x:c r="M1113" s="24" t="str">
        <x:v>https://extras.mercurynews.com/criminalcops/database/</x:v>
      </x:c>
      <x:c r="N1113" s="22" t="str">
        <x:v>268401530</x:v>
      </x:c>
      <x:c r="O1113" s="22" t="n">
        <x:v>1050</x:v>
      </x:c>
      <x:c r="P1113" s="22" t="n">
        <x:v>2</x:v>
      </x:c>
      <x:c r="Q1113" s="22" t="str"/>
      <x:c r="R1113" s="22" t="n">
        <x:f>COUNTIF($M$6:$M$1177,M1113)</x:f>
        <x:v>1</x:v>
      </x:c>
      <x:c r="S1113" s="22" t="str">
        <x:v>Contacts / records</x:v>
      </x:c>
      <x:c r="T1113" s="22" t="str">
        <x:v>Not established</x:v>
      </x:c>
    </x:row>
    <x:row r="1114" ht="48" customHeight="1">
      <x:c r="A1114" s="22" t="n">
        <x:v>1109</x:v>
      </x:c>
      <x:c r="B1114" s="22" t="str">
        <x:v>The Philadelphia Police Misconduct Database</x:v>
      </x:c>
      <x:c r="C1114" s="31" t="str">
        <x:v>U</x:v>
      </x:c>
      <x:c r="D1114" s="22" t="str">
        <x:v>Unassessed</x:v>
      </x:c>
      <x:c r="E1114" s="22" t="str">
        <x:v>POLICE / LE / FED</x:v>
      </x:c>
      <x:c r="F1114" s="22" t="str">
        <x:v>Police records / accountability information</x:v>
      </x:c>
      <x:c r="G1114" s="22" t="str">
        <x:v>Distinguish complaint, allegation, charge, investigation and final finding; verify the original record.</x:v>
      </x:c>
      <x:c r="H1114" s="22" t="str">
        <x:v>Verify publisher, source and current function before reliance</x:v>
      </x:c>
      <x:c r="I1114" s="22" t="str">
        <x:v>Not checked</x:v>
      </x:c>
      <x:c r="J1114" s="22" t="str">
        <x:v>Saved bookmark metadata only</x:v>
      </x:c>
      <x:c r="K1114" s="22" t="str"/>
      <x:c r="L1114" s="24" t="str"/>
      <x:c r="M1114" s="24" t="str">
        <x:v>https://datawrapper.dwcdn.net/3GbVI/1/</x:v>
      </x:c>
      <x:c r="N1114" s="22" t="str">
        <x:v>286944955</x:v>
      </x:c>
      <x:c r="O1114" s="22" t="n">
        <x:v>1050</x:v>
      </x:c>
      <x:c r="P1114" s="22" t="n">
        <x:v>3</x:v>
      </x:c>
      <x:c r="Q1114" s="22" t="str"/>
      <x:c r="R1114" s="22" t="n">
        <x:f>COUNTIF($M$6:$M$1177,M1114)</x:f>
        <x:v>1</x:v>
      </x:c>
      <x:c r="S1114" s="22" t="str">
        <x:v>Contacts / records</x:v>
      </x:c>
      <x:c r="T1114" s="22" t="str">
        <x:v>Not established</x:v>
      </x:c>
    </x:row>
    <x:row r="1115" ht="48" customHeight="1">
      <x:c r="A1115" s="22" t="n">
        <x:v>1110</x:v>
      </x:c>
      <x:c r="B1115" s="22" t="str">
        <x:v>NYPD Misconduct Complaint Database</x:v>
      </x:c>
      <x:c r="C1115" s="31" t="str">
        <x:v>U</x:v>
      </x:c>
      <x:c r="D1115" s="22" t="str">
        <x:v>Access unresolved</x:v>
      </x:c>
      <x:c r="E1115" s="22" t="str">
        <x:v>POLICE / LE / FED</x:v>
      </x:c>
      <x:c r="F1115" s="22" t="str">
        <x:v>Police records / accountability information</x:v>
      </x:c>
      <x:c r="G1115" s="22" t="str">
        <x:v>Distinguish complaint, allegation, charge, investigation and final finding; verify the original record.</x:v>
      </x:c>
      <x:c r="H1115" s="22" t="str">
        <x:v>Check manually; retrieval failure is not evidence the service is unreliable</x:v>
      </x:c>
      <x:c r="I1115" s="22" t="str">
        <x:v>Unresolved reader access; website status unknown</x:v>
      </x:c>
      <x:c r="J1115" s="22" t="str">
        <x:v>Fetch attempted; no usable substantive content</x:v>
      </x:c>
      <x:c r="K1115" s="22" t="str"/>
      <x:c r="L1115" s="24" t="str"/>
      <x:c r="M1115" s="24" t="str">
        <x:v>https://nyclu.shinyapps.io/CCRB_combo/</x:v>
      </x:c>
      <x:c r="N1115" s="22" t="str">
        <x:v>271269316</x:v>
      </x:c>
      <x:c r="O1115" s="22" t="n">
        <x:v>1050</x:v>
      </x:c>
      <x:c r="P1115" s="22" t="n">
        <x:v>4</x:v>
      </x:c>
      <x:c r="Q1115" s="22" t="str">
        <x:v>2026-09-15</x:v>
      </x:c>
      <x:c r="R1115" s="22" t="n">
        <x:f>COUNTIF($M$6:$M$1177,M1115)</x:f>
        <x:v>1</x:v>
      </x:c>
      <x:c r="S1115" s="22" t="str">
        <x:v>Contacts / records</x:v>
      </x:c>
      <x:c r="T1115" s="22" t="str">
        <x:v>Not established</x:v>
      </x:c>
    </x:row>
    <x:row r="1116" ht="48" customHeight="1">
      <x:c r="A1116" s="22" t="n">
        <x:v>1111</x:v>
      </x:c>
      <x:c r="B1116" s="22" t="str">
        <x:v>NYPD Officer Profile</x:v>
      </x:c>
      <x:c r="C1116" s="31" t="str">
        <x:v>U</x:v>
      </x:c>
      <x:c r="D1116" s="22" t="str">
        <x:v>Unassessed</x:v>
      </x:c>
      <x:c r="E1116" s="22" t="str">
        <x:v>POLICE / LE / FED</x:v>
      </x:c>
      <x:c r="F1116" s="22" t="str">
        <x:v>Police records / accountability information</x:v>
      </x:c>
      <x:c r="G1116" s="22" t="str">
        <x:v>Distinguish complaint, allegation, charge, investigation and final finding; verify the original record.</x:v>
      </x:c>
      <x:c r="H1116" s="22" t="str">
        <x:v>Verify publisher, source and current function before reliance</x:v>
      </x:c>
      <x:c r="I1116" s="22" t="str">
        <x:v>Not checked</x:v>
      </x:c>
      <x:c r="J1116" s="22" t="str">
        <x:v>Saved bookmark metadata only</x:v>
      </x:c>
      <x:c r="K1116" s="22" t="str"/>
      <x:c r="L1116" s="24" t="str"/>
      <x:c r="M1116" s="24" t="str">
        <x:v>https://nypdonline.org/link/2</x:v>
      </x:c>
      <x:c r="N1116" s="22" t="str">
        <x:v>286015888</x:v>
      </x:c>
      <x:c r="O1116" s="22" t="n">
        <x:v>1050</x:v>
      </x:c>
      <x:c r="P1116" s="22" t="n">
        <x:v>5</x:v>
      </x:c>
      <x:c r="Q1116" s="22" t="str"/>
      <x:c r="R1116" s="22" t="n">
        <x:f>COUNTIF($M$6:$M$1177,M1116)</x:f>
        <x:v>1</x:v>
      </x:c>
      <x:c r="S1116" s="22" t="str">
        <x:v>Contacts / records</x:v>
      </x:c>
      <x:c r="T1116" s="22" t="str">
        <x:v>Not established</x:v>
      </x:c>
    </x:row>
    <x:row r="1117" ht="48" customHeight="1">
      <x:c r="A1117" s="22" t="n">
        <x:v>1112</x:v>
      </x:c>
      <x:c r="B1117" s="22" t="str">
        <x:v>Maine County Law Enforcement Discipline Chart</x:v>
      </x:c>
      <x:c r="C1117" s="31" t="str">
        <x:v>U</x:v>
      </x:c>
      <x:c r="D1117" s="22" t="str">
        <x:v>Unassessed</x:v>
      </x:c>
      <x:c r="E1117" s="22" t="str">
        <x:v>POLICE / LE / FED</x:v>
      </x:c>
      <x:c r="F1117" s="22" t="str">
        <x:v>Police records / accountability information</x:v>
      </x:c>
      <x:c r="G1117" s="22" t="str">
        <x:v>Distinguish complaint, allegation, charge, investigation and final finding; verify the original record.</x:v>
      </x:c>
      <x:c r="H1117" s="22" t="str">
        <x:v>Verify publisher, source and current function before reliance</x:v>
      </x:c>
      <x:c r="I1117" s="22" t="str">
        <x:v>Not checked</x:v>
      </x:c>
      <x:c r="J1117" s="22" t="str">
        <x:v>Saved bookmark metadata only</x:v>
      </x:c>
      <x:c r="K1117" s="22" t="str"/>
      <x:c r="L1117" s="24" t="str"/>
      <x:c r="M1117" s="24" t="str">
        <x:v>https://public.flourish.studio/visualisation/4443849/?utm_source=showcase&amp;utm_campaign=visualisation/4443849</x:v>
      </x:c>
      <x:c r="N1117" s="22" t="str">
        <x:v>271267701</x:v>
      </x:c>
      <x:c r="O1117" s="22" t="n">
        <x:v>1050</x:v>
      </x:c>
      <x:c r="P1117" s="22" t="n">
        <x:v>6</x:v>
      </x:c>
      <x:c r="Q1117" s="22" t="str"/>
      <x:c r="R1117" s="22" t="n">
        <x:f>COUNTIF($M$6:$M$1177,M1117)</x:f>
        <x:v>1</x:v>
      </x:c>
      <x:c r="S1117" s="22" t="str">
        <x:v>Contacts / records</x:v>
      </x:c>
      <x:c r="T1117" s="22" t="str">
        <x:v>Not established</x:v>
      </x:c>
    </x:row>
    <x:row r="1118" ht="48" customHeight="1">
      <x:c r="A1118" s="22" t="n">
        <x:v>1113</x:v>
      </x:c>
      <x:c r="B1118" s="22" t="str">
        <x:v>Arizona LE Database - ABC15</x:v>
      </x:c>
      <x:c r="C1118" s="31" t="str">
        <x:v>U</x:v>
      </x:c>
      <x:c r="D1118" s="22" t="str">
        <x:v>Unassessed</x:v>
      </x:c>
      <x:c r="E1118" s="22" t="str">
        <x:v>POLICE / LE / FED</x:v>
      </x:c>
      <x:c r="F1118" s="22" t="str">
        <x:v>Police records / accountability information</x:v>
      </x:c>
      <x:c r="G1118" s="22" t="str">
        <x:v>Distinguish complaint, allegation, charge, investigation and final finding; verify the original record.</x:v>
      </x:c>
      <x:c r="H1118" s="22" t="str">
        <x:v>Verify publisher, source and current function before reliance</x:v>
      </x:c>
      <x:c r="I1118" s="22" t="str">
        <x:v>Not checked</x:v>
      </x:c>
      <x:c r="J1118" s="22" t="str">
        <x:v>Saved bookmark metadata only</x:v>
      </x:c>
      <x:c r="K1118" s="22" t="str"/>
      <x:c r="L1118" s="24" t="str"/>
      <x:c r="M1118" s="24" t="str">
        <x:v>https://datawrapper.dwcdn.net/kkg90/6/</x:v>
      </x:c>
      <x:c r="N1118" s="22" t="str">
        <x:v>268467434</x:v>
      </x:c>
      <x:c r="O1118" s="22" t="n">
        <x:v>1050</x:v>
      </x:c>
      <x:c r="P1118" s="22" t="n">
        <x:v>7</x:v>
      </x:c>
      <x:c r="Q1118" s="22" t="str"/>
      <x:c r="R1118" s="22" t="n">
        <x:f>COUNTIF($M$6:$M$1177,M1118)</x:f>
        <x:v>1</x:v>
      </x:c>
      <x:c r="S1118" s="22" t="str">
        <x:v>Contacts / records</x:v>
      </x:c>
      <x:c r="T1118" s="22" t="str">
        <x:v>Not established</x:v>
      </x:c>
    </x:row>
    <x:row r="1119" ht="48" customHeight="1">
      <x:c r="A1119" s="22" t="n">
        <x:v>1114</x:v>
      </x:c>
      <x:c r="B1119" s="22" t="str">
        <x:v>Police Complaint Lookup</x:v>
      </x:c>
      <x:c r="C1119" s="31" t="str">
        <x:v>U</x:v>
      </x:c>
      <x:c r="D1119" s="22" t="str">
        <x:v>Unassessed</x:v>
      </x:c>
      <x:c r="E1119" s="22" t="str">
        <x:v>POLICE / LE / FED</x:v>
      </x:c>
      <x:c r="F1119" s="22" t="str">
        <x:v>Police records / accountability information</x:v>
      </x:c>
      <x:c r="G1119" s="22" t="str">
        <x:v>Distinguish complaint, allegation, charge, investigation and final finding; verify the original record.</x:v>
      </x:c>
      <x:c r="H1119" s="22" t="str">
        <x:v>Verify publisher, source and current function before reliance</x:v>
      </x:c>
      <x:c r="I1119" s="22" t="str">
        <x:v>Not checked</x:v>
      </x:c>
      <x:c r="J1119" s="22" t="str">
        <x:v>Saved bookmark metadata only</x:v>
      </x:c>
      <x:c r="K1119" s="22" t="str"/>
      <x:c r="L1119" s="24" t="str"/>
      <x:c r="M1119" s="24" t="str">
        <x:v>http://complaints.cuapb.org/</x:v>
      </x:c>
      <x:c r="N1119" s="22" t="str">
        <x:v>270264531</x:v>
      </x:c>
      <x:c r="O1119" s="22" t="n">
        <x:v>1050</x:v>
      </x:c>
      <x:c r="P1119" s="22" t="n">
        <x:v>8</x:v>
      </x:c>
      <x:c r="Q1119" s="22" t="str"/>
      <x:c r="R1119" s="22" t="n">
        <x:f>COUNTIF($M$6:$M$1177,M1119)</x:f>
        <x:v>1</x:v>
      </x:c>
      <x:c r="S1119" s="22" t="str">
        <x:v>Contacts / records</x:v>
      </x:c>
      <x:c r="T1119" s="22" t="str">
        <x:v>Not established</x:v>
      </x:c>
    </x:row>
    <x:row r="1120" ht="114" customHeight="1">
      <x:c r="A1120" s="22" t="n">
        <x:v>1115</x:v>
      </x:c>
      <x:c r="B1120" s="22" t="str">
        <x:v>Boston Police Internal Affairs Cases, 2010-2020</x:v>
      </x:c>
      <x:c r="C1120" s="31" t="str">
        <x:v>U</x:v>
      </x:c>
      <x:c r="D1120" s="22" t="str">
        <x:v>Unassessed</x:v>
      </x:c>
      <x:c r="E1120" s="22" t="str">
        <x:v>POLICE / LE / FED</x:v>
      </x:c>
      <x:c r="F1120" s="22" t="str">
        <x:v>Police records / accountability information</x:v>
      </x:c>
      <x:c r="G1120" s="22" t="str">
        <x:v>Distinguish complaint, allegation, charge, investigation and final finding; verify the original record.</x:v>
      </x:c>
      <x:c r="H1120" s="22" t="str">
        <x:v>Verify publisher, source and current function before reliance</x:v>
      </x:c>
      <x:c r="I1120" s="22" t="str">
        <x:v>Not checked</x:v>
      </x:c>
      <x:c r="J1120" s="22" t="str">
        <x:v>Saved bookmark metadata only</x:v>
      </x:c>
      <x:c r="K1120" s="22" t="str"/>
      <x:c r="L1120" s="24" t="str"/>
      <x:c r="M1120" s="24" t="str">
        <x:v>https://apps.bostonglobe.com/graphics/2020/law-enforcement/index.html?initialWidth=1029&amp;childId=police-embed&amp;parentTitle=Database%3A%20Search%2010%20years%27%20worth%20of%20Boston%20Police%20Department%20disciplinary%20action&amp;parentUrl=https%3A%2F%2Fwww.bostonglobe.com%2F2020%2F11%2F24%2Fmetro%2Fheres-searchable-database-boston-police-department-internal-investigations-disciplinary-actions-more%2F</x:v>
      </x:c>
      <x:c r="N1120" s="22" t="str">
        <x:v>271265805</x:v>
      </x:c>
      <x:c r="O1120" s="22" t="n">
        <x:v>1050</x:v>
      </x:c>
      <x:c r="P1120" s="22" t="n">
        <x:v>9</x:v>
      </x:c>
      <x:c r="Q1120" s="22" t="str"/>
      <x:c r="R1120" s="22" t="n">
        <x:f>COUNTIF($M$6:$M$1177,M1120)</x:f>
        <x:v>1</x:v>
      </x:c>
      <x:c r="S1120" s="22" t="str">
        <x:v>Contacts / records</x:v>
      </x:c>
      <x:c r="T1120" s="22" t="str">
        <x:v>Not established</x:v>
      </x:c>
    </x:row>
    <x:row r="1121" ht="48" customHeight="1">
      <x:c r="A1121" s="22" t="n">
        <x:v>1116</x:v>
      </x:c>
      <x:c r="B1121" s="22" t="str">
        <x:v>Police Decertifcations Search and Report</x:v>
      </x:c>
      <x:c r="C1121" s="31" t="str">
        <x:v>U</x:v>
      </x:c>
      <x:c r="D1121" s="22" t="str">
        <x:v>Unassessed</x:v>
      </x:c>
      <x:c r="E1121" s="22" t="str">
        <x:v>POLICE / LE / FED</x:v>
      </x:c>
      <x:c r="F1121" s="22" t="str">
        <x:v>Police records / accountability information</x:v>
      </x:c>
      <x:c r="G1121" s="22" t="str">
        <x:v>Distinguish complaint, allegation, charge, investigation and final finding; verify the original record.</x:v>
      </x:c>
      <x:c r="H1121" s="22" t="str">
        <x:v>Verify publisher, source and current function before reliance</x:v>
      </x:c>
      <x:c r="I1121" s="22" t="str">
        <x:v>Not checked</x:v>
      </x:c>
      <x:c r="J1121" s="22" t="str">
        <x:v>Saved bookmark metadata only</x:v>
      </x:c>
      <x:c r="K1121" s="22" t="str"/>
      <x:c r="L1121" s="24" t="str"/>
      <x:c r="M1121" s="24" t="str">
        <x:v>https://c0acu882.caspio.com/dp/07da6000e467ebc2a444430c9c1d</x:v>
      </x:c>
      <x:c r="N1121" s="22" t="str">
        <x:v>268401539</x:v>
      </x:c>
      <x:c r="O1121" s="22" t="n">
        <x:v>1050</x:v>
      </x:c>
      <x:c r="P1121" s="22" t="n">
        <x:v>10</x:v>
      </x:c>
      <x:c r="Q1121" s="22" t="str"/>
      <x:c r="R1121" s="22" t="n">
        <x:f>COUNTIF($M$6:$M$1177,M1121)</x:f>
        <x:v>1</x:v>
      </x:c>
      <x:c r="S1121" s="22" t="str">
        <x:v>Contacts / records</x:v>
      </x:c>
      <x:c r="T1121" s="22" t="str">
        <x:v>Not established</x:v>
      </x:c>
    </x:row>
    <x:row r="1122" ht="48" customHeight="1">
      <x:c r="A1122" s="22" t="n">
        <x:v>1117</x:v>
      </x:c>
      <x:c r="B1122" s="22" t="str">
        <x:v>San Francisco CopWatch Database</x:v>
      </x:c>
      <x:c r="C1122" s="31" t="str">
        <x:v>U</x:v>
      </x:c>
      <x:c r="D1122" s="22" t="str">
        <x:v>Unassessed</x:v>
      </x:c>
      <x:c r="E1122" s="22" t="str">
        <x:v>POLICE / LE / FED</x:v>
      </x:c>
      <x:c r="F1122" s="22" t="str">
        <x:v>Police records / accountability information</x:v>
      </x:c>
      <x:c r="G1122" s="22" t="str">
        <x:v>Distinguish complaint, allegation, charge, investigation and final finding; verify the original record.</x:v>
      </x:c>
      <x:c r="H1122" s="22" t="str">
        <x:v>Verify publisher, source and current function before reliance</x:v>
      </x:c>
      <x:c r="I1122" s="22" t="str">
        <x:v>Not checked</x:v>
      </x:c>
      <x:c r="J1122" s="22" t="str">
        <x:v>Saved bookmark metadata only</x:v>
      </x:c>
      <x:c r="K1122" s="22" t="str"/>
      <x:c r="L1122" s="24" t="str"/>
      <x:c r="M1122" s="24" t="str">
        <x:v>https://airtable.com/embed/shreS9yA6eWiJAmHZ/tbl0A1AfPBOaPNBhH?backgroundColor=blue</x:v>
      </x:c>
      <x:c r="N1122" s="22" t="str">
        <x:v>268466230</x:v>
      </x:c>
      <x:c r="O1122" s="22" t="n">
        <x:v>1050</x:v>
      </x:c>
      <x:c r="P1122" s="22" t="n">
        <x:v>11</x:v>
      </x:c>
      <x:c r="Q1122" s="22" t="str"/>
      <x:c r="R1122" s="22" t="n">
        <x:f>COUNTIF($M$6:$M$1177,M1122)</x:f>
        <x:v>1</x:v>
      </x:c>
      <x:c r="S1122" s="22" t="str">
        <x:v>Contacts / records</x:v>
      </x:c>
      <x:c r="T1122" s="22" t="str">
        <x:v>Not established</x:v>
      </x:c>
    </x:row>
    <x:row r="1123" ht="48" customHeight="1">
      <x:c r="A1123" s="22" t="n">
        <x:v>1118</x:v>
      </x:c>
      <x:c r="B1123" s="22" t="str">
        <x:v>NJ Police and Fire FY 2011 Pension contribution</x:v>
      </x:c>
      <x:c r="C1123" s="31" t="str">
        <x:v>U</x:v>
      </x:c>
      <x:c r="D1123" s="22" t="str">
        <x:v>Unassessed</x:v>
      </x:c>
      <x:c r="E1123" s="22" t="str">
        <x:v>POLICE / LE / FED</x:v>
      </x:c>
      <x:c r="F1123" s="22" t="str">
        <x:v>Police records / accountability information</x:v>
      </x:c>
      <x:c r="G1123" s="22" t="str">
        <x:v>Distinguish complaint, allegation, charge, investigation and final finding; verify the original record.</x:v>
      </x:c>
      <x:c r="H1123" s="22" t="str">
        <x:v>Verify publisher, source and current function before reliance</x:v>
      </x:c>
      <x:c r="I1123" s="22" t="str">
        <x:v>Not checked</x:v>
      </x:c>
      <x:c r="J1123" s="22" t="str">
        <x:v>Saved bookmark metadata only</x:v>
      </x:c>
      <x:c r="K1123" s="22" t="str"/>
      <x:c r="L1123" s="24" t="str"/>
      <x:c r="M1123" s="24" t="str">
        <x:v>https://b2.caspio.com/dp.asp?AppKey=c43d100007eedbb0f0e740188660</x:v>
      </x:c>
      <x:c r="N1123" s="22" t="str">
        <x:v>287037492</x:v>
      </x:c>
      <x:c r="O1123" s="22" t="n">
        <x:v>1051</x:v>
      </x:c>
      <x:c r="P1123" s="22" t="n">
        <x:v>12</x:v>
      </x:c>
      <x:c r="Q1123" s="22" t="str"/>
      <x:c r="R1123" s="22" t="n">
        <x:f>COUNTIF($M$6:$M$1177,M1123)</x:f>
        <x:v>1</x:v>
      </x:c>
      <x:c r="S1123" s="22" t="str">
        <x:v>Contacts / records</x:v>
      </x:c>
      <x:c r="T1123" s="22" t="str">
        <x:v>Not established</x:v>
      </x:c>
    </x:row>
    <x:row r="1124" ht="54" customHeight="1">
      <x:c r="A1124" s="22" t="n">
        <x:v>1119</x:v>
      </x:c>
      <x:c r="B1124" s="22" t="str">
        <x:v>EFF Atlas of Surveillance</x:v>
      </x:c>
      <x:c r="C1124" s="35" t="str">
        <x:v>B</x:v>
      </x:c>
      <x:c r="D1124" s="22" t="str">
        <x:v>Documented</x:v>
      </x:c>
      <x:c r="E1124" s="22" t="str">
        <x:v>POLICE / LE / FED</x:v>
      </x:c>
      <x:c r="F1124" s="22" t="str">
        <x:v>Source-linked surveillance-technology adoption</x:v>
      </x:c>
      <x:c r="G1124" s="22" t="str">
        <x:v>Published source-linked research about agencies and technology. It does not identify who an agency surveilled or prove individual misconduct.</x:v>
      </x:c>
      <x:c r="H1124" s="22" t="str">
        <x:v>Corroborate before attribution</x:v>
      </x:c>
      <x:c r="I1124" s="22" t="str">
        <x:v>Content readable; lookup not tested</x:v>
      </x:c>
      <x:c r="J1124" s="22" t="str">
        <x:v>Publisher project description</x:v>
      </x:c>
      <x:c r="K1124" s="22" t="str">
        <x:v>S053</x:v>
      </x:c>
      <x:c r="L1124" s="24" t="str">
        <x:v>https://www.atlasofsurveillance.org/</x:v>
      </x:c>
      <x:c r="M1124" s="24" t="str">
        <x:v>https://atlasofsurveillance.org/</x:v>
      </x:c>
      <x:c r="N1124" s="22" t="str">
        <x:v>268466399</x:v>
      </x:c>
      <x:c r="O1124" s="22" t="n">
        <x:v>1051</x:v>
      </x:c>
      <x:c r="P1124" s="22" t="n">
        <x:v>13</x:v>
      </x:c>
      <x:c r="Q1124" s="22" t="str">
        <x:v>2026-09-15</x:v>
      </x:c>
      <x:c r="R1124" s="22" t="n">
        <x:f>COUNTIF($M$6:$M$1177,M1124)</x:f>
        <x:v>1</x:v>
      </x:c>
      <x:c r="S1124" s="22" t="str">
        <x:v>Contacts / records</x:v>
      </x:c>
      <x:c r="T1124" s="22" t="str">
        <x:v>Scoped desk assessment</x:v>
      </x:c>
    </x:row>
    <x:row r="1125" ht="48" customHeight="1">
      <x:c r="A1125" s="22" t="n">
        <x:v>1120</x:v>
      </x:c>
      <x:c r="B1125" s="22" t="str">
        <x:v>Clearview AI US taxpayer-funded entities</x:v>
      </x:c>
      <x:c r="C1125" s="31" t="str">
        <x:v>U</x:v>
      </x:c>
      <x:c r="D1125" s="22" t="str">
        <x:v>Unassessed</x:v>
      </x:c>
      <x:c r="E1125" s="22" t="str">
        <x:v>POLICE / LE / FED</x:v>
      </x:c>
      <x:c r="F1125" s="22" t="str">
        <x:v>Police records / accountability information</x:v>
      </x:c>
      <x:c r="G1125" s="22" t="str">
        <x:v>Distinguish complaint, allegation, charge, investigation and final finding; verify the original record.</x:v>
      </x:c>
      <x:c r="H1125" s="22" t="str">
        <x:v>Verify publisher, source and current function before reliance</x:v>
      </x:c>
      <x:c r="I1125" s="22" t="str">
        <x:v>Not checked</x:v>
      </x:c>
      <x:c r="J1125" s="22" t="str">
        <x:v>Saved bookmark metadata only</x:v>
      </x:c>
      <x:c r="K1125" s="22" t="str"/>
      <x:c r="L1125" s="24" t="str"/>
      <x:c r="M1125" s="24" t="str">
        <x:v>https://datawrapper.dwcdn.net/VOOIE/16/</x:v>
      </x:c>
      <x:c r="N1125" s="22" t="str">
        <x:v>286015864</x:v>
      </x:c>
      <x:c r="O1125" s="22" t="n">
        <x:v>1051</x:v>
      </x:c>
      <x:c r="P1125" s="22" t="n">
        <x:v>14</x:v>
      </x:c>
      <x:c r="Q1125" s="22" t="str"/>
      <x:c r="R1125" s="22" t="n">
        <x:f>COUNTIF($M$6:$M$1177,M1125)</x:f>
        <x:v>1</x:v>
      </x:c>
      <x:c r="S1125" s="22" t="str">
        <x:v>Contacts / records</x:v>
      </x:c>
      <x:c r="T1125" s="22" t="str">
        <x:v>Not established</x:v>
      </x:c>
    </x:row>
    <x:row r="1126" ht="48" customHeight="1">
      <x:c r="A1126" s="22" t="n">
        <x:v>1121</x:v>
      </x:c>
      <x:c r="B1126" s="22" t="str">
        <x:v>Oregon DPSST Professional Standards Cases Database</x:v>
      </x:c>
      <x:c r="C1126" s="51" t="str">
        <x:v>A</x:v>
      </x:c>
      <x:c r="D1126" s="22" t="str">
        <x:v>Documented</x:v>
      </x:c>
      <x:c r="E1126" s="22" t="str">
        <x:v>POLICE / LE / FED</x:v>
      </x:c>
      <x:c r="F1126" s="22" t="str">
        <x:v>Official Oregon certification-case status</x:v>
      </x:c>
      <x:c r="G1126" s="22" t="str">
        <x:v>DPSST expressly says Under Review is not proof of misconduct. Read the case status and final document before stating a finding.</x:v>
      </x:c>
      <x:c r="H1126" s="22" t="str">
        <x:v>Verify exact official record</x:v>
      </x:c>
      <x:c r="I1126" s="22" t="str">
        <x:v>Content readable; lookup not tested</x:v>
      </x:c>
      <x:c r="J1126" s="22" t="str">
        <x:v>Official agency status definitions</x:v>
      </x:c>
      <x:c r="K1126" s="22" t="str">
        <x:v>S051</x:v>
      </x:c>
      <x:c r="L1126" s="24" t="str">
        <x:v>https://www.oregon.gov/dpsst/CJ/Pages/Cases.aspx</x:v>
      </x:c>
      <x:c r="M1126" s="24" t="str">
        <x:v>https://www.oregon.gov/dpsst/CJ/Pages/Cases.aspx</x:v>
      </x:c>
      <x:c r="N1126" s="22" t="str">
        <x:v>268466582</x:v>
      </x:c>
      <x:c r="O1126" s="22" t="n">
        <x:v>1051</x:v>
      </x:c>
      <x:c r="P1126" s="22" t="n">
        <x:v>15</x:v>
      </x:c>
      <x:c r="Q1126" s="22" t="str">
        <x:v>2026-09-15</x:v>
      </x:c>
      <x:c r="R1126" s="22" t="n">
        <x:f>COUNTIF($M$6:$M$1177,M1126)</x:f>
        <x:v>1</x:v>
      </x:c>
      <x:c r="S1126" s="22" t="str">
        <x:v>Contacts / records</x:v>
      </x:c>
      <x:c r="T1126" s="22" t="str">
        <x:v>Scoped desk assessment</x:v>
      </x:c>
    </x:row>
    <x:row r="1127" ht="48" customHeight="1">
      <x:c r="A1127" s="22" t="n">
        <x:v>1122</x:v>
      </x:c>
      <x:c r="B1127" s="22" t="str">
        <x:v>PA Forfeiture 2010-2016 Search</x:v>
      </x:c>
      <x:c r="C1127" s="31" t="str">
        <x:v>U</x:v>
      </x:c>
      <x:c r="D1127" s="22" t="str">
        <x:v>Unassessed</x:v>
      </x:c>
      <x:c r="E1127" s="22" t="str">
        <x:v>POLICE / LE / FED</x:v>
      </x:c>
      <x:c r="F1127" s="22" t="str">
        <x:v>Police records / accountability information</x:v>
      </x:c>
      <x:c r="G1127" s="22" t="str">
        <x:v>Distinguish complaint, allegation, charge, investigation and final finding; verify the original record.</x:v>
      </x:c>
      <x:c r="H1127" s="22" t="str">
        <x:v>Verify publisher, source and current function before reliance</x:v>
      </x:c>
      <x:c r="I1127" s="22" t="str">
        <x:v>Not checked</x:v>
      </x:c>
      <x:c r="J1127" s="22" t="str">
        <x:v>Saved bookmark metadata only</x:v>
      </x:c>
      <x:c r="K1127" s="22" t="str"/>
      <x:c r="L1127" s="24" t="str"/>
      <x:c r="M1127" s="24" t="str">
        <x:v>https://b2.caspio.com/dp/0a921000328dc970793c4364bb2a</x:v>
      </x:c>
      <x:c r="N1127" s="22" t="str">
        <x:v>287037754</x:v>
      </x:c>
      <x:c r="O1127" s="22" t="n">
        <x:v>1051</x:v>
      </x:c>
      <x:c r="P1127" s="22" t="n">
        <x:v>16</x:v>
      </x:c>
      <x:c r="Q1127" s="22" t="str"/>
      <x:c r="R1127" s="22" t="n">
        <x:f>COUNTIF($M$6:$M$1177,M1127)</x:f>
        <x:v>1</x:v>
      </x:c>
      <x:c r="S1127" s="22" t="str">
        <x:v>Contacts / records</x:v>
      </x:c>
      <x:c r="T1127" s="22" t="str">
        <x:v>Not established</x:v>
      </x:c>
    </x:row>
    <x:row r="1128" ht="48" customHeight="1">
      <x:c r="A1128" s="22" t="n">
        <x:v>1123</x:v>
      </x:c>
      <x:c r="B1128" s="22" t="str">
        <x:v>BlueLeaks</x:v>
      </x:c>
      <x:c r="C1128" s="31" t="str">
        <x:v>U</x:v>
      </x:c>
      <x:c r="D1128" s="22" t="str">
        <x:v>Unassessed</x:v>
      </x:c>
      <x:c r="E1128" s="22" t="str">
        <x:v>POLICE / LE / FED</x:v>
      </x:c>
      <x:c r="F1128" s="22" t="str">
        <x:v>Police records / accountability information</x:v>
      </x:c>
      <x:c r="G1128" s="22" t="str">
        <x:v>Distinguish complaint, allegation, charge, investigation and final finding; verify the original record.</x:v>
      </x:c>
      <x:c r="H1128" s="22" t="str">
        <x:v>Verify publisher, source and current function before reliance</x:v>
      </x:c>
      <x:c r="I1128" s="22" t="str">
        <x:v>Not checked</x:v>
      </x:c>
      <x:c r="J1128" s="22" t="str">
        <x:v>Saved bookmark metadata only</x:v>
      </x:c>
      <x:c r="K1128" s="22" t="str"/>
      <x:c r="L1128" s="24" t="str"/>
      <x:c r="M1128" s="24" t="str">
        <x:v>https://blueleaks.io/index.html</x:v>
      </x:c>
      <x:c r="N1128" s="22" t="str">
        <x:v>268470624</x:v>
      </x:c>
      <x:c r="O1128" s="22" t="n">
        <x:v>1051</x:v>
      </x:c>
      <x:c r="P1128" s="22" t="n">
        <x:v>17</x:v>
      </x:c>
      <x:c r="Q1128" s="22" t="str"/>
      <x:c r="R1128" s="22" t="n">
        <x:f>COUNTIF($M$6:$M$1177,M1128)</x:f>
        <x:v>1</x:v>
      </x:c>
      <x:c r="S1128" s="22" t="str">
        <x:v>Contacts / records</x:v>
      </x:c>
      <x:c r="T1128" s="22" t="str">
        <x:v>Not established</x:v>
      </x:c>
    </x:row>
    <x:row r="1129" ht="54" customHeight="1">
      <x:c r="A1129" s="22" t="n">
        <x:v>1124</x:v>
      </x:c>
      <x:c r="B1129" s="22" t="str">
        <x:v>Plain View Project</x:v>
      </x:c>
      <x:c r="C1129" s="35" t="str">
        <x:v>B</x:v>
      </x:c>
      <x:c r="D1129" s="22" t="str">
        <x:v>Documented</x:v>
      </x:c>
      <x:c r="E1129" s="22" t="str">
        <x:v>POLICE / LE / FED</x:v>
      </x:c>
      <x:c r="F1129" s="22" t="str">
        <x:v>Selected archived public-post evidence</x:v>
      </x:c>
      <x:c r="G1129" s="22" t="str">
        <x:v>Selected posts with source links; metadata is not continually updated. A shared post does not necessarily represent all of an author's views.</x:v>
      </x:c>
      <x:c r="H1129" s="22" t="str">
        <x:v>Corroborate before attribution</x:v>
      </x:c>
      <x:c r="I1129" s="22" t="str">
        <x:v>Dataset documentation readable; not a current complete profile</x:v>
      </x:c>
      <x:c r="J1129" s="22" t="str">
        <x:v>Publisher methodology / caveats</x:v>
      </x:c>
      <x:c r="K1129" s="22" t="str">
        <x:v>S063</x:v>
      </x:c>
      <x:c r="L1129" s="24" t="str">
        <x:v>https://www.plainviewproject.org/data</x:v>
      </x:c>
      <x:c r="M1129" s="24" t="str">
        <x:v>https://www.plainviewproject.org/data</x:v>
      </x:c>
      <x:c r="N1129" s="22" t="str">
        <x:v>268470604</x:v>
      </x:c>
      <x:c r="O1129" s="22" t="n">
        <x:v>1051</x:v>
      </x:c>
      <x:c r="P1129" s="22" t="n">
        <x:v>18</x:v>
      </x:c>
      <x:c r="Q1129" s="22" t="str">
        <x:v>2026-09-15</x:v>
      </x:c>
      <x:c r="R1129" s="22" t="n">
        <x:f>COUNTIF($M$6:$M$1177,M1129)</x:f>
        <x:v>1</x:v>
      </x:c>
      <x:c r="S1129" s="22" t="str">
        <x:v>Contacts / records</x:v>
      </x:c>
      <x:c r="T1129" s="22" t="str">
        <x:v>Scoped desk assessment</x:v>
      </x:c>
    </x:row>
    <x:row r="1130" ht="48" customHeight="1">
      <x:c r="A1130" s="22" t="n">
        <x:v>1125</x:v>
      </x:c>
      <x:c r="B1130" s="22" t="str">
        <x:v>ICE Patrol</x:v>
      </x:c>
      <x:c r="C1130" s="31" t="str">
        <x:v>U</x:v>
      </x:c>
      <x:c r="D1130" s="22" t="str">
        <x:v>Unassessed</x:v>
      </x:c>
      <x:c r="E1130" s="22" t="str">
        <x:v>POLICE / LE / FED</x:v>
      </x:c>
      <x:c r="F1130" s="22" t="str">
        <x:v>Police records / accountability information</x:v>
      </x:c>
      <x:c r="G1130" s="22" t="str">
        <x:v>Distinguish complaint, allegation, charge, investigation and final finding; verify the original record.</x:v>
      </x:c>
      <x:c r="H1130" s="22" t="str">
        <x:v>Verify publisher, source and current function before reliance</x:v>
      </x:c>
      <x:c r="I1130" s="22" t="str">
        <x:v>Not checked</x:v>
      </x:c>
      <x:c r="J1130" s="22" t="str">
        <x:v>Saved bookmark metadata only</x:v>
      </x:c>
      <x:c r="K1130" s="22" t="str"/>
      <x:c r="L1130" s="24" t="str"/>
      <x:c r="M1130" s="24" t="str">
        <x:v>https://ice.wikileaks.org/search</x:v>
      </x:c>
      <x:c r="N1130" s="22" t="str">
        <x:v>268390104</x:v>
      </x:c>
      <x:c r="O1130" s="22" t="n">
        <x:v>1051</x:v>
      </x:c>
      <x:c r="P1130" s="22" t="n">
        <x:v>19</x:v>
      </x:c>
      <x:c r="Q1130" s="22" t="str"/>
      <x:c r="R1130" s="22" t="n">
        <x:f>COUNTIF($M$6:$M$1177,M1130)</x:f>
        <x:v>1</x:v>
      </x:c>
      <x:c r="S1130" s="22" t="str">
        <x:v>Contacts / records</x:v>
      </x:c>
      <x:c r="T1130" s="22" t="str">
        <x:v>Not established</x:v>
      </x:c>
    </x:row>
    <x:row r="1131" ht="48" customHeight="1">
      <x:c r="A1131" s="22" t="n">
        <x:v>1126</x:v>
      </x:c>
      <x:c r="B1131" s="22" t="str">
        <x:v>Policecrime.bgsu.edu</x:v>
      </x:c>
      <x:c r="C1131" s="35" t="str">
        <x:v>B</x:v>
      </x:c>
      <x:c r="D1131" s="22" t="str">
        <x:v>Documented</x:v>
      </x:c>
      <x:c r="E1131" s="22" t="str">
        <x:v>POLICE / LE / FED</x:v>
      </x:c>
      <x:c r="F1131" s="22" t="str">
        <x:v>Research dataset of officer criminal charges</x:v>
      </x:c>
      <x:c r="G1131" s="22" t="str">
        <x:v>The described coverage is 2005–2021. Charges and arrests are not convictions; confirm disposition in the underlying court record.</x:v>
      </x:c>
      <x:c r="H1131" s="22" t="str">
        <x:v>Corroborate before attribution</x:v>
      </x:c>
      <x:c r="I1131" s="22" t="str">
        <x:v>Historical dataset description readable; no person query</x:v>
      </x:c>
      <x:c r="J1131" s="22" t="str">
        <x:v>University dataset documentation</x:v>
      </x:c>
      <x:c r="K1131" s="22" t="str">
        <x:v>S064</x:v>
      </x:c>
      <x:c r="L1131" s="24" t="str">
        <x:v>https://policecrime.bgsu.edu/</x:v>
      </x:c>
      <x:c r="M1131" s="24" t="str">
        <x:v>https://policecrime.bgsu.edu/</x:v>
      </x:c>
      <x:c r="N1131" s="22" t="str">
        <x:v>268390880</x:v>
      </x:c>
      <x:c r="O1131" s="22" t="n">
        <x:v>1051</x:v>
      </x:c>
      <x:c r="P1131" s="22" t="n">
        <x:v>20</x:v>
      </x:c>
      <x:c r="Q1131" s="22" t="str">
        <x:v>2026-09-15</x:v>
      </x:c>
      <x:c r="R1131" s="22" t="n">
        <x:f>COUNTIF($M$6:$M$1177,M1131)</x:f>
        <x:v>1</x:v>
      </x:c>
      <x:c r="S1131" s="22" t="str">
        <x:v>Contacts / records</x:v>
      </x:c>
      <x:c r="T1131" s="22" t="str">
        <x:v>Scoped desk assessment</x:v>
      </x:c>
    </x:row>
    <x:row r="1132" ht="48" customHeight="1">
      <x:c r="A1132" s="22" t="n">
        <x:v>1127</x:v>
      </x:c>
      <x:c r="B1132" s="22" t="str">
        <x:v>CAPstat.nyc</x:v>
      </x:c>
      <x:c r="C1132" s="31" t="str">
        <x:v>U</x:v>
      </x:c>
      <x:c r="D1132" s="22" t="str">
        <x:v>Access unresolved</x:v>
      </x:c>
      <x:c r="E1132" s="22" t="str">
        <x:v>POLICE / LE / FED</x:v>
      </x:c>
      <x:c r="F1132" s="22" t="str">
        <x:v>Police records / accountability information</x:v>
      </x:c>
      <x:c r="G1132" s="22" t="str">
        <x:v>Distinguish complaint, allegation, charge, investigation and final finding; verify the original record.</x:v>
      </x:c>
      <x:c r="H1132" s="22" t="str">
        <x:v>Check manually; retrieval failure is not evidence the service is unreliable</x:v>
      </x:c>
      <x:c r="I1132" s="22" t="str">
        <x:v>Unresolved reader access; website status unknown</x:v>
      </x:c>
      <x:c r="J1132" s="22" t="str">
        <x:v>Fetch attempted; no usable substantive content</x:v>
      </x:c>
      <x:c r="K1132" s="22" t="str"/>
      <x:c r="L1132" s="24" t="str"/>
      <x:c r="M1132" s="24" t="str">
        <x:v>https://www.capstat.nyc/</x:v>
      </x:c>
      <x:c r="N1132" s="22" t="str">
        <x:v>268390094</x:v>
      </x:c>
      <x:c r="O1132" s="22" t="n">
        <x:v>1051</x:v>
      </x:c>
      <x:c r="P1132" s="22" t="n">
        <x:v>21</x:v>
      </x:c>
      <x:c r="Q1132" s="22" t="str">
        <x:v>2026-09-15</x:v>
      </x:c>
      <x:c r="R1132" s="22" t="n">
        <x:f>COUNTIF($M$6:$M$1177,M1132)</x:f>
        <x:v>1</x:v>
      </x:c>
      <x:c r="S1132" s="22" t="str">
        <x:v>Contacts / records</x:v>
      </x:c>
      <x:c r="T1132" s="22" t="str">
        <x:v>Not established</x:v>
      </x:c>
    </x:row>
    <x:row r="1133" ht="48" customHeight="1">
      <x:c r="A1133" s="22" t="n">
        <x:v>1128</x:v>
      </x:c>
      <x:c r="B1133" s="22" t="str">
        <x:v>Citizens Police Data Project</x:v>
      </x:c>
      <x:c r="C1133" s="31" t="str">
        <x:v>U</x:v>
      </x:c>
      <x:c r="D1133" s="22" t="str">
        <x:v>Access unresolved</x:v>
      </x:c>
      <x:c r="E1133" s="22" t="str">
        <x:v>POLICE / LE / FED</x:v>
      </x:c>
      <x:c r="F1133" s="22" t="str">
        <x:v>Police records / accountability information</x:v>
      </x:c>
      <x:c r="G1133" s="22" t="str">
        <x:v>Distinguish complaint, allegation, charge, investigation and final finding; verify the original record.</x:v>
      </x:c>
      <x:c r="H1133" s="22" t="str">
        <x:v>Check manually; retrieval failure is not evidence the service is unreliable</x:v>
      </x:c>
      <x:c r="I1133" s="22" t="str">
        <x:v>Unresolved reader access; website status unknown</x:v>
      </x:c>
      <x:c r="J1133" s="22" t="str">
        <x:v>Fetch attempted; no usable substantive content</x:v>
      </x:c>
      <x:c r="K1133" s="22" t="str"/>
      <x:c r="L1133" s="24" t="str"/>
      <x:c r="M1133" s="24" t="str">
        <x:v>https://beta.cpdp.co/</x:v>
      </x:c>
      <x:c r="N1133" s="22" t="str">
        <x:v>268390089</x:v>
      </x:c>
      <x:c r="O1133" s="22" t="n">
        <x:v>1051</x:v>
      </x:c>
      <x:c r="P1133" s="22" t="n">
        <x:v>22</x:v>
      </x:c>
      <x:c r="Q1133" s="22" t="str">
        <x:v>2026-09-15</x:v>
      </x:c>
      <x:c r="R1133" s="22" t="n">
        <x:f>COUNTIF($M$6:$M$1177,M1133)</x:f>
        <x:v>1</x:v>
      </x:c>
      <x:c r="S1133" s="22" t="str">
        <x:v>Contacts / records</x:v>
      </x:c>
      <x:c r="T1133" s="22" t="str">
        <x:v>Not established</x:v>
      </x:c>
    </x:row>
    <x:row r="1134" ht="48" customHeight="1">
      <x:c r="A1134" s="22" t="n">
        <x:v>1129</x:v>
      </x:c>
      <x:c r="B1134" s="22" t="str">
        <x:v>Fatal Encounters</x:v>
      </x:c>
      <x:c r="C1134" s="35" t="str">
        <x:v>B</x:v>
      </x:c>
      <x:c r="D1134" s="22" t="str">
        <x:v>Documented</x:v>
      </x:c>
      <x:c r="E1134" s="22" t="str">
        <x:v>POLICE / LE / FED</x:v>
      </x:c>
      <x:c r="F1134" s="22" t="str">
        <x:v>Fatal-encounter research records</x:v>
      </x:c>
      <x:c r="G1134" s="22" t="str">
        <x:v>Publisher documents coverage gaps and field limitations. A recorded encounter alone does not establish unlawful conduct.</x:v>
      </x:c>
      <x:c r="H1134" s="22" t="str">
        <x:v>Corroborate before attribution</x:v>
      </x:c>
      <x:c r="I1134" s="22" t="str">
        <x:v>Content readable; lookup not tested</x:v>
      </x:c>
      <x:c r="J1134" s="22" t="str">
        <x:v>Publisher methodology / caveats</x:v>
      </x:c>
      <x:c r="K1134" s="22" t="str">
        <x:v>S065</x:v>
      </x:c>
      <x:c r="L1134" s="24" t="str">
        <x:v>https://fatalencounters.org/people-search/</x:v>
      </x:c>
      <x:c r="M1134" s="24" t="str">
        <x:v>https://fatalencounters.org/people-search/</x:v>
      </x:c>
      <x:c r="N1134" s="22" t="str">
        <x:v>268390151</x:v>
      </x:c>
      <x:c r="O1134" s="22" t="n">
        <x:v>1051</x:v>
      </x:c>
      <x:c r="P1134" s="22" t="n">
        <x:v>23</x:v>
      </x:c>
      <x:c r="Q1134" s="22" t="str">
        <x:v>2026-09-15</x:v>
      </x:c>
      <x:c r="R1134" s="22" t="n">
        <x:f>COUNTIF($M$6:$M$1177,M1134)</x:f>
        <x:v>1</x:v>
      </x:c>
      <x:c r="S1134" s="22" t="str">
        <x:v>Contacts / records</x:v>
      </x:c>
      <x:c r="T1134" s="22" t="str">
        <x:v>Scoped desk assessment</x:v>
      </x:c>
    </x:row>
    <x:row r="1135" ht="54" customHeight="1">
      <x:c r="A1135" s="22" t="n">
        <x:v>1130</x:v>
      </x:c>
      <x:c r="B1135" s="22" t="str">
        <x:v>The NYPD Files</x:v>
      </x:c>
      <x:c r="C1135" s="35" t="str">
        <x:v>B</x:v>
      </x:c>
      <x:c r="D1135" s="22" t="str">
        <x:v>Documented</x:v>
      </x:c>
      <x:c r="E1135" s="22" t="str">
        <x:v>POLICE / LE / FED</x:v>
      </x:c>
      <x:c r="F1135" s="22" t="str">
        <x:v>Historical NYPD complaint archive only</x:v>
      </x:c>
      <x:c r="G1135" s="22" t="str">
        <x:v>Publisher says last updated July 2020 and no longer updated. Records cover a defined historical subset; allegations differ from substantiated findings.</x:v>
      </x:c>
      <x:c r="H1135" s="22" t="str">
        <x:v>Historical only; use current official records for present status</x:v>
      </x:c>
      <x:c r="I1135" s="22" t="str">
        <x:v>Archived: no longer updated after July 2020</x:v>
      </x:c>
      <x:c r="J1135" s="22" t="str">
        <x:v>Publisher update and methodology notice</x:v>
      </x:c>
      <x:c r="K1135" s="22" t="str">
        <x:v>S066</x:v>
      </x:c>
      <x:c r="L1135" s="24" t="str">
        <x:v>https://projects.propublica.org/nypd-ccrb/</x:v>
      </x:c>
      <x:c r="M1135" s="24" t="str">
        <x:v>https://projects.propublica.org/nypd-ccrb/</x:v>
      </x:c>
      <x:c r="N1135" s="22" t="str">
        <x:v>268390161</x:v>
      </x:c>
      <x:c r="O1135" s="22" t="n">
        <x:v>1051</x:v>
      </x:c>
      <x:c r="P1135" s="22" t="n">
        <x:v>24</x:v>
      </x:c>
      <x:c r="Q1135" s="22" t="str">
        <x:v>2026-09-15</x:v>
      </x:c>
      <x:c r="R1135" s="22" t="n">
        <x:f>COUNTIF($M$6:$M$1177,M1135)</x:f>
        <x:v>1</x:v>
      </x:c>
      <x:c r="S1135" s="22" t="str">
        <x:v>Contacts / records</x:v>
      </x:c>
      <x:c r="T1135" s="22" t="str">
        <x:v>Scoped desk assessment</x:v>
      </x:c>
    </x:row>
    <x:row r="1136" ht="48" customHeight="1">
      <x:c r="A1136" s="22" t="n">
        <x:v>1131</x:v>
      </x:c>
      <x:c r="B1136" s="22" t="str">
        <x:v>Open Data Policing</x:v>
      </x:c>
      <x:c r="C1136" s="31" t="str">
        <x:v>U</x:v>
      </x:c>
      <x:c r="D1136" s="22" t="str">
        <x:v>Access unresolved</x:v>
      </x:c>
      <x:c r="E1136" s="22" t="str">
        <x:v>POLICE / LE / FED</x:v>
      </x:c>
      <x:c r="F1136" s="22" t="str">
        <x:v>Police records / accountability information</x:v>
      </x:c>
      <x:c r="G1136" s="22" t="str">
        <x:v>Distinguish complaint, allegation, charge, investigation and final finding; verify the original record.</x:v>
      </x:c>
      <x:c r="H1136" s="22" t="str">
        <x:v>Check manually; retrieval failure is not evidence the service is unreliable</x:v>
      </x:c>
      <x:c r="I1136" s="22" t="str">
        <x:v>Unresolved reader access; website status unknown</x:v>
      </x:c>
      <x:c r="J1136" s="22" t="str">
        <x:v>Fetch attempted; no usable substantive content</x:v>
      </x:c>
      <x:c r="K1136" s="22" t="str"/>
      <x:c r="L1136" s="24" t="str"/>
      <x:c r="M1136" s="24" t="str">
        <x:v>https://opendatapolicing.com/</x:v>
      </x:c>
      <x:c r="N1136" s="22" t="str">
        <x:v>268390292</x:v>
      </x:c>
      <x:c r="O1136" s="22" t="n">
        <x:v>1051</x:v>
      </x:c>
      <x:c r="P1136" s="22" t="n">
        <x:v>25</x:v>
      </x:c>
      <x:c r="Q1136" s="22" t="str">
        <x:v>2026-09-15</x:v>
      </x:c>
      <x:c r="R1136" s="22" t="n">
        <x:f>COUNTIF($M$6:$M$1177,M1136)</x:f>
        <x:v>1</x:v>
      </x:c>
      <x:c r="S1136" s="22" t="str">
        <x:v>Contacts / records</x:v>
      </x:c>
      <x:c r="T1136" s="22" t="str">
        <x:v>Not established</x:v>
      </x:c>
    </x:row>
    <x:row r="1137" ht="48" customHeight="1">
      <x:c r="A1137" s="22" t="n">
        <x:v>1132</x:v>
      </x:c>
      <x:c r="B1137" s="22" t="str">
        <x:v>Police Surveillance in Chicago</x:v>
      </x:c>
      <x:c r="C1137" s="31" t="str">
        <x:v>U</x:v>
      </x:c>
      <x:c r="D1137" s="22" t="str">
        <x:v>Unassessed</x:v>
      </x:c>
      <x:c r="E1137" s="22" t="str">
        <x:v>POLICE / LE / FED</x:v>
      </x:c>
      <x:c r="F1137" s="22" t="str">
        <x:v>Police records / accountability information</x:v>
      </x:c>
      <x:c r="G1137" s="22" t="str">
        <x:v>Distinguish complaint, allegation, charge, investigation and final finding; verify the original record.</x:v>
      </x:c>
      <x:c r="H1137" s="22" t="str">
        <x:v>Verify publisher, source and current function before reliance</x:v>
      </x:c>
      <x:c r="I1137" s="22" t="str">
        <x:v>Not checked</x:v>
      </x:c>
      <x:c r="J1137" s="22" t="str">
        <x:v>Saved bookmark metadata only</x:v>
      </x:c>
      <x:c r="K1137" s="22" t="str"/>
      <x:c r="L1137" s="24" t="str"/>
      <x:c r="M1137" s="24" t="str">
        <x:v>https://redshiftzero.github.io/policesurveillance/</x:v>
      </x:c>
      <x:c r="N1137" s="22" t="str">
        <x:v>268391180</x:v>
      </x:c>
      <x:c r="O1137" s="22" t="n">
        <x:v>1051</x:v>
      </x:c>
      <x:c r="P1137" s="22" t="n">
        <x:v>26</x:v>
      </x:c>
      <x:c r="Q1137" s="22" t="str"/>
      <x:c r="R1137" s="22" t="n">
        <x:f>COUNTIF($M$6:$M$1177,M1137)</x:f>
        <x:v>1</x:v>
      </x:c>
      <x:c r="S1137" s="22" t="str">
        <x:v>Contacts / records</x:v>
      </x:c>
      <x:c r="T1137" s="22" t="str">
        <x:v>Not established</x:v>
      </x:c>
    </x:row>
    <x:row r="1138" ht="54" customHeight="1">
      <x:c r="A1138" s="22" t="n">
        <x:v>1133</x:v>
      </x:c>
      <x:c r="B1138" s="22" t="str">
        <x:v>Mappingpoliceviolence.org</x:v>
      </x:c>
      <x:c r="C1138" s="35" t="str">
        <x:v>B</x:v>
      </x:c>
      <x:c r="D1138" s="22" t="str">
        <x:v>Documented</x:v>
      </x:c>
      <x:c r="E1138" s="22" t="str">
        <x:v>POLICE / LE / FED</x:v>
      </x:c>
      <x:c r="F1138" s="22" t="str">
        <x:v>Defined fatal-encounter dataset</x:v>
      </x:c>
      <x:c r="G1138" s="22" t="str">
        <x:v>Published coding and review process. Definition includes legally justified and unjustified encounters; coding changes and data dates matter.</x:v>
      </x:c>
      <x:c r="H1138" s="22" t="str">
        <x:v>Corroborate before attribution</x:v>
      </x:c>
      <x:c r="I1138" s="22" t="str">
        <x:v>Methodology readable; data marked updated August 31, 2026</x:v>
      </x:c>
      <x:c r="J1138" s="22" t="str">
        <x:v>Publisher methodology</x:v>
      </x:c>
      <x:c r="K1138" s="22" t="str">
        <x:v>S077</x:v>
      </x:c>
      <x:c r="L1138" s="24" t="str">
        <x:v>https://mappingpoliceviolence.org/methodology</x:v>
      </x:c>
      <x:c r="M1138" s="24" t="str">
        <x:v>https://mappingpoliceviolence.org/</x:v>
      </x:c>
      <x:c r="N1138" s="22" t="str">
        <x:v>268401482</x:v>
      </x:c>
      <x:c r="O1138" s="22" t="n">
        <x:v>1051</x:v>
      </x:c>
      <x:c r="P1138" s="22" t="n">
        <x:v>27</x:v>
      </x:c>
      <x:c r="Q1138" s="22" t="str">
        <x:v>2026-09-15</x:v>
      </x:c>
      <x:c r="R1138" s="22" t="n">
        <x:f>COUNTIF($M$6:$M$1177,M1138)</x:f>
        <x:v>1</x:v>
      </x:c>
      <x:c r="S1138" s="22" t="str">
        <x:v>Contacts / records</x:v>
      </x:c>
      <x:c r="T1138" s="22" t="str">
        <x:v>Scoped desk assessment</x:v>
      </x:c>
    </x:row>
    <x:row r="1139" ht="48" customHeight="1">
      <x:c r="A1139" s="22" t="n">
        <x:v>1134</x:v>
      </x:c>
      <x:c r="B1139" s="22" t="str">
        <x:v>Police Protest Videos</x:v>
      </x:c>
      <x:c r="C1139" s="31" t="str">
        <x:v>U</x:v>
      </x:c>
      <x:c r="D1139" s="22" t="str">
        <x:v>Unassessed</x:v>
      </x:c>
      <x:c r="E1139" s="22" t="str">
        <x:v>POLICE / LE / FED</x:v>
      </x:c>
      <x:c r="F1139" s="22" t="str">
        <x:v>Police records / accountability information</x:v>
      </x:c>
      <x:c r="G1139" s="22" t="str">
        <x:v>Distinguish complaint, allegation, charge, investigation and final finding; verify the original record.</x:v>
      </x:c>
      <x:c r="H1139" s="22" t="str">
        <x:v>Verify publisher, source and current function before reliance</x:v>
      </x:c>
      <x:c r="I1139" s="22" t="str">
        <x:v>Not checked</x:v>
      </x:c>
      <x:c r="J1139" s="22" t="str">
        <x:v>Saved bookmark metadata only</x:v>
      </x:c>
      <x:c r="K1139" s="22" t="str"/>
      <x:c r="L1139" s="24" t="str"/>
      <x:c r="M1139" s="24" t="str">
        <x:v>https://projects.propublica.org/protest-police-videos/</x:v>
      </x:c>
      <x:c r="N1139" s="22" t="str">
        <x:v>286105922</x:v>
      </x:c>
      <x:c r="O1139" s="22" t="n">
        <x:v>1051</x:v>
      </x:c>
      <x:c r="P1139" s="22" t="n">
        <x:v>28</x:v>
      </x:c>
      <x:c r="Q1139" s="22" t="str"/>
      <x:c r="R1139" s="22" t="n">
        <x:f>COUNTIF($M$6:$M$1177,M1139)</x:f>
        <x:v>1</x:v>
      </x:c>
      <x:c r="S1139" s="22" t="str">
        <x:v>Contacts / records</x:v>
      </x:c>
      <x:c r="T1139" s="22" t="str">
        <x:v>Not established</x:v>
      </x:c>
    </x:row>
    <x:row r="1140" ht="54" customHeight="1">
      <x:c r="A1140" s="22" t="n">
        <x:v>1135</x:v>
      </x:c>
      <x:c r="B1140" s="22" t="str">
        <x:v>GeorgeFloyd Protest police brutality videos</x:v>
      </x:c>
      <x:c r="C1140" s="31" t="str">
        <x:v>U</x:v>
      </x:c>
      <x:c r="D1140" s="22" t="str">
        <x:v>Unassessed</x:v>
      </x:c>
      <x:c r="E1140" s="22" t="str">
        <x:v>POLICE / LE / FED</x:v>
      </x:c>
      <x:c r="F1140" s="22" t="str">
        <x:v>Police records / accountability information</x:v>
      </x:c>
      <x:c r="G1140" s="22" t="str">
        <x:v>Distinguish complaint, allegation, charge, investigation and final finding; verify the original record.</x:v>
      </x:c>
      <x:c r="H1140" s="22" t="str">
        <x:v>Verify publisher, source and current function before reliance</x:v>
      </x:c>
      <x:c r="I1140" s="22" t="str">
        <x:v>Not checked</x:v>
      </x:c>
      <x:c r="J1140" s="22" t="str">
        <x:v>Saved bookmark metadata only</x:v>
      </x:c>
      <x:c r="K1140" s="22" t="str"/>
      <x:c r="L1140" s="24" t="str"/>
      <x:c r="M1140" s="24" t="str">
        <x:v>https://docs.google.com/spreadsheets/u/1/d/1YmZeSxpz52qT-10tkCjWOwOGkQqle7Wd1P7ZM1wMW0E/htmlview?pru=AAABcql6DI8*mIHYeMnoj9XWUp3Svb_KZA#</x:v>
      </x:c>
      <x:c r="N1140" s="22" t="str">
        <x:v>268401495</x:v>
      </x:c>
      <x:c r="O1140" s="22" t="n">
        <x:v>1051</x:v>
      </x:c>
      <x:c r="P1140" s="22" t="n">
        <x:v>29</x:v>
      </x:c>
      <x:c r="Q1140" s="22" t="str"/>
      <x:c r="R1140" s="22" t="n">
        <x:f>COUNTIF($M$6:$M$1177,M1140)</x:f>
        <x:v>1</x:v>
      </x:c>
      <x:c r="S1140" s="22" t="str">
        <x:v>Contacts / records</x:v>
      </x:c>
      <x:c r="T1140" s="22" t="str">
        <x:v>Not established</x:v>
      </x:c>
    </x:row>
    <x:row r="1141" ht="54" customHeight="1">
      <x:c r="A1141" s="22" t="n">
        <x:v>1136</x:v>
      </x:c>
      <x:c r="B1141" s="22" t="str">
        <x:v>Police Body-Worn Camera Footage Access Map</x:v>
      </x:c>
      <x:c r="C1141" s="27" t="str">
        <x:v>N/A</x:v>
      </x:c>
      <x:c r="D1141" s="22" t="str">
        <x:v>Documented</x:v>
      </x:c>
      <x:c r="E1141" s="22" t="str">
        <x:v>POLICE / LE / FED</x:v>
      </x:c>
      <x:c r="F1141" s="22" t="str">
        <x:v>Body-camera access reference</x:v>
      </x:c>
      <x:c r="G1141" s="22" t="str">
        <x:v>Information about records-access rules, not a database establishing individual conduct. Check the applicable current rule before a records request.</x:v>
      </x:c>
      <x:c r="H1141" s="22" t="str">
        <x:v>Reference only; verify applicable current rule</x:v>
      </x:c>
      <x:c r="I1141" s="22" t="str">
        <x:v>Content readable; lookup not tested</x:v>
      </x:c>
      <x:c r="J1141" s="22" t="str">
        <x:v>Publisher reference guide</x:v>
      </x:c>
      <x:c r="K1141" s="22" t="str">
        <x:v>S054</x:v>
      </x:c>
      <x:c r="L1141" s="24" t="str">
        <x:v>https://www.rcfp.org/resources/bodycams/</x:v>
      </x:c>
      <x:c r="M1141" s="24" t="str">
        <x:v>https://www.rcfp.org/resources/bodycams/</x:v>
      </x:c>
      <x:c r="N1141" s="22" t="str">
        <x:v>268401534</x:v>
      </x:c>
      <x:c r="O1141" s="22" t="n">
        <x:v>1051</x:v>
      </x:c>
      <x:c r="P1141" s="22" t="n">
        <x:v>30</x:v>
      </x:c>
      <x:c r="Q1141" s="22" t="str">
        <x:v>2026-09-15</x:v>
      </x:c>
      <x:c r="R1141" s="22" t="n">
        <x:f>COUNTIF($M$6:$M$1177,M1141)</x:f>
        <x:v>1</x:v>
      </x:c>
      <x:c r="S1141" s="22" t="str">
        <x:v>Contacts / records</x:v>
      </x:c>
      <x:c r="T1141" s="22" t="str">
        <x:v>Scoped desk assessment</x:v>
      </x:c>
    </x:row>
    <x:row r="1142" ht="48" customHeight="1">
      <x:c r="A1142" s="22" t="n">
        <x:v>1137</x:v>
      </x:c>
      <x:c r="B1142" s="22" t="str">
        <x:v>Policebrutalitydatabase.org</x:v>
      </x:c>
      <x:c r="C1142" s="31" t="str">
        <x:v>U</x:v>
      </x:c>
      <x:c r="D1142" s="22" t="str">
        <x:v>Unassessed</x:v>
      </x:c>
      <x:c r="E1142" s="22" t="str">
        <x:v>POLICE / LE / FED</x:v>
      </x:c>
      <x:c r="F1142" s="22" t="str">
        <x:v>Police records / accountability information</x:v>
      </x:c>
      <x:c r="G1142" s="22" t="str">
        <x:v>Distinguish complaint, allegation, charge, investigation and final finding; verify the original record.</x:v>
      </x:c>
      <x:c r="H1142" s="22" t="str">
        <x:v>Verify publisher, source and current function before reliance</x:v>
      </x:c>
      <x:c r="I1142" s="22" t="str">
        <x:v>Not checked</x:v>
      </x:c>
      <x:c r="J1142" s="22" t="str">
        <x:v>Saved bookmark metadata only</x:v>
      </x:c>
      <x:c r="K1142" s="22" t="str"/>
      <x:c r="L1142" s="24" t="str"/>
      <x:c r="M1142" s="24" t="str">
        <x:v>https://www.policebrutalitydatabase.org/</x:v>
      </x:c>
      <x:c r="N1142" s="22" t="str">
        <x:v>268401874</x:v>
      </x:c>
      <x:c r="O1142" s="22" t="n">
        <x:v>1051</x:v>
      </x:c>
      <x:c r="P1142" s="22" t="n">
        <x:v>31</x:v>
      </x:c>
      <x:c r="Q1142" s="22" t="str"/>
      <x:c r="R1142" s="22" t="n">
        <x:f>COUNTIF($M$6:$M$1177,M1142)</x:f>
        <x:v>1</x:v>
      </x:c>
      <x:c r="S1142" s="22" t="str">
        <x:v>Contacts / records</x:v>
      </x:c>
      <x:c r="T1142" s="22" t="str">
        <x:v>Not established</x:v>
      </x:c>
    </x:row>
    <x:row r="1143" ht="48" customHeight="1">
      <x:c r="A1143" s="22" t="n">
        <x:v>1138</x:v>
      </x:c>
      <x:c r="B1143" s="22" t="str">
        <x:v>Civilian Office of Police Accountability</x:v>
      </x:c>
      <x:c r="C1143" s="51" t="str">
        <x:v>A</x:v>
      </x:c>
      <x:c r="D1143" s="22" t="str">
        <x:v>Documented</x:v>
      </x:c>
      <x:c r="E1143" s="22" t="str">
        <x:v>POLICE / LE / FED</x:v>
      </x:c>
      <x:c r="F1143" s="22" t="str">
        <x:v>Official Chicago COPA case reports</x:v>
      </x:c>
      <x:c r="G1143" s="22" t="str">
        <x:v>Official investigative reports cover differing findings and outcomes. Read the final finding, not just the existence of a case.</x:v>
      </x:c>
      <x:c r="H1143" s="22" t="str">
        <x:v>Verify exact official record</x:v>
      </x:c>
      <x:c r="I1143" s="22" t="str">
        <x:v>Content readable; lookup not tested</x:v>
      </x:c>
      <x:c r="J1143" s="22" t="str">
        <x:v>Official case-portal methodology</x:v>
      </x:c>
      <x:c r="K1143" s="22" t="str">
        <x:v>S052</x:v>
      </x:c>
      <x:c r="L1143" s="24" t="str">
        <x:v>https://www.chicagocopa.org/data-cases/case-portal/</x:v>
      </x:c>
      <x:c r="M1143" s="24" t="str">
        <x:v>https://www.chicagocopa.org/data-cases/case-portal/</x:v>
      </x:c>
      <x:c r="N1143" s="22" t="str">
        <x:v>268470018</x:v>
      </x:c>
      <x:c r="O1143" s="22" t="n">
        <x:v>1051</x:v>
      </x:c>
      <x:c r="P1143" s="22" t="n">
        <x:v>32</x:v>
      </x:c>
      <x:c r="Q1143" s="22" t="str">
        <x:v>2026-09-15</x:v>
      </x:c>
      <x:c r="R1143" s="22" t="n">
        <x:f>COUNTIF($M$6:$M$1177,M1143)</x:f>
        <x:v>1</x:v>
      </x:c>
      <x:c r="S1143" s="22" t="str">
        <x:v>Contacts / records</x:v>
      </x:c>
      <x:c r="T1143" s="22" t="str">
        <x:v>Scoped desk assessment</x:v>
      </x:c>
    </x:row>
    <x:row r="1144" ht="48" customHeight="1">
      <x:c r="A1144" s="22" t="n">
        <x:v>1139</x:v>
      </x:c>
      <x:c r="B1144" s="22" t="str">
        <x:v>Coplookup.com</x:v>
      </x:c>
      <x:c r="C1144" s="31" t="str">
        <x:v>U</x:v>
      </x:c>
      <x:c r="D1144" s="22" t="str">
        <x:v>Unassessed</x:v>
      </x:c>
      <x:c r="E1144" s="22" t="str">
        <x:v>POLICE / LE / FED</x:v>
      </x:c>
      <x:c r="F1144" s="22" t="str">
        <x:v>Police records / accountability information</x:v>
      </x:c>
      <x:c r="G1144" s="22" t="str">
        <x:v>Distinguish complaint, allegation, charge, investigation and final finding; verify the original record.</x:v>
      </x:c>
      <x:c r="H1144" s="22" t="str">
        <x:v>Verify publisher, source and current function before reliance</x:v>
      </x:c>
      <x:c r="I1144" s="22" t="str">
        <x:v>Not checked</x:v>
      </x:c>
      <x:c r="J1144" s="22" t="str">
        <x:v>Saved bookmark metadata only</x:v>
      </x:c>
      <x:c r="K1144" s="22" t="str"/>
      <x:c r="L1144" s="24" t="str"/>
      <x:c r="M1144" s="24" t="str">
        <x:v>https://coplookup.com/</x:v>
      </x:c>
      <x:c r="N1144" s="22" t="str">
        <x:v>268390092</x:v>
      </x:c>
      <x:c r="O1144" s="22" t="n">
        <x:v>1051</x:v>
      </x:c>
      <x:c r="P1144" s="22" t="n">
        <x:v>33</x:v>
      </x:c>
      <x:c r="Q1144" s="22" t="str"/>
      <x:c r="R1144" s="22" t="n">
        <x:f>COUNTIF($M$6:$M$1177,M1144)</x:f>
        <x:v>1</x:v>
      </x:c>
      <x:c r="S1144" s="22" t="str">
        <x:v>Contacts / records</x:v>
      </x:c>
      <x:c r="T1144" s="22" t="str">
        <x:v>Not established</x:v>
      </x:c>
    </x:row>
    <x:row r="1145" ht="48" customHeight="1">
      <x:c r="A1145" s="22" t="n">
        <x:v>1140</x:v>
      </x:c>
      <x:c r="B1145" s="22" t="str">
        <x:v>Project Comport - IMPD/BPD/WPD [Datasets]</x:v>
      </x:c>
      <x:c r="C1145" s="31" t="str">
        <x:v>U</x:v>
      </x:c>
      <x:c r="D1145" s="22" t="str">
        <x:v>Unassessed</x:v>
      </x:c>
      <x:c r="E1145" s="22" t="str">
        <x:v>POLICE / LE / FED</x:v>
      </x:c>
      <x:c r="F1145" s="22" t="str">
        <x:v>Police records / accountability information</x:v>
      </x:c>
      <x:c r="G1145" s="22" t="str">
        <x:v>Distinguish complaint, allegation, charge, investigation and final finding; verify the original record.</x:v>
      </x:c>
      <x:c r="H1145" s="22" t="str">
        <x:v>Verify publisher, source and current function before reliance</x:v>
      </x:c>
      <x:c r="I1145" s="22" t="str">
        <x:v>Not checked</x:v>
      </x:c>
      <x:c r="J1145" s="22" t="str">
        <x:v>Saved bookmark metadata only</x:v>
      </x:c>
      <x:c r="K1145" s="22" t="str"/>
      <x:c r="L1145" s="24" t="str"/>
      <x:c r="M1145" s="24" t="str">
        <x:v>https://www.projectcomport.org/</x:v>
      </x:c>
      <x:c r="N1145" s="22" t="str">
        <x:v>271265730</x:v>
      </x:c>
      <x:c r="O1145" s="22" t="n">
        <x:v>1051</x:v>
      </x:c>
      <x:c r="P1145" s="22" t="n">
        <x:v>34</x:v>
      </x:c>
      <x:c r="Q1145" s="22" t="str"/>
      <x:c r="R1145" s="22" t="n">
        <x:f>COUNTIF($M$6:$M$1177,M1145)</x:f>
        <x:v>1</x:v>
      </x:c>
      <x:c r="S1145" s="22" t="str">
        <x:v>Contacts / records</x:v>
      </x:c>
      <x:c r="T1145" s="22" t="str">
        <x:v>Not established</x:v>
      </x:c>
    </x:row>
    <x:row r="1146" ht="54" customHeight="1">
      <x:c r="A1146" s="22" t="n">
        <x:v>1141</x:v>
      </x:c>
      <x:c r="B1146" s="22" t="str">
        <x:v>How many untested rape kits does your city police department or county sheriff's office have?</x:v>
      </x:c>
      <x:c r="C1146" s="31" t="str">
        <x:v>U</x:v>
      </x:c>
      <x:c r="D1146" s="22" t="str">
        <x:v>Unassessed</x:v>
      </x:c>
      <x:c r="E1146" s="22" t="str">
        <x:v>POLICE / LE / FED</x:v>
      </x:c>
      <x:c r="F1146" s="22" t="str">
        <x:v>Police records / accountability information</x:v>
      </x:c>
      <x:c r="G1146" s="22" t="str">
        <x:v>Distinguish complaint, allegation, charge, investigation and final finding; verify the original record.</x:v>
      </x:c>
      <x:c r="H1146" s="22" t="str">
        <x:v>Verify publisher, source and current function before reliance</x:v>
      </x:c>
      <x:c r="I1146" s="22" t="str">
        <x:v>Not checked</x:v>
      </x:c>
      <x:c r="J1146" s="22" t="str">
        <x:v>Saved bookmark metadata only</x:v>
      </x:c>
      <x:c r="K1146" s="22" t="str"/>
      <x:c r="L1146" s="24" t="str"/>
      <x:c r="M1146" s="24" t="str">
        <x:v>https://datawrapper.dwcdn.net/uOdaT/4/</x:v>
      </x:c>
      <x:c r="N1146" s="22" t="str">
        <x:v>286945014</x:v>
      </x:c>
      <x:c r="O1146" s="22" t="n">
        <x:v>1051</x:v>
      </x:c>
      <x:c r="P1146" s="22" t="n">
        <x:v>35</x:v>
      </x:c>
      <x:c r="Q1146" s="22" t="str"/>
      <x:c r="R1146" s="22" t="n">
        <x:f>COUNTIF($M$6:$M$1177,M1146)</x:f>
        <x:v>1</x:v>
      </x:c>
      <x:c r="S1146" s="22" t="str">
        <x:v>Contacts / records</x:v>
      </x:c>
      <x:c r="T1146" s="22" t="str">
        <x:v>Not established</x:v>
      </x:c>
    </x:row>
    <x:row r="1147" ht="48" customHeight="1">
      <x:c r="A1147" s="22" t="n">
        <x:v>1142</x:v>
      </x:c>
      <x:c r="B1147" s="22" t="str">
        <x:v>Gun Dealer Inspections | The Trace</x:v>
      </x:c>
      <x:c r="C1147" s="31" t="str">
        <x:v>U</x:v>
      </x:c>
      <x:c r="D1147" s="22" t="str">
        <x:v>Unassessed</x:v>
      </x:c>
      <x:c r="E1147" s="22" t="str">
        <x:v>POLICE / LE / FED</x:v>
      </x:c>
      <x:c r="F1147" s="22" t="str">
        <x:v>Police records / accountability information</x:v>
      </x:c>
      <x:c r="G1147" s="22" t="str">
        <x:v>Distinguish complaint, allegation, charge, investigation and final finding; verify the original record.</x:v>
      </x:c>
      <x:c r="H1147" s="22" t="str">
        <x:v>Verify publisher, source and current function before reliance</x:v>
      </x:c>
      <x:c r="I1147" s="22" t="str">
        <x:v>Not checked</x:v>
      </x:c>
      <x:c r="J1147" s="22" t="str">
        <x:v>Saved bookmark metadata only</x:v>
      </x:c>
      <x:c r="K1147" s="22" t="str"/>
      <x:c r="L1147" s="24" t="str"/>
      <x:c r="M1147" s="24" t="str">
        <x:v>https://projects.thetrace.org/inspections/</x:v>
      </x:c>
      <x:c r="N1147" s="22" t="str">
        <x:v>286101611</x:v>
      </x:c>
      <x:c r="O1147" s="22" t="n">
        <x:v>1051</x:v>
      </x:c>
      <x:c r="P1147" s="22" t="n">
        <x:v>36</x:v>
      </x:c>
      <x:c r="Q1147" s="22" t="str"/>
      <x:c r="R1147" s="22" t="n">
        <x:f>COUNTIF($M$6:$M$1177,M1147)</x:f>
        <x:v>1</x:v>
      </x:c>
      <x:c r="S1147" s="22" t="str">
        <x:v>Contacts / records</x:v>
      </x:c>
      <x:c r="T1147" s="22" t="str">
        <x:v>Not established</x:v>
      </x:c>
    </x:row>
    <x:row r="1148" ht="48" customHeight="1">
      <x:c r="A1148" s="22" t="n">
        <x:v>1143</x:v>
      </x:c>
      <x:c r="B1148" s="22" t="str">
        <x:v>Secret Surveillance Catalogue</x:v>
      </x:c>
      <x:c r="C1148" s="31" t="str">
        <x:v>U</x:v>
      </x:c>
      <x:c r="D1148" s="22" t="str">
        <x:v>Unassessed</x:v>
      </x:c>
      <x:c r="E1148" s="22" t="str">
        <x:v>POLICE / LE / FED</x:v>
      </x:c>
      <x:c r="F1148" s="22" t="str">
        <x:v>Police records / accountability information</x:v>
      </x:c>
      <x:c r="G1148" s="22" t="str">
        <x:v>Distinguish complaint, allegation, charge, investigation and final finding; verify the original record.</x:v>
      </x:c>
      <x:c r="H1148" s="22" t="str">
        <x:v>Verify publisher, source and current function before reliance</x:v>
      </x:c>
      <x:c r="I1148" s="22" t="str">
        <x:v>Not checked</x:v>
      </x:c>
      <x:c r="J1148" s="22" t="str">
        <x:v>Saved bookmark metadata only</x:v>
      </x:c>
      <x:c r="K1148" s="22" t="str"/>
      <x:c r="L1148" s="24" t="str"/>
      <x:c r="M1148" s="24" t="str">
        <x:v>https://theintercept.com/surveillance-catalogue/</x:v>
      </x:c>
      <x:c r="N1148" s="22" t="str">
        <x:v>286105706</x:v>
      </x:c>
      <x:c r="O1148" s="22" t="n">
        <x:v>1051</x:v>
      </x:c>
      <x:c r="P1148" s="22" t="n">
        <x:v>37</x:v>
      </x:c>
      <x:c r="Q1148" s="22" t="str"/>
      <x:c r="R1148" s="22" t="n">
        <x:f>COUNTIF($M$6:$M$1177,M1148)</x:f>
        <x:v>1</x:v>
      </x:c>
      <x:c r="S1148" s="22" t="str">
        <x:v>Contacts / records</x:v>
      </x:c>
      <x:c r="T1148" s="22" t="str">
        <x:v>Not established</x:v>
      </x:c>
    </x:row>
    <x:row r="1149" ht="48" customHeight="1">
      <x:c r="A1149" s="22" t="n">
        <x:v>1144</x:v>
      </x:c>
      <x:c r="B1149" s="22" t="str">
        <x:v>Chicago Police Department Demographics</x:v>
      </x:c>
      <x:c r="C1149" s="31" t="str">
        <x:v>U</x:v>
      </x:c>
      <x:c r="D1149" s="22" t="str">
        <x:v>Unassessed</x:v>
      </x:c>
      <x:c r="E1149" s="22" t="str">
        <x:v>POLICE / LE / FED</x:v>
      </x:c>
      <x:c r="F1149" s="22" t="str">
        <x:v>Police records / accountability information</x:v>
      </x:c>
      <x:c r="G1149" s="22" t="str">
        <x:v>Distinguish complaint, allegation, charge, investigation and final finding; verify the original record.</x:v>
      </x:c>
      <x:c r="H1149" s="22" t="str">
        <x:v>Verify publisher, source and current function before reliance</x:v>
      </x:c>
      <x:c r="I1149" s="22" t="str">
        <x:v>Not checked</x:v>
      </x:c>
      <x:c r="J1149" s="22" t="str">
        <x:v>Saved bookmark metadata only</x:v>
      </x:c>
      <x:c r="K1149" s="22" t="str"/>
      <x:c r="L1149" s="24" t="str"/>
      <x:c r="M1149" s="24" t="str">
        <x:v>https://public.flourish.studio/visualisation/1089756/</x:v>
      </x:c>
      <x:c r="N1149" s="22" t="str">
        <x:v>286944849</x:v>
      </x:c>
      <x:c r="O1149" s="22" t="n">
        <x:v>1051</x:v>
      </x:c>
      <x:c r="P1149" s="22" t="n">
        <x:v>38</x:v>
      </x:c>
      <x:c r="Q1149" s="22" t="str"/>
      <x:c r="R1149" s="22" t="n">
        <x:f>COUNTIF($M$6:$M$1177,M1149)</x:f>
        <x:v>1</x:v>
      </x:c>
      <x:c r="S1149" s="22" t="str">
        <x:v>Contacts / records</x:v>
      </x:c>
      <x:c r="T1149" s="22" t="str">
        <x:v>Not established</x:v>
      </x:c>
    </x:row>
    <x:row r="1150" ht="54" customHeight="1">
      <x:c r="A1150" s="22" t="n">
        <x:v>1145</x:v>
      </x:c>
      <x:c r="B1150" s="22" t="str">
        <x:v>George Floyd - Where black people are most disproportionately killed by police</x:v>
      </x:c>
      <x:c r="C1150" s="31" t="str">
        <x:v>U</x:v>
      </x:c>
      <x:c r="D1150" s="22" t="str">
        <x:v>Unassessed</x:v>
      </x:c>
      <x:c r="E1150" s="22" t="str">
        <x:v>POLICE / LE / FED</x:v>
      </x:c>
      <x:c r="F1150" s="22" t="str">
        <x:v>Police records / accountability information</x:v>
      </x:c>
      <x:c r="G1150" s="22" t="str">
        <x:v>Distinguish complaint, allegation, charge, investigation and final finding; verify the original record.</x:v>
      </x:c>
      <x:c r="H1150" s="22" t="str">
        <x:v>Verify publisher, source and current function before reliance</x:v>
      </x:c>
      <x:c r="I1150" s="22" t="str">
        <x:v>Not checked</x:v>
      </x:c>
      <x:c r="J1150" s="22" t="str">
        <x:v>Saved bookmark metadata only</x:v>
      </x:c>
      <x:c r="K1150" s="22" t="str"/>
      <x:c r="L1150" s="24" t="str"/>
      <x:c r="M1150" s="24" t="str">
        <x:v>https://public.flourish.studio/visualisation/2646234/</x:v>
      </x:c>
      <x:c r="N1150" s="22" t="str">
        <x:v>286944851</x:v>
      </x:c>
      <x:c r="O1150" s="22" t="n">
        <x:v>1051</x:v>
      </x:c>
      <x:c r="P1150" s="22" t="n">
        <x:v>39</x:v>
      </x:c>
      <x:c r="Q1150" s="22" t="str"/>
      <x:c r="R1150" s="22" t="n">
        <x:f>COUNTIF($M$6:$M$1177,M1150)</x:f>
        <x:v>1</x:v>
      </x:c>
      <x:c r="S1150" s="22" t="str">
        <x:v>Contacts / records</x:v>
      </x:c>
      <x:c r="T1150" s="22" t="str">
        <x:v>Not established</x:v>
      </x:c>
    </x:row>
    <x:row r="1151" ht="48" customHeight="1">
      <x:c r="A1151" s="22" t="n">
        <x:v>1146</x:v>
      </x:c>
      <x:c r="B1151" s="22" t="str">
        <x:v>Iowa Cities police budgets</x:v>
      </x:c>
      <x:c r="C1151" s="31" t="str">
        <x:v>U</x:v>
      </x:c>
      <x:c r="D1151" s="22" t="str">
        <x:v>Unassessed</x:v>
      </x:c>
      <x:c r="E1151" s="22" t="str">
        <x:v>POLICE / LE / FED</x:v>
      </x:c>
      <x:c r="F1151" s="22" t="str">
        <x:v>Police records / accountability information</x:v>
      </x:c>
      <x:c r="G1151" s="22" t="str">
        <x:v>Distinguish complaint, allegation, charge, investigation and final finding; verify the original record.</x:v>
      </x:c>
      <x:c r="H1151" s="22" t="str">
        <x:v>Verify publisher, source and current function before reliance</x:v>
      </x:c>
      <x:c r="I1151" s="22" t="str">
        <x:v>Not checked</x:v>
      </x:c>
      <x:c r="J1151" s="22" t="str">
        <x:v>Saved bookmark metadata only</x:v>
      </x:c>
      <x:c r="K1151" s="22" t="str"/>
      <x:c r="L1151" s="24" t="str"/>
      <x:c r="M1151" s="24" t="str">
        <x:v>https://public.flourish.studio/visualisation/3168834/</x:v>
      </x:c>
      <x:c r="N1151" s="22" t="str">
        <x:v>286944900</x:v>
      </x:c>
      <x:c r="O1151" s="22" t="n">
        <x:v>1051</x:v>
      </x:c>
      <x:c r="P1151" s="22" t="n">
        <x:v>40</x:v>
      </x:c>
      <x:c r="Q1151" s="22" t="str"/>
      <x:c r="R1151" s="22" t="n">
        <x:f>COUNTIF($M$6:$M$1177,M1151)</x:f>
        <x:v>1</x:v>
      </x:c>
      <x:c r="S1151" s="22" t="str">
        <x:v>Contacts / records</x:v>
      </x:c>
      <x:c r="T1151" s="22" t="str">
        <x:v>Not established</x:v>
      </x:c>
    </x:row>
    <x:row r="1152" ht="48" customHeight="1">
      <x:c r="A1152" s="22" t="n">
        <x:v>1147</x:v>
      </x:c>
      <x:c r="B1152" s="22" t="str">
        <x:v>TGCG Members Page</x:v>
      </x:c>
      <x:c r="C1152" s="31" t="str">
        <x:v>U</x:v>
      </x:c>
      <x:c r="D1152" s="22" t="str">
        <x:v>Unassessed</x:v>
      </x:c>
      <x:c r="E1152" s="22" t="str">
        <x:v>POLICE / LE / FED</x:v>
      </x:c>
      <x:c r="F1152" s="22" t="str">
        <x:v>Police records / accountability information</x:v>
      </x:c>
      <x:c r="G1152" s="22" t="str">
        <x:v>Distinguish complaint, allegation, charge, investigation and final finding; verify the original record.</x:v>
      </x:c>
      <x:c r="H1152" s="22" t="str">
        <x:v>Verify publisher, source and current function before reliance</x:v>
      </x:c>
      <x:c r="I1152" s="22" t="str">
        <x:v>Not checked</x:v>
      </x:c>
      <x:c r="J1152" s="22" t="str">
        <x:v>Saved bookmark metadata only</x:v>
      </x:c>
      <x:c r="K1152" s="22" t="str"/>
      <x:c r="L1152" s="24" t="str"/>
      <x:c r="M1152" s="24" t="str">
        <x:v>https://c2ffn114.caspio.com/dp/e6a74000833e44e23c324a10987c</x:v>
      </x:c>
      <x:c r="N1152" s="22" t="str">
        <x:v>286945516</x:v>
      </x:c>
      <x:c r="O1152" s="22" t="n">
        <x:v>1051</x:v>
      </x:c>
      <x:c r="P1152" s="22" t="n">
        <x:v>41</x:v>
      </x:c>
      <x:c r="Q1152" s="22" t="str"/>
      <x:c r="R1152" s="22" t="n">
        <x:f>COUNTIF($M$6:$M$1177,M1152)</x:f>
        <x:v>1</x:v>
      </x:c>
      <x:c r="S1152" s="22" t="str">
        <x:v>Contacts / records</x:v>
      </x:c>
      <x:c r="T1152" s="22" t="str">
        <x:v>Not established</x:v>
      </x:c>
    </x:row>
    <x:row r="1153" ht="48" customHeight="1">
      <x:c r="A1153" s="22" t="n">
        <x:v>1148</x:v>
      </x:c>
      <x:c r="B1153" s="22" t="str">
        <x:v>Buffalo Police</x:v>
      </x:c>
      <x:c r="C1153" s="31" t="str">
        <x:v>U</x:v>
      </x:c>
      <x:c r="D1153" s="22" t="str">
        <x:v>Unassessed</x:v>
      </x:c>
      <x:c r="E1153" s="22" t="str">
        <x:v>POLICE / LE / FED</x:v>
      </x:c>
      <x:c r="F1153" s="22" t="str">
        <x:v>Police records / accountability information</x:v>
      </x:c>
      <x:c r="G1153" s="22" t="str">
        <x:v>Distinguish complaint, allegation, charge, investigation and final finding; verify the original record.</x:v>
      </x:c>
      <x:c r="H1153" s="22" t="str">
        <x:v>Verify publisher, source and current function before reliance</x:v>
      </x:c>
      <x:c r="I1153" s="22" t="str">
        <x:v>Not checked</x:v>
      </x:c>
      <x:c r="J1153" s="22" t="str">
        <x:v>Saved bookmark metadata only</x:v>
      </x:c>
      <x:c r="K1153" s="22" t="str"/>
      <x:c r="L1153" s="24" t="str"/>
      <x:c r="M1153" s="24" t="str">
        <x:v>https://airtable.com/embed/shra4F3cAE7H2PV5m?backgroundColor=gray&amp;amp;viewControls=on</x:v>
      </x:c>
      <x:c r="N1153" s="22" t="str">
        <x:v>313463214</x:v>
      </x:c>
      <x:c r="O1153" s="22" t="n">
        <x:v>1051</x:v>
      </x:c>
      <x:c r="P1153" s="22" t="n">
        <x:v>42</x:v>
      </x:c>
      <x:c r="Q1153" s="22" t="str"/>
      <x:c r="R1153" s="22" t="n">
        <x:f>COUNTIF($M$6:$M$1177,M1153)</x:f>
        <x:v>1</x:v>
      </x:c>
      <x:c r="S1153" s="22" t="str">
        <x:v>Contacts / records</x:v>
      </x:c>
      <x:c r="T1153" s="22" t="str">
        <x:v>Not established</x:v>
      </x:c>
    </x:row>
    <x:row r="1154" ht="48" customHeight="1">
      <x:c r="A1154" s="22" t="n">
        <x:v>1149</x:v>
      </x:c>
      <x:c r="B1154" s="22" t="str">
        <x:v>postcert</x:v>
      </x:c>
      <x:c r="C1154" s="31" t="str">
        <x:v>U</x:v>
      </x:c>
      <x:c r="D1154" s="22" t="str">
        <x:v>Access unresolved</x:v>
      </x:c>
      <x:c r="E1154" s="22" t="str">
        <x:v>POLICE / LE / FED</x:v>
      </x:c>
      <x:c r="F1154" s="22" t="str">
        <x:v>Police records / accountability information</x:v>
      </x:c>
      <x:c r="G1154" s="22" t="str">
        <x:v>Distinguish complaint, allegation, charge, investigation and final finding; verify the original record.</x:v>
      </x:c>
      <x:c r="H1154" s="22" t="str">
        <x:v>Check manually; retrieval failure is not evidence the service is unreliable</x:v>
      </x:c>
      <x:c r="I1154" s="22" t="str">
        <x:v>Unresolved reader access; website status unknown</x:v>
      </x:c>
      <x:c r="J1154" s="22" t="str">
        <x:v>Fetch attempted; no usable substantive content</x:v>
      </x:c>
      <x:c r="K1154" s="22" t="str"/>
      <x:c r="L1154" s="24" t="str"/>
      <x:c r="M1154" s="24" t="str">
        <x:v>https://post.coag.gov/s/?tabset-1eada=4b5ff</x:v>
      </x:c>
      <x:c r="N1154" s="22" t="str">
        <x:v>313463264</x:v>
      </x:c>
      <x:c r="O1154" s="22" t="n">
        <x:v>1051</x:v>
      </x:c>
      <x:c r="P1154" s="22" t="n">
        <x:v>43</x:v>
      </x:c>
      <x:c r="Q1154" s="22" t="str">
        <x:v>2026-09-15</x:v>
      </x:c>
      <x:c r="R1154" s="22" t="n">
        <x:f>COUNTIF($M$6:$M$1177,M1154)</x:f>
        <x:v>1</x:v>
      </x:c>
      <x:c r="S1154" s="22" t="str">
        <x:v>Contacts / records</x:v>
      </x:c>
      <x:c r="T1154" s="22" t="str">
        <x:v>Not established</x:v>
      </x:c>
    </x:row>
    <x:row r="1155" ht="48" customHeight="1">
      <x:c r="A1155" s="22" t="n">
        <x:v>1150</x:v>
      </x:c>
      <x:c r="B1155" s="22" t="str">
        <x:v>Alberta Police Misconduct Database</x:v>
      </x:c>
      <x:c r="C1155" s="31" t="str">
        <x:v>U</x:v>
      </x:c>
      <x:c r="D1155" s="22" t="str">
        <x:v>Access unresolved</x:v>
      </x:c>
      <x:c r="E1155" s="22" t="str">
        <x:v>[CAN] POLICE</x:v>
      </x:c>
      <x:c r="F1155" s="22" t="str">
        <x:v>Canadian police-accountability information</x:v>
      </x:c>
      <x:c r="G1155" s="22" t="str">
        <x:v>Check source documents, jurisdiction and outcome; a recorded allegation is not a substantiated finding.</x:v>
      </x:c>
      <x:c r="H1155" s="22" t="str">
        <x:v>Check manually; retrieval failure is not evidence the service is unreliable</x:v>
      </x:c>
      <x:c r="I1155" s="22" t="str">
        <x:v>Unresolved reader access; website status unknown</x:v>
      </x:c>
      <x:c r="J1155" s="22" t="str">
        <x:v>Fetch attempted; no usable substantive content</x:v>
      </x:c>
      <x:c r="K1155" s="22" t="str"/>
      <x:c r="L1155" s="24" t="str"/>
      <x:c r="M1155" s="24" t="str">
        <x:v>https://www.policemisconductdatabase.ca/database/</x:v>
      </x:c>
      <x:c r="N1155" s="22" t="str">
        <x:v>313463077</x:v>
      </x:c>
      <x:c r="O1155" s="22" t="n">
        <x:v>1051</x:v>
      </x:c>
      <x:c r="P1155" s="22" t="n">
        <x:v>1</x:v>
      </x:c>
      <x:c r="Q1155" s="22" t="str">
        <x:v>2026-09-15</x:v>
      </x:c>
      <x:c r="R1155" s="22" t="n">
        <x:f>COUNTIF($M$6:$M$1177,M1155)</x:f>
        <x:v>1</x:v>
      </x:c>
      <x:c r="S1155" s="22" t="str">
        <x:v>Contacts / records</x:v>
      </x:c>
      <x:c r="T1155" s="22" t="str">
        <x:v>Not established</x:v>
      </x:c>
    </x:row>
    <x:row r="1156" ht="48" customHeight="1">
      <x:c r="A1156" s="22" t="n">
        <x:v>1151</x:v>
      </x:c>
      <x:c r="B1156" s="22" t="str">
        <x:v>RCMP Death Search</x:v>
      </x:c>
      <x:c r="C1156" s="31" t="str">
        <x:v>U</x:v>
      </x:c>
      <x:c r="D1156" s="22" t="str">
        <x:v>Unassessed</x:v>
      </x:c>
      <x:c r="E1156" s="22" t="str">
        <x:v>[CAN] POLICE</x:v>
      </x:c>
      <x:c r="F1156" s="22" t="str">
        <x:v>Canadian police-accountability information</x:v>
      </x:c>
      <x:c r="G1156" s="22" t="str">
        <x:v>Check source documents, jurisdiction and outcome; a recorded allegation is not a substantiated finding.</x:v>
      </x:c>
      <x:c r="H1156" s="22" t="str">
        <x:v>Verify publisher, source and current function before reliance</x:v>
      </x:c>
      <x:c r="I1156" s="22" t="str">
        <x:v>Not checked</x:v>
      </x:c>
      <x:c r="J1156" s="22" t="str">
        <x:v>Saved bookmark metadata only</x:v>
      </x:c>
      <x:c r="K1156" s="22" t="str"/>
      <x:c r="L1156" s="24" t="str"/>
      <x:c r="M1156" s="24" t="str">
        <x:v>https://c0cqk108.caspio.com/dp/9156100036f195cdf0934662917c</x:v>
      </x:c>
      <x:c r="N1156" s="22" t="str">
        <x:v>286946244</x:v>
      </x:c>
      <x:c r="O1156" s="22" t="n">
        <x:v>1051</x:v>
      </x:c>
      <x:c r="P1156" s="22" t="n">
        <x:v>2</x:v>
      </x:c>
      <x:c r="Q1156" s="22" t="str"/>
      <x:c r="R1156" s="22" t="n">
        <x:f>COUNTIF($M$6:$M$1177,M1156)</x:f>
        <x:v>1</x:v>
      </x:c>
      <x:c r="S1156" s="22" t="str">
        <x:v>Contacts / records</x:v>
      </x:c>
      <x:c r="T1156" s="22" t="str">
        <x:v>Not established</x:v>
      </x:c>
    </x:row>
    <x:row r="1157" ht="48" customHeight="1">
      <x:c r="A1157" s="22" t="n">
        <x:v>1152</x:v>
      </x:c>
      <x:c r="B1157" s="22" t="str">
        <x:v>RCMP Death Search 2</x:v>
      </x:c>
      <x:c r="C1157" s="31" t="str">
        <x:v>U</x:v>
      </x:c>
      <x:c r="D1157" s="22" t="str">
        <x:v>Unassessed</x:v>
      </x:c>
      <x:c r="E1157" s="22" t="str">
        <x:v>[CAN] POLICE</x:v>
      </x:c>
      <x:c r="F1157" s="22" t="str">
        <x:v>Canadian police-accountability information</x:v>
      </x:c>
      <x:c r="G1157" s="22" t="str">
        <x:v>Check source documents, jurisdiction and outcome; a recorded allegation is not a substantiated finding.</x:v>
      </x:c>
      <x:c r="H1157" s="22" t="str">
        <x:v>Verify publisher, source and current function before reliance</x:v>
      </x:c>
      <x:c r="I1157" s="22" t="str">
        <x:v>Not checked</x:v>
      </x:c>
      <x:c r="J1157" s="22" t="str">
        <x:v>Saved bookmark metadata only</x:v>
      </x:c>
      <x:c r="K1157" s="22" t="str"/>
      <x:c r="L1157" s="24" t="str"/>
      <x:c r="M1157" s="24" t="str">
        <x:v>https://c0cqk108.caspio.com/dp/915610007f161cceda514e33a0b7</x:v>
      </x:c>
      <x:c r="N1157" s="22" t="str">
        <x:v>286946247</x:v>
      </x:c>
      <x:c r="O1157" s="22" t="n">
        <x:v>1051</x:v>
      </x:c>
      <x:c r="P1157" s="22" t="n">
        <x:v>3</x:v>
      </x:c>
      <x:c r="Q1157" s="22" t="str"/>
      <x:c r="R1157" s="22" t="n">
        <x:f>COUNTIF($M$6:$M$1177,M1157)</x:f>
        <x:v>1</x:v>
      </x:c>
      <x:c r="S1157" s="22" t="str">
        <x:v>Contacts / records</x:v>
      </x:c>
      <x:c r="T1157" s="22" t="str">
        <x:v>Not established</x:v>
      </x:c>
    </x:row>
    <x:row r="1158" ht="48" customHeight="1">
      <x:c r="A1158" s="22" t="n">
        <x:v>1153</x:v>
      </x:c>
      <x:c r="B1158" s="22" t="str">
        <x:v>RCMP Death Search 3</x:v>
      </x:c>
      <x:c r="C1158" s="31" t="str">
        <x:v>U</x:v>
      </x:c>
      <x:c r="D1158" s="22" t="str">
        <x:v>Unassessed</x:v>
      </x:c>
      <x:c r="E1158" s="22" t="str">
        <x:v>[CAN] POLICE</x:v>
      </x:c>
      <x:c r="F1158" s="22" t="str">
        <x:v>Canadian police-accountability information</x:v>
      </x:c>
      <x:c r="G1158" s="22" t="str">
        <x:v>Check source documents, jurisdiction and outcome; a recorded allegation is not a substantiated finding.</x:v>
      </x:c>
      <x:c r="H1158" s="22" t="str">
        <x:v>Verify publisher, source and current function before reliance</x:v>
      </x:c>
      <x:c r="I1158" s="22" t="str">
        <x:v>Not checked</x:v>
      </x:c>
      <x:c r="J1158" s="22" t="str">
        <x:v>Saved bookmark metadata only</x:v>
      </x:c>
      <x:c r="K1158" s="22" t="str"/>
      <x:c r="L1158" s="24" t="str"/>
      <x:c r="M1158" s="24" t="str">
        <x:v>https://b2.caspio.com/dp/91561000c38ca49de99e4ecf9619</x:v>
      </x:c>
      <x:c r="N1158" s="22" t="str">
        <x:v>287037799</x:v>
      </x:c>
      <x:c r="O1158" s="22" t="n">
        <x:v>1051</x:v>
      </x:c>
      <x:c r="P1158" s="22" t="n">
        <x:v>4</x:v>
      </x:c>
      <x:c r="Q1158" s="22" t="str"/>
      <x:c r="R1158" s="22" t="n">
        <x:f>COUNTIF($M$6:$M$1177,M1158)</x:f>
        <x:v>1</x:v>
      </x:c>
      <x:c r="S1158" s="22" t="str">
        <x:v>Contacts / records</x:v>
      </x:c>
      <x:c r="T1158" s="22" t="str">
        <x:v>Not established</x:v>
      </x:c>
    </x:row>
    <x:row r="1159" ht="48" customHeight="1">
      <x:c r="A1159" s="22" t="n">
        <x:v>1154</x:v>
      </x:c>
      <x:c r="B1159" s="22" t="str">
        <x:v>WhosaRat.com</x:v>
      </x:c>
      <x:c r="C1159" s="31" t="str">
        <x:v>U</x:v>
      </x:c>
      <x:c r="D1159" s="22" t="str">
        <x:v>Unassessed</x:v>
      </x:c>
      <x:c r="E1159" s="22" t="str">
        <x:v>INFORMANT</x:v>
      </x:c>
      <x:c r="F1159" s="22" t="str">
        <x:v>High-consequence allegation lists</x:v>
      </x:c>
      <x:c r="G1159" s="22" t="str">
        <x:v>Do not use unverified accusation lists to identify or accuse a person. No raw allegations were reviewed.</x:v>
      </x:c>
      <x:c r="H1159" s="22" t="str">
        <x:v>Verify publisher, source and current function before reliance</x:v>
      </x:c>
      <x:c r="I1159" s="22" t="str">
        <x:v>Not checked</x:v>
      </x:c>
      <x:c r="J1159" s="22" t="str">
        <x:v>Saved bookmark metadata only</x:v>
      </x:c>
      <x:c r="K1159" s="22" t="str"/>
      <x:c r="L1159" s="24" t="str"/>
      <x:c r="M1159" s="24" t="str">
        <x:v>https://whosarat.com/</x:v>
      </x:c>
      <x:c r="N1159" s="22" t="str">
        <x:v>291767514</x:v>
      </x:c>
      <x:c r="O1159" s="22" t="n">
        <x:v>1051</x:v>
      </x:c>
      <x:c r="P1159" s="22" t="n">
        <x:v>1</x:v>
      </x:c>
      <x:c r="Q1159" s="22" t="str"/>
      <x:c r="R1159" s="22" t="n">
        <x:f>COUNTIF($M$6:$M$1177,M1159)</x:f>
        <x:v>1</x:v>
      </x:c>
      <x:c r="S1159" s="22" t="str">
        <x:v>Contacts / records</x:v>
      </x:c>
      <x:c r="T1159" s="22" t="str">
        <x:v>Not established</x:v>
      </x:c>
    </x:row>
    <x:row r="1160" ht="48" customHeight="1">
      <x:c r="A1160" s="22" t="n">
        <x:v>1155</x:v>
      </x:c>
      <x:c r="B1160" s="22" t="str">
        <x:v>Snitch List</x:v>
      </x:c>
      <x:c r="C1160" s="31" t="str">
        <x:v>U</x:v>
      </x:c>
      <x:c r="D1160" s="22" t="str">
        <x:v>Unassessed</x:v>
      </x:c>
      <x:c r="E1160" s="22" t="str">
        <x:v>INFORMANT</x:v>
      </x:c>
      <x:c r="F1160" s="22" t="str">
        <x:v>High-consequence allegation lists</x:v>
      </x:c>
      <x:c r="G1160" s="22" t="str">
        <x:v>Do not use unverified accusation lists to identify or accuse a person. No raw allegations were reviewed.</x:v>
      </x:c>
      <x:c r="H1160" s="22" t="str">
        <x:v>Verify publisher, source and current function before reliance</x:v>
      </x:c>
      <x:c r="I1160" s="22" t="str">
        <x:v>Not checked</x:v>
      </x:c>
      <x:c r="J1160" s="22" t="str">
        <x:v>Saved bookmark metadata only</x:v>
      </x:c>
      <x:c r="K1160" s="22" t="str"/>
      <x:c r="L1160" s="24" t="str"/>
      <x:c r="M1160" s="24" t="str">
        <x:v>https://web.archive.org/web/20200115091633/http://sniitch.com/all/</x:v>
      </x:c>
      <x:c r="N1160" s="22" t="str">
        <x:v>291767852</x:v>
      </x:c>
      <x:c r="O1160" s="22" t="n">
        <x:v>1051</x:v>
      </x:c>
      <x:c r="P1160" s="22" t="n">
        <x:v>2</x:v>
      </x:c>
      <x:c r="Q1160" s="22" t="str"/>
      <x:c r="R1160" s="22" t="n">
        <x:f>COUNTIF($M$6:$M$1177,M1160)</x:f>
        <x:v>1</x:v>
      </x:c>
      <x:c r="S1160" s="22" t="str">
        <x:v>Contacts / records</x:v>
      </x:c>
      <x:c r="T1160" s="22" t="str">
        <x:v>Not established</x:v>
      </x:c>
    </x:row>
    <x:row r="1161" ht="48" customHeight="1">
      <x:c r="A1161" s="22" t="n">
        <x:v>1156</x:v>
      </x:c>
      <x:c r="B1161" s="22" t="str">
        <x:v>Goldensnitches</x:v>
      </x:c>
      <x:c r="C1161" s="31" t="str">
        <x:v>U</x:v>
      </x:c>
      <x:c r="D1161" s="22" t="str">
        <x:v>Unassessed</x:v>
      </x:c>
      <x:c r="E1161" s="22" t="str">
        <x:v>INFORMANT</x:v>
      </x:c>
      <x:c r="F1161" s="22" t="str">
        <x:v>High-consequence allegation lists</x:v>
      </x:c>
      <x:c r="G1161" s="22" t="str">
        <x:v>Do not use unverified accusation lists to identify or accuse a person. No raw allegations were reviewed.</x:v>
      </x:c>
      <x:c r="H1161" s="22" t="str">
        <x:v>Verify publisher, source and current function before reliance</x:v>
      </x:c>
      <x:c r="I1161" s="22" t="str">
        <x:v>Not checked</x:v>
      </x:c>
      <x:c r="J1161" s="22" t="str">
        <x:v>Saved bookmark metadata only</x:v>
      </x:c>
      <x:c r="K1161" s="22" t="str"/>
      <x:c r="L1161" s="24" t="str"/>
      <x:c r="M1161" s="24" t="str">
        <x:v>https://goldensnitches.com/</x:v>
      </x:c>
      <x:c r="N1161" s="22" t="str">
        <x:v>291767525</x:v>
      </x:c>
      <x:c r="O1161" s="22" t="n">
        <x:v>1051</x:v>
      </x:c>
      <x:c r="P1161" s="22" t="n">
        <x:v>3</x:v>
      </x:c>
      <x:c r="Q1161" s="22" t="str"/>
      <x:c r="R1161" s="22" t="n">
        <x:f>COUNTIF($M$6:$M$1177,M1161)</x:f>
        <x:v>1</x:v>
      </x:c>
      <x:c r="S1161" s="22" t="str">
        <x:v>Contacts / records</x:v>
      </x:c>
      <x:c r="T1161" s="22" t="str">
        <x:v>Not established</x:v>
      </x:c>
    </x:row>
    <x:row r="1162" ht="48" customHeight="1">
      <x:c r="A1162" s="22" t="n">
        <x:v>1157</x:v>
      </x:c>
      <x:c r="B1162" s="22" t="str">
        <x:v>OSINT list of public sex offenders registers – osintme.com</x:v>
      </x:c>
      <x:c r="C1162" s="31" t="str">
        <x:v>U</x:v>
      </x:c>
      <x:c r="D1162" s="22" t="str">
        <x:v>Unassessed</x:v>
      </x:c>
      <x:c r="E1162" s="22" t="str">
        <x:v>SEX OFFENDER</x:v>
      </x:c>
      <x:c r="F1162" s="22" t="str">
        <x:v>Registry / notice information</x:v>
      </x:c>
      <x:c r="G1162" s="22" t="str">
        <x:v>Use the issuing jurisdiction's current record and identifiers; discovery results are not a background-check clearance.</x:v>
      </x:c>
      <x:c r="H1162" s="22" t="str">
        <x:v>Verify publisher, source and current function before reliance</x:v>
      </x:c>
      <x:c r="I1162" s="22" t="str">
        <x:v>Not checked</x:v>
      </x:c>
      <x:c r="J1162" s="22" t="str">
        <x:v>Saved bookmark metadata only</x:v>
      </x:c>
      <x:c r="K1162" s="22" t="str"/>
      <x:c r="L1162" s="24" t="str"/>
      <x:c r="M1162" s="24" t="str">
        <x:v>https://www.osintme.com/index.php/2021/08/31/osint-list-of-public-sex-offenders-registers/</x:v>
      </x:c>
      <x:c r="N1162" s="22" t="str">
        <x:v>290985519</x:v>
      </x:c>
      <x:c r="O1162" s="22" t="n">
        <x:v>1051</x:v>
      </x:c>
      <x:c r="P1162" s="22" t="n">
        <x:v>1</x:v>
      </x:c>
      <x:c r="Q1162" s="22" t="str"/>
      <x:c r="R1162" s="22" t="n">
        <x:f>COUNTIF($M$6:$M$1177,M1162)</x:f>
        <x:v>1</x:v>
      </x:c>
      <x:c r="S1162" s="22" t="str">
        <x:v>Contacts / records</x:v>
      </x:c>
      <x:c r="T1162" s="22" t="str">
        <x:v>Not established</x:v>
      </x:c>
    </x:row>
    <x:row r="1163" ht="54" customHeight="1">
      <x:c r="A1163" s="22" t="n">
        <x:v>1158</x:v>
      </x:c>
      <x:c r="B1163" s="22" t="str">
        <x:v>NSOPW</x:v>
      </x:c>
      <x:c r="C1163" s="51" t="str">
        <x:v>A</x:v>
      </x:c>
      <x:c r="D1163" s="22" t="str">
        <x:v>Documented</x:v>
      </x:c>
      <x:c r="E1163" s="22" t="str">
        <x:v>SEX OFFENDER</x:v>
      </x:c>
      <x:c r="F1163" s="22" t="str">
        <x:v>Official U.S. registry-source portal</x:v>
      </x:c>
      <x:c r="G1163" s="22" t="str">
        <x:v>DOJ-linked jurisdictional registry search. Check the originating registry, identifiers and dates; it is not a general criminal-record clearance.</x:v>
      </x:c>
      <x:c r="H1163" s="22" t="str">
        <x:v>Verify exact official record</x:v>
      </x:c>
      <x:c r="I1163" s="22" t="str">
        <x:v>Official portal readable; no person query</x:v>
      </x:c>
      <x:c r="J1163" s="22" t="str">
        <x:v>Official portal</x:v>
      </x:c>
      <x:c r="K1163" s="22" t="str">
        <x:v>S048</x:v>
      </x:c>
      <x:c r="L1163" s="24" t="str">
        <x:v>https://www.nsopw.gov/?home=</x:v>
      </x:c>
      <x:c r="M1163" s="24" t="str">
        <x:v>https://www.nsopw.gov/</x:v>
      </x:c>
      <x:c r="N1163" s="22" t="str">
        <x:v>290985455</x:v>
      </x:c>
      <x:c r="O1163" s="22" t="n">
        <x:v>1051</x:v>
      </x:c>
      <x:c r="P1163" s="22" t="n">
        <x:v>2</x:v>
      </x:c>
      <x:c r="Q1163" s="22" t="str">
        <x:v>2026-09-15</x:v>
      </x:c>
      <x:c r="R1163" s="22" t="n">
        <x:f>COUNTIF($M$6:$M$1177,M1163)</x:f>
        <x:v>1</x:v>
      </x:c>
      <x:c r="S1163" s="22" t="str">
        <x:v>Contacts / records</x:v>
      </x:c>
      <x:c r="T1163" s="22" t="str">
        <x:v>Scoped desk assessment</x:v>
      </x:c>
    </x:row>
    <x:row r="1164" ht="48" customHeight="1">
      <x:c r="A1164" s="22" t="n">
        <x:v>1159</x:v>
      </x:c>
      <x:c r="B1164" s="22" t="str">
        <x:v>Sex Offender Registry Websites</x:v>
      </x:c>
      <x:c r="C1164" s="51" t="str">
        <x:v>A</x:v>
      </x:c>
      <x:c r="D1164" s="22" t="str">
        <x:v>Documented</x:v>
      </x:c>
      <x:c r="E1164" s="22" t="str">
        <x:v>SEX OFFENDER</x:v>
      </x:c>
      <x:c r="F1164" s="22" t="str">
        <x:v>Official directory of registry links</x:v>
      </x:c>
      <x:c r="G1164" s="22" t="str">
        <x:v>FBI links to jurisdictional resources. This is a directory, not a second independently corroborating offender record.</x:v>
      </x:c>
      <x:c r="H1164" s="22" t="str">
        <x:v>Follow the original jurisdiction's record</x:v>
      </x:c>
      <x:c r="I1164" s="22" t="str">
        <x:v>Old bookmark redirects to official directory</x:v>
      </x:c>
      <x:c r="J1164" s="22" t="str">
        <x:v>Official agency directory</x:v>
      </x:c>
      <x:c r="K1164" s="22" t="str">
        <x:v>S049</x:v>
      </x:c>
      <x:c r="L1164" s="24" t="str">
        <x:v>https://www.fbi.gov/how-we-can-help-you/online-safety/sex-offender-registry</x:v>
      </x:c>
      <x:c r="M1164" s="24" t="str">
        <x:v>https://www.fbi.gov/scams-and-safety/sex-offender-registry</x:v>
      </x:c>
      <x:c r="N1164" s="22" t="str">
        <x:v>290985457</x:v>
      </x:c>
      <x:c r="O1164" s="22" t="n">
        <x:v>1051</x:v>
      </x:c>
      <x:c r="P1164" s="22" t="n">
        <x:v>3</x:v>
      </x:c>
      <x:c r="Q1164" s="22" t="str">
        <x:v>2026-09-15</x:v>
      </x:c>
      <x:c r="R1164" s="22" t="n">
        <x:f>COUNTIF($M$6:$M$1177,M1164)</x:f>
        <x:v>1</x:v>
      </x:c>
      <x:c r="S1164" s="22" t="str">
        <x:v>Contacts / records</x:v>
      </x:c>
      <x:c r="T1164" s="22" t="str">
        <x:v>Scoped desk assessment</x:v>
      </x:c>
    </x:row>
    <x:row r="1165" ht="48" customHeight="1">
      <x:c r="A1165" s="22" t="n">
        <x:v>1160</x:v>
      </x:c>
      <x:c r="B1165" s="22" t="str">
        <x:v>Sex Offender Korea</x:v>
      </x:c>
      <x:c r="C1165" s="31" t="str">
        <x:v>U</x:v>
      </x:c>
      <x:c r="D1165" s="22" t="str">
        <x:v>Unassessed</x:v>
      </x:c>
      <x:c r="E1165" s="22" t="str">
        <x:v>SEX OFFENDER</x:v>
      </x:c>
      <x:c r="F1165" s="22" t="str">
        <x:v>Registry / notice information</x:v>
      </x:c>
      <x:c r="G1165" s="22" t="str">
        <x:v>Use the issuing jurisdiction's current record and identifiers; discovery results are not a background-check clearance.</x:v>
      </x:c>
      <x:c r="H1165" s="22" t="str">
        <x:v>Verify publisher, source and current function before reliance</x:v>
      </x:c>
      <x:c r="I1165" s="22" t="str">
        <x:v>Not checked</x:v>
      </x:c>
      <x:c r="J1165" s="22" t="str">
        <x:v>Saved bookmark metadata only</x:v>
      </x:c>
      <x:c r="K1165" s="22" t="str"/>
      <x:c r="L1165" s="24" t="str"/>
      <x:c r="M1165" s="24" t="str">
        <x:v>https://www.sexoffender.go.kr/indexN.nsc</x:v>
      </x:c>
      <x:c r="N1165" s="22" t="str">
        <x:v>290985466</x:v>
      </x:c>
      <x:c r="O1165" s="22" t="n">
        <x:v>1051</x:v>
      </x:c>
      <x:c r="P1165" s="22" t="n">
        <x:v>4</x:v>
      </x:c>
      <x:c r="Q1165" s="22" t="str"/>
      <x:c r="R1165" s="22" t="n">
        <x:f>COUNTIF($M$6:$M$1177,M1165)</x:f>
        <x:v>1</x:v>
      </x:c>
      <x:c r="S1165" s="22" t="str">
        <x:v>Contacts / records</x:v>
      </x:c>
      <x:c r="T1165" s="22" t="str">
        <x:v>Not established</x:v>
      </x:c>
    </x:row>
    <x:row r="1166" ht="48" customHeight="1">
      <x:c r="A1166" s="22" t="n">
        <x:v>1161</x:v>
      </x:c>
      <x:c r="B1166" s="22" t="str">
        <x:v>Manitoba Sex Offender</x:v>
      </x:c>
      <x:c r="C1166" s="51" t="str">
        <x:v>A</x:v>
      </x:c>
      <x:c r="D1166" s="22" t="str">
        <x:v>Documented</x:v>
      </x:c>
      <x:c r="E1166" s="22" t="str">
        <x:v>SEX OFFENDER</x:v>
      </x:c>
      <x:c r="F1166" s="22" t="str">
        <x:v>Official Manitoba public notices</x:v>
      </x:c>
      <x:c r="G1166" s="22" t="str">
        <x:v>Official public-notification page. Its scope is specific notices, not a complete Canada-wide list or a general background check.</x:v>
      </x:c>
      <x:c r="H1166" s="22" t="str">
        <x:v>Verify exact official record</x:v>
      </x:c>
      <x:c r="I1166" s="22" t="str">
        <x:v>Agency page readable; no person query</x:v>
      </x:c>
      <x:c r="J1166" s="22" t="str">
        <x:v>Official agency page</x:v>
      </x:c>
      <x:c r="K1166" s="22" t="str">
        <x:v>S050</x:v>
      </x:c>
      <x:c r="L1166" s="24" t="str">
        <x:v>https://www.gov.mb.ca/justice/commsafe/notification/index.html</x:v>
      </x:c>
      <x:c r="M1166" s="24" t="str">
        <x:v>https://www.gov.mb.ca/justice/commsafe/notification/index.html</x:v>
      </x:c>
      <x:c r="N1166" s="22" t="str">
        <x:v>290985470</x:v>
      </x:c>
      <x:c r="O1166" s="22" t="n">
        <x:v>1051</x:v>
      </x:c>
      <x:c r="P1166" s="22" t="n">
        <x:v>5</x:v>
      </x:c>
      <x:c r="Q1166" s="22" t="str">
        <x:v>2026-09-15</x:v>
      </x:c>
      <x:c r="R1166" s="22" t="n">
        <x:f>COUNTIF($M$6:$M$1177,M1166)</x:f>
        <x:v>1</x:v>
      </x:c>
      <x:c r="S1166" s="22" t="str">
        <x:v>Contacts / records</x:v>
      </x:c>
      <x:c r="T1166" s="22" t="str">
        <x:v>Scoped desk assessment</x:v>
      </x:c>
    </x:row>
    <x:row r="1167" ht="48" customHeight="1">
      <x:c r="A1167" s="22" t="n">
        <x:v>1162</x:v>
      </x:c>
      <x:c r="B1167" s="22" t="str">
        <x:v>Convicted Alberta Sex Offender</x:v>
      </x:c>
      <x:c r="C1167" s="31" t="str">
        <x:v>U</x:v>
      </x:c>
      <x:c r="D1167" s="22" t="str">
        <x:v>Unassessed</x:v>
      </x:c>
      <x:c r="E1167" s="22" t="str">
        <x:v>SEX OFFENDER</x:v>
      </x:c>
      <x:c r="F1167" s="22" t="str">
        <x:v>Registry / notice information</x:v>
      </x:c>
      <x:c r="G1167" s="22" t="str">
        <x:v>Use the issuing jurisdiction's current record and identifiers; discovery results are not a background-check clearance.</x:v>
      </x:c>
      <x:c r="H1167" s="22" t="str">
        <x:v>Verify publisher, source and current function before reliance</x:v>
      </x:c>
      <x:c r="I1167" s="22" t="str">
        <x:v>Not checked</x:v>
      </x:c>
      <x:c r="J1167" s="22" t="str">
        <x:v>Saved bookmark metadata only</x:v>
      </x:c>
      <x:c r="K1167" s="22" t="str"/>
      <x:c r="L1167" s="24" t="str"/>
      <x:c r="M1167" s="24" t="str">
        <x:v>http://stoppedophiles.ca/convicted-AB.html</x:v>
      </x:c>
      <x:c r="N1167" s="22" t="str">
        <x:v>290985475</x:v>
      </x:c>
      <x:c r="O1167" s="22" t="n">
        <x:v>1051</x:v>
      </x:c>
      <x:c r="P1167" s="22" t="n">
        <x:v>6</x:v>
      </x:c>
      <x:c r="Q1167" s="22" t="str"/>
      <x:c r="R1167" s="22" t="n">
        <x:f>COUNTIF($M$6:$M$1177,M1167)</x:f>
        <x:v>1</x:v>
      </x:c>
      <x:c r="S1167" s="22" t="str">
        <x:v>Contacts / records</x:v>
      </x:c>
      <x:c r="T1167" s="22" t="str">
        <x:v>Not established</x:v>
      </x:c>
    </x:row>
    <x:row r="1168" ht="48" customHeight="1">
      <x:c r="A1168" s="22" t="n">
        <x:v>1163</x:v>
      </x:c>
      <x:c r="B1168" s="22" t="str">
        <x:v>Convicted Sex Offenders List</x:v>
      </x:c>
      <x:c r="C1168" s="31" t="str">
        <x:v>U</x:v>
      </x:c>
      <x:c r="D1168" s="22" t="str">
        <x:v>Unassessed</x:v>
      </x:c>
      <x:c r="E1168" s="22" t="str">
        <x:v>SEX OFFENDER</x:v>
      </x:c>
      <x:c r="F1168" s="22" t="str">
        <x:v>Registry / notice information</x:v>
      </x:c>
      <x:c r="G1168" s="22" t="str">
        <x:v>Use the issuing jurisdiction's current record and identifiers; discovery results are not a background-check clearance.</x:v>
      </x:c>
      <x:c r="H1168" s="22" t="str">
        <x:v>Verify publisher, source and current function before reliance</x:v>
      </x:c>
      <x:c r="I1168" s="22" t="str">
        <x:v>Not checked</x:v>
      </x:c>
      <x:c r="J1168" s="22" t="str">
        <x:v>Saved bookmark metadata only</x:v>
      </x:c>
      <x:c r="K1168" s="22" t="str"/>
      <x:c r="L1168" s="24" t="str"/>
      <x:c r="M1168" s="24" t="str">
        <x:v>https://www.ibbclaims.co.uk/site/services/child-abuse-and-trafficking/convicted-offenders/</x:v>
      </x:c>
      <x:c r="N1168" s="22" t="str">
        <x:v>290985478</x:v>
      </x:c>
      <x:c r="O1168" s="22" t="n">
        <x:v>1051</x:v>
      </x:c>
      <x:c r="P1168" s="22" t="n">
        <x:v>7</x:v>
      </x:c>
      <x:c r="Q1168" s="22" t="str"/>
      <x:c r="R1168" s="22" t="n">
        <x:f>COUNTIF($M$6:$M$1177,M1168)</x:f>
        <x:v>1</x:v>
      </x:c>
      <x:c r="S1168" s="22" t="str">
        <x:v>Contacts / records</x:v>
      </x:c>
      <x:c r="T1168" s="22" t="str">
        <x:v>Not established</x:v>
      </x:c>
    </x:row>
    <x:row r="1169" ht="48" customHeight="1">
      <x:c r="A1169" s="22" t="n">
        <x:v>1164</x:v>
      </x:c>
      <x:c r="B1169" s="22" t="str">
        <x:v>Family Watchdog</x:v>
      </x:c>
      <x:c r="C1169" s="31" t="str">
        <x:v>U</x:v>
      </x:c>
      <x:c r="D1169" s="22" t="str">
        <x:v>Unassessed</x:v>
      </x:c>
      <x:c r="E1169" s="22" t="str">
        <x:v>SEX OFFENDER</x:v>
      </x:c>
      <x:c r="F1169" s="22" t="str">
        <x:v>Registry / notice information</x:v>
      </x:c>
      <x:c r="G1169" s="22" t="str">
        <x:v>Use the issuing jurisdiction's current record and identifiers; discovery results are not a background-check clearance.</x:v>
      </x:c>
      <x:c r="H1169" s="22" t="str">
        <x:v>Verify publisher, source and current function before reliance</x:v>
      </x:c>
      <x:c r="I1169" s="22" t="str">
        <x:v>Not checked</x:v>
      </x:c>
      <x:c r="J1169" s="22" t="str">
        <x:v>Saved bookmark metadata only</x:v>
      </x:c>
      <x:c r="K1169" s="22" t="str"/>
      <x:c r="L1169" s="24" t="str"/>
      <x:c r="M1169" s="24" t="str">
        <x:v>https://www.familywatchdog.us/</x:v>
      </x:c>
      <x:c r="N1169" s="22" t="str">
        <x:v>268467687</x:v>
      </x:c>
      <x:c r="O1169" s="22" t="n">
        <x:v>1051</x:v>
      </x:c>
      <x:c r="P1169" s="22" t="n">
        <x:v>8</x:v>
      </x:c>
      <x:c r="Q1169" s="22" t="str"/>
      <x:c r="R1169" s="22" t="n">
        <x:f>COUNTIF($M$6:$M$1177,M1169)</x:f>
        <x:v>1</x:v>
      </x:c>
      <x:c r="S1169" s="22" t="str">
        <x:v>Contacts / records</x:v>
      </x:c>
      <x:c r="T1169" s="22" t="str">
        <x:v>Not established</x:v>
      </x:c>
    </x:row>
    <x:row r="1170" ht="48" customHeight="1">
      <x:c r="A1170" s="22" t="n">
        <x:v>1165</x:v>
      </x:c>
      <x:c r="B1170" s="22" t="str">
        <x:v>Nigeria Sexual Offenders Registers</x:v>
      </x:c>
      <x:c r="C1170" s="31" t="str">
        <x:v>U</x:v>
      </x:c>
      <x:c r="D1170" s="22" t="str">
        <x:v>Unassessed</x:v>
      </x:c>
      <x:c r="E1170" s="22" t="str">
        <x:v>SEX OFFENDER</x:v>
      </x:c>
      <x:c r="F1170" s="22" t="str">
        <x:v>Registry / notice information</x:v>
      </x:c>
      <x:c r="G1170" s="22" t="str">
        <x:v>Use the issuing jurisdiction's current record and identifiers; discovery results are not a background-check clearance.</x:v>
      </x:c>
      <x:c r="H1170" s="22" t="str">
        <x:v>Verify publisher, source and current function before reliance</x:v>
      </x:c>
      <x:c r="I1170" s="22" t="str">
        <x:v>Not checked</x:v>
      </x:c>
      <x:c r="J1170" s="22" t="str">
        <x:v>Saved bookmark metadata only</x:v>
      </x:c>
      <x:c r="K1170" s="22" t="str"/>
      <x:c r="L1170" s="24" t="str"/>
      <x:c r="M1170" s="24" t="str">
        <x:v>https://nsod.naptip.gov.ng/view_cases.php</x:v>
      </x:c>
      <x:c r="N1170" s="22" t="str">
        <x:v>290985508</x:v>
      </x:c>
      <x:c r="O1170" s="22" t="n">
        <x:v>1051</x:v>
      </x:c>
      <x:c r="P1170" s="22" t="n">
        <x:v>9</x:v>
      </x:c>
      <x:c r="Q1170" s="22" t="str"/>
      <x:c r="R1170" s="22" t="n">
        <x:f>COUNTIF($M$6:$M$1177,M1170)</x:f>
        <x:v>1</x:v>
      </x:c>
      <x:c r="S1170" s="22" t="str">
        <x:v>Contacts / records</x:v>
      </x:c>
      <x:c r="T1170" s="22" t="str">
        <x:v>Not established</x:v>
      </x:c>
    </x:row>
    <x:row r="1171" ht="48" customHeight="1">
      <x:c r="A1171" s="22" t="n">
        <x:v>1166</x:v>
      </x:c>
      <x:c r="B1171" s="22" t="str">
        <x:v>Rejestr Sprawców Przestępstw na Tle Seksualnym</x:v>
      </x:c>
      <x:c r="C1171" s="31" t="str">
        <x:v>U</x:v>
      </x:c>
      <x:c r="D1171" s="22" t="str">
        <x:v>Unassessed</x:v>
      </x:c>
      <x:c r="E1171" s="22" t="str">
        <x:v>SEX OFFENDER</x:v>
      </x:c>
      <x:c r="F1171" s="22" t="str">
        <x:v>Registry / notice information</x:v>
      </x:c>
      <x:c r="G1171" s="22" t="str">
        <x:v>Use the issuing jurisdiction's current record and identifiers; discovery results are not a background-check clearance.</x:v>
      </x:c>
      <x:c r="H1171" s="22" t="str">
        <x:v>Verify publisher, source and current function before reliance</x:v>
      </x:c>
      <x:c r="I1171" s="22" t="str">
        <x:v>Not checked</x:v>
      </x:c>
      <x:c r="J1171" s="22" t="str">
        <x:v>Saved bookmark metadata only</x:v>
      </x:c>
      <x:c r="K1171" s="22" t="str"/>
      <x:c r="L1171" s="24" t="str"/>
      <x:c r="M1171" s="24" t="str">
        <x:v>https://rps.ms.gov.pl/pl-PL/Public#/home</x:v>
      </x:c>
      <x:c r="N1171" s="22" t="str">
        <x:v>290985511</x:v>
      </x:c>
      <x:c r="O1171" s="22" t="n">
        <x:v>1051</x:v>
      </x:c>
      <x:c r="P1171" s="22" t="n">
        <x:v>10</x:v>
      </x:c>
      <x:c r="Q1171" s="22" t="str"/>
      <x:c r="R1171" s="22" t="n">
        <x:f>COUNTIF($M$6:$M$1177,M1171)</x:f>
        <x:v>1</x:v>
      </x:c>
      <x:c r="S1171" s="22" t="str">
        <x:v>Contacts / records</x:v>
      </x:c>
      <x:c r="T1171" s="22" t="str">
        <x:v>Not established</x:v>
      </x:c>
    </x:row>
    <x:row r="1172" ht="48" customHeight="1">
      <x:c r="A1172" s="22" t="n">
        <x:v>1167</x:v>
      </x:c>
      <x:c r="B1172" s="22" t="str">
        <x:v>Maldives Sex Offender</x:v>
      </x:c>
      <x:c r="C1172" s="31" t="str">
        <x:v>U</x:v>
      </x:c>
      <x:c r="D1172" s="22" t="str">
        <x:v>Unassessed</x:v>
      </x:c>
      <x:c r="E1172" s="22" t="str">
        <x:v>SEX OFFENDER</x:v>
      </x:c>
      <x:c r="F1172" s="22" t="str">
        <x:v>Registry / notice information</x:v>
      </x:c>
      <x:c r="G1172" s="22" t="str">
        <x:v>Use the issuing jurisdiction's current record and identifiers; discovery results are not a background-check clearance.</x:v>
      </x:c>
      <x:c r="H1172" s="22" t="str">
        <x:v>Verify publisher, source and current function before reliance</x:v>
      </x:c>
      <x:c r="I1172" s="22" t="str">
        <x:v>Not checked</x:v>
      </x:c>
      <x:c r="J1172" s="22" t="str">
        <x:v>Saved bookmark metadata only</x:v>
      </x:c>
      <x:c r="K1172" s="22" t="str"/>
      <x:c r="L1172" s="24" t="str"/>
      <x:c r="M1172" s="24" t="str">
        <x:v>http://www.offenders.mv/offenders/</x:v>
      </x:c>
      <x:c r="N1172" s="22" t="str">
        <x:v>290985515</x:v>
      </x:c>
      <x:c r="O1172" s="22" t="n">
        <x:v>1051</x:v>
      </x:c>
      <x:c r="P1172" s="22" t="n">
        <x:v>11</x:v>
      </x:c>
      <x:c r="Q1172" s="22" t="str"/>
      <x:c r="R1172" s="22" t="n">
        <x:f>COUNTIF($M$6:$M$1177,M1172)</x:f>
        <x:v>1</x:v>
      </x:c>
      <x:c r="S1172" s="22" t="str">
        <x:v>Contacts / records</x:v>
      </x:c>
      <x:c r="T1172" s="22" t="str">
        <x:v>Not established</x:v>
      </x:c>
    </x:row>
    <x:row r="1173" ht="48" customHeight="1">
      <x:c r="A1173" s="22" t="n">
        <x:v>1168</x:v>
      </x:c>
      <x:c r="B1173" s="22" t="str">
        <x:v>Michigan Resident Database</x:v>
      </x:c>
      <x:c r="C1173" s="31" t="str">
        <x:v>U</x:v>
      </x:c>
      <x:c r="D1173" s="22" t="str">
        <x:v>Unassessed</x:v>
      </x:c>
      <x:c r="E1173" s="22" t="str">
        <x:v>RESIDENT DATABASE</x:v>
      </x:c>
      <x:c r="F1173" s="22" t="str">
        <x:v>Resident / property-related information</x:v>
      </x:c>
      <x:c r="G1173" s="22" t="str">
        <x:v>Verify origin and record date. An inferred resident or property association does not prove current residence.</x:v>
      </x:c>
      <x:c r="H1173" s="22" t="str">
        <x:v>Verify publisher, source and current function before reliance</x:v>
      </x:c>
      <x:c r="I1173" s="22" t="str">
        <x:v>Not checked</x:v>
      </x:c>
      <x:c r="J1173" s="22" t="str">
        <x:v>Saved bookmark metadata only</x:v>
      </x:c>
      <x:c r="K1173" s="22" t="str"/>
      <x:c r="L1173" s="24" t="str"/>
      <x:c r="M1173" s="24" t="str">
        <x:v>https://www.michiganresidentdatabase.com/</x:v>
      </x:c>
      <x:c r="N1173" s="22" t="str">
        <x:v>271647019</x:v>
      </x:c>
      <x:c r="O1173" s="22" t="n">
        <x:v>1051</x:v>
      </x:c>
      <x:c r="P1173" s="22" t="n">
        <x:v>1</x:v>
      </x:c>
      <x:c r="Q1173" s="22" t="str"/>
      <x:c r="R1173" s="22" t="n">
        <x:f>COUNTIF($M$6:$M$1177,M1173)</x:f>
        <x:v>1</x:v>
      </x:c>
      <x:c r="S1173" s="22" t="str">
        <x:v>Contacts / records</x:v>
      </x:c>
      <x:c r="T1173" s="22" t="str">
        <x:v>Not established</x:v>
      </x:c>
    </x:row>
    <x:row r="1174" ht="48" customHeight="1">
      <x:c r="A1174" s="22" t="n">
        <x:v>1169</x:v>
      </x:c>
      <x:c r="B1174" s="22" t="str">
        <x:v>Ohio Resident Database</x:v>
      </x:c>
      <x:c r="C1174" s="31" t="str">
        <x:v>U</x:v>
      </x:c>
      <x:c r="D1174" s="22" t="str">
        <x:v>Unassessed</x:v>
      </x:c>
      <x:c r="E1174" s="22" t="str">
        <x:v>RESIDENT DATABASE</x:v>
      </x:c>
      <x:c r="F1174" s="22" t="str">
        <x:v>Resident / property-related information</x:v>
      </x:c>
      <x:c r="G1174" s="22" t="str">
        <x:v>Verify origin and record date. An inferred resident or property association does not prove current residence.</x:v>
      </x:c>
      <x:c r="H1174" s="22" t="str">
        <x:v>Verify publisher, source and current function before reliance</x:v>
      </x:c>
      <x:c r="I1174" s="22" t="str">
        <x:v>Not checked</x:v>
      </x:c>
      <x:c r="J1174" s="22" t="str">
        <x:v>Saved bookmark metadata only</x:v>
      </x:c>
      <x:c r="K1174" s="22" t="str"/>
      <x:c r="L1174" s="24" t="str"/>
      <x:c r="M1174" s="24" t="str">
        <x:v>https://www.ohioresidentdatabase.com/</x:v>
      </x:c>
      <x:c r="N1174" s="22" t="str">
        <x:v>268513099</x:v>
      </x:c>
      <x:c r="O1174" s="22" t="n">
        <x:v>1051</x:v>
      </x:c>
      <x:c r="P1174" s="22" t="n">
        <x:v>2</x:v>
      </x:c>
      <x:c r="Q1174" s="22" t="str"/>
      <x:c r="R1174" s="22" t="n">
        <x:f>COUNTIF($M$6:$M$1177,M1174)</x:f>
        <x:v>1</x:v>
      </x:c>
      <x:c r="S1174" s="22" t="str">
        <x:v>Contacts / records</x:v>
      </x:c>
      <x:c r="T1174" s="22" t="str">
        <x:v>Not established</x:v>
      </x:c>
    </x:row>
    <x:row r="1175" ht="48" customHeight="1">
      <x:c r="A1175" s="22" t="n">
        <x:v>1170</x:v>
      </x:c>
      <x:c r="B1175" s="22" t="str">
        <x:v>Florida Residents Directory</x:v>
      </x:c>
      <x:c r="C1175" s="31" t="str">
        <x:v>U</x:v>
      </x:c>
      <x:c r="D1175" s="22" t="str">
        <x:v>Unassessed</x:v>
      </x:c>
      <x:c r="E1175" s="22" t="str">
        <x:v>RESIDENT DATABASE</x:v>
      </x:c>
      <x:c r="F1175" s="22" t="str">
        <x:v>Resident / property-related information</x:v>
      </x:c>
      <x:c r="G1175" s="22" t="str">
        <x:v>Verify origin and record date. An inferred resident or property association does not prove current residence.</x:v>
      </x:c>
      <x:c r="H1175" s="22" t="str">
        <x:v>Verify publisher, source and current function before reliance</x:v>
      </x:c>
      <x:c r="I1175" s="22" t="str">
        <x:v>Not checked</x:v>
      </x:c>
      <x:c r="J1175" s="22" t="str">
        <x:v>Saved bookmark metadata only</x:v>
      </x:c>
      <x:c r="K1175" s="22" t="str"/>
      <x:c r="L1175" s="24" t="str"/>
      <x:c r="M1175" s="24" t="str">
        <x:v>https://www.floridaresidentsdirectory.com/</x:v>
      </x:c>
      <x:c r="N1175" s="22" t="str">
        <x:v>271647027</x:v>
      </x:c>
      <x:c r="O1175" s="22" t="n">
        <x:v>1051</x:v>
      </x:c>
      <x:c r="P1175" s="22" t="n">
        <x:v>3</x:v>
      </x:c>
      <x:c r="Q1175" s="22" t="str"/>
      <x:c r="R1175" s="22" t="n">
        <x:f>COUNTIF($M$6:$M$1177,M1175)</x:f>
        <x:v>1</x:v>
      </x:c>
      <x:c r="S1175" s="22" t="str">
        <x:v>Contacts / records</x:v>
      </x:c>
      <x:c r="T1175" s="22" t="str">
        <x:v>Not established</x:v>
      </x:c>
    </x:row>
    <x:row r="1176" ht="48" customHeight="1">
      <x:c r="A1176" s="22" t="n">
        <x:v>1171</x:v>
      </x:c>
      <x:c r="B1176" s="22" t="str">
        <x:v>North Carolina Resident Database</x:v>
      </x:c>
      <x:c r="C1176" s="31" t="str">
        <x:v>U</x:v>
      </x:c>
      <x:c r="D1176" s="22" t="str">
        <x:v>Unassessed</x:v>
      </x:c>
      <x:c r="E1176" s="22" t="str">
        <x:v>RESIDENT DATABASE</x:v>
      </x:c>
      <x:c r="F1176" s="22" t="str">
        <x:v>Resident / property-related information</x:v>
      </x:c>
      <x:c r="G1176" s="22" t="str">
        <x:v>Verify origin and record date. An inferred resident or property association does not prove current residence.</x:v>
      </x:c>
      <x:c r="H1176" s="22" t="str">
        <x:v>Verify publisher, source and current function before reliance</x:v>
      </x:c>
      <x:c r="I1176" s="22" t="str">
        <x:v>Not checked</x:v>
      </x:c>
      <x:c r="J1176" s="22" t="str">
        <x:v>Saved bookmark metadata only</x:v>
      </x:c>
      <x:c r="K1176" s="22" t="str"/>
      <x:c r="L1176" s="24" t="str"/>
      <x:c r="M1176" s="24" t="str">
        <x:v>https://northcarolinaresidentdatabase.com/</x:v>
      </x:c>
      <x:c r="N1176" s="22" t="str">
        <x:v>271647295</x:v>
      </x:c>
      <x:c r="O1176" s="22" t="n">
        <x:v>1051</x:v>
      </x:c>
      <x:c r="P1176" s="22" t="n">
        <x:v>4</x:v>
      </x:c>
      <x:c r="Q1176" s="22" t="str"/>
      <x:c r="R1176" s="22" t="n">
        <x:f>COUNTIF($M$6:$M$1177,M1176)</x:f>
        <x:v>1</x:v>
      </x:c>
      <x:c r="S1176" s="22" t="str">
        <x:v>Contacts / records</x:v>
      </x:c>
      <x:c r="T1176" s="22" t="str">
        <x:v>Not established</x:v>
      </x:c>
    </x:row>
    <x:row r="1177" ht="48" customHeight="1">
      <x:c r="A1177" s="22" t="n">
        <x:v>1172</x:v>
      </x:c>
      <x:c r="B1177" s="22" t="str">
        <x:v>NY Rent Regulated Building Search</x:v>
      </x:c>
      <x:c r="C1177" s="31" t="str">
        <x:v>U</x:v>
      </x:c>
      <x:c r="D1177" s="22" t="str">
        <x:v>Access unresolved</x:v>
      </x:c>
      <x:c r="E1177" s="22" t="str">
        <x:v>RESIDENT DATABASE</x:v>
      </x:c>
      <x:c r="F1177" s="22" t="str">
        <x:v>Resident / property-related information</x:v>
      </x:c>
      <x:c r="G1177" s="22" t="str">
        <x:v>Verify origin and record date. An inferred resident or property association does not prove current residence.</x:v>
      </x:c>
      <x:c r="H1177" s="22" t="str">
        <x:v>Check manually; retrieval failure is not evidence the service is unreliable</x:v>
      </x:c>
      <x:c r="I1177" s="22" t="str">
        <x:v>Unresolved reader access; website status unknown</x:v>
      </x:c>
      <x:c r="J1177" s="22" t="str">
        <x:v>Fetch attempted; no usable substantive content</x:v>
      </x:c>
      <x:c r="K1177" s="22" t="str"/>
      <x:c r="L1177" s="24" t="str"/>
      <x:c r="M1177" s="24" t="str">
        <x:v>https://apps.hcr.ny.gov/BuildingSearch/</x:v>
      </x:c>
      <x:c r="N1177" s="22" t="str">
        <x:v>271268696</x:v>
      </x:c>
      <x:c r="O1177" s="22" t="n">
        <x:v>1051</x:v>
      </x:c>
      <x:c r="P1177" s="22" t="n">
        <x:v>5</x:v>
      </x:c>
      <x:c r="Q1177" s="22" t="str">
        <x:v>2026-09-15</x:v>
      </x:c>
      <x:c r="R1177" s="22" t="n">
        <x:f>COUNTIF($M$6:$M$1177,M1177)</x:f>
        <x:v>1</x:v>
      </x:c>
      <x:c r="S1177" s="22" t="str">
        <x:v>Contacts / records</x:v>
      </x:c>
      <x:c r="T1177" s="22" t="str">
        <x:v>Not established</x:v>
      </x:c>
    </x:row>
  </x:sheetData>
  <x:mergeCells>
    <x:mergeCell ref="A1:J1"/>
    <x:mergeCell ref="A2:J3"/>
  </x:mergeCells>
  <x:pageMargins left="0.7" right="0.7" top="0.75" bottom="0.75" header="0.3" footer="0.3"/>
  <x:tableParts count="1">
    <x:tablePart xmlns:r="http://schemas.openxmlformats.org/officeDocument/2006/relationships" r:id="R43f7cd9b1b594a35"/>
  </x:tableParts>
</x:worksheet>
</file>

<file path=xl/worksheets/sheet4.xml><?xml version="1.0" encoding="utf-8"?>
<x:worksheet xmlns:x="http://schemas.openxmlformats.org/spreadsheetml/2006/main">
  <x:sheetFormatPr defaultRowHeight="15"/>
  <x:cols>
    <x:col min="1" max="1" width="7" hidden="0" customWidth="1"/>
    <x:col min="2" max="2" width="33" hidden="0" customWidth="1"/>
    <x:col min="3" max="3" width="10" hidden="0" customWidth="1"/>
    <x:col min="4" max="4" width="22" hidden="0" customWidth="1"/>
    <x:col min="5" max="5" width="26" hidden="0" customWidth="1"/>
    <x:col min="6" max="6" width="35" hidden="0" customWidth="1"/>
    <x:col min="7" max="7" width="68" hidden="0" customWidth="1"/>
    <x:col min="8" max="8" width="42" hidden="0" customWidth="1"/>
    <x:col min="9" max="9" width="45" hidden="0" customWidth="1"/>
    <x:col min="10" max="10" width="38" hidden="0" customWidth="1"/>
    <x:col min="11" max="11" width="15" hidden="0" customWidth="1"/>
    <x:col min="12" max="12" width="58" hidden="0" customWidth="1"/>
    <x:col min="13" max="13" width="56" hidden="0" customWidth="1"/>
    <x:col min="14" max="14" width="18" hidden="0" customWidth="1"/>
    <x:col min="15" max="15" width="11" hidden="0" customWidth="1"/>
    <x:col min="16" max="16" width="13" hidden="0" customWidth="1"/>
    <x:col min="17" max="17" width="14" hidden="0" customWidth="1"/>
    <x:col min="18" max="18" width="13" hidden="0" customWidth="1"/>
    <x:col min="19" max="19" width="23" hidden="0" customWidth="1"/>
    <x:col min="20" max="20" width="24" hidden="0" customWidth="1"/>
  </x:cols>
  <x:sheetData>
    <x:row r="1" ht="38" customHeight="1">
      <x:c r="A1" s="6" t="str">
        <x:v>DOCUMENTED | provider-specific desk assessments</x:v>
      </x:c>
      <x:c r="B1" s="6"/>
      <x:c r="C1" s="6"/>
      <x:c r="D1" s="6"/>
      <x:c r="E1" s="6"/>
      <x:c r="F1" s="6"/>
      <x:c r="G1" s="6"/>
      <x:c r="H1" s="6"/>
      <x:c r="I1" s="6"/>
      <x:c r="J1" s="6"/>
      <x:c r="K1" s="6"/>
      <x:c r="L1" s="6"/>
      <x:c r="M1" s="6"/>
      <x:c r="N1" s="6"/>
      <x:c r="O1" s="6"/>
      <x:c r="P1" s="6"/>
      <x:c r="Q1" s="6"/>
      <x:c r="R1" s="6"/>
      <x:c r="S1" s="6"/>
      <x:c r="T1" s="6"/>
    </x:row>
    <x:row r="2">
      <x:c r="A2" s="58" t="str">
        <x:v>102 bookmark occurrences with externally documented assessments. Ratings apply only to the stated scope. None is a measured accuracy percentage or a live lookup test.</x:v>
      </x:c>
      <x:c r="B2" s="58"/>
      <x:c r="C2" s="58"/>
      <x:c r="D2" s="58"/>
      <x:c r="E2" s="58"/>
      <x:c r="F2" s="58"/>
      <x:c r="G2" s="58"/>
      <x:c r="H2" s="58"/>
      <x:c r="I2" s="58"/>
      <x:c r="J2" s="58"/>
    </x:row>
    <x:row r="3">
      <x:c r="A3" s="58"/>
      <x:c r="B3" s="58"/>
      <x:c r="C3" s="58"/>
      <x:c r="D3" s="58"/>
      <x:c r="E3" s="58"/>
      <x:c r="F3" s="58"/>
      <x:c r="G3" s="58"/>
      <x:c r="H3" s="58"/>
      <x:c r="I3" s="58"/>
      <x:c r="J3" s="58"/>
    </x:row>
    <x:row r="5" ht="32" customHeight="1">
      <x:c r="A5" s="66" t="str">
        <x:v>ID</x:v>
      </x:c>
      <x:c r="B5" s="66" t="str">
        <x:v>Resource (original label)</x:v>
      </x:c>
      <x:c r="C5" s="66" t="str">
        <x:v>Grade</x:v>
      </x:c>
      <x:c r="D5" s="66" t="str">
        <x:v>Review basis</x:v>
      </x:c>
      <x:c r="E5" s="66" t="str">
        <x:v>Original section</x:v>
      </x:c>
      <x:c r="F5" s="66" t="str">
        <x:v>Scope of rating</x:v>
      </x:c>
      <x:c r="G5" s="66" t="str">
        <x:v>Main limitation</x:v>
      </x:c>
      <x:c r="H5" s="66" t="str">
        <x:v>Recommended use</x:v>
      </x:c>
      <x:c r="I5" s="66" t="str">
        <x:v>Availability / maintenance</x:v>
      </x:c>
      <x:c r="J5" s="66" t="str">
        <x:v>Review method</x:v>
      </x:c>
      <x:c r="K5" s="66" t="str">
        <x:v>Source IDs</x:v>
      </x:c>
      <x:c r="L5" s="66" t="str">
        <x:v>Evidence URLs</x:v>
      </x:c>
      <x:c r="M5" s="66" t="str">
        <x:v>Original bookmark URL</x:v>
      </x:c>
      <x:c r="N5" s="66" t="str">
        <x:v>Bookmark ID</x:v>
      </x:c>
      <x:c r="O5" s="66" t="str">
        <x:v>HTML line</x:v>
      </x:c>
      <x:c r="P5" s="66" t="str">
        <x:v>Order in section</x:v>
      </x:c>
      <x:c r="Q5" s="66" t="str">
        <x:v>Checked on</x:v>
      </x:c>
      <x:c r="R5" s="66" t="str">
        <x:v>Exact URL occurrences</x:v>
      </x:c>
      <x:c r="S5" s="66" t="str">
        <x:v>Priority</x:v>
      </x:c>
      <x:c r="T5" s="66" t="str">
        <x:v>Assessment confidence</x:v>
      </x:c>
    </x:row>
    <x:row r="6" ht="105" customHeight="1">
      <x:c r="A6" s="61" t="n">
        <x:v>79</x:v>
      </x:c>
      <x:c r="B6" s="61" t="str">
        <x:v>Wayback Machine</x:v>
      </x:c>
      <x:c r="C6" s="61" t="str">
        <x:v>B</x:v>
      </x:c>
      <x:c r="D6" s="61" t="str">
        <x:v>Documented</x:v>
      </x:c>
      <x:c r="E6" s="61" t="str">
        <x:v>PRODUCTIVITY</x:v>
      </x:c>
      <x:c r="F6" s="61" t="str">
        <x:v>Dated web-capture evidence</x:v>
      </x:c>
      <x:c r="G6" s="61" t="str">
        <x:v>Useful for what a captured page displayed. Captures can be incomplete and links can move between dates; an archived claim is not independently authenticated truth.</x:v>
      </x:c>
      <x:c r="H6" s="61" t="str">
        <x:v>Corroborate before attribution</x:v>
      </x:c>
      <x:c r="I6" s="61" t="str">
        <x:v>Help readable; individual captures not inspected</x:v>
      </x:c>
      <x:c r="J6" s="61" t="str">
        <x:v>Archive documentation</x:v>
      </x:c>
      <x:c r="K6" s="61" t="str">
        <x:v>S074</x:v>
      </x:c>
      <x:c r="L6" s="70" t="str">
        <x:v>https://help.archive.org/help/using-the-wayback-machine/</x:v>
      </x:c>
      <x:c r="M6" s="70" t="str">
        <x:v>https://web.archive.org/</x:v>
      </x:c>
      <x:c r="N6" s="61" t="str">
        <x:v>268408887</x:v>
      </x:c>
      <x:c r="O6" s="61" t="n">
        <x:v>994</x:v>
      </x:c>
      <x:c r="P6" s="61" t="n">
        <x:v>21</x:v>
      </x:c>
      <x:c r="Q6" s="61" t="str">
        <x:v>2026-09-15</x:v>
      </x:c>
      <x:c r="R6" s="61" t="n">
        <x:v>1</x:v>
      </x:c>
      <x:c r="S6" s="61" t="str">
        <x:v>Contacts / records</x:v>
      </x:c>
      <x:c r="T6" s="61" t="str">
        <x:v>Scoped desk assessment</x:v>
      </x:c>
    </x:row>
    <x:row r="7" ht="105" customHeight="1">
      <x:c r="A7" s="61" t="n">
        <x:v>122</x:v>
      </x:c>
      <x:c r="B7" s="61" t="str">
        <x:v>CyberChef</x:v>
      </x:c>
      <x:c r="C7" s="61" t="str">
        <x:v>N/A</x:v>
      </x:c>
      <x:c r="D7" s="61" t="str">
        <x:v>Documented</x:v>
      </x:c>
      <x:c r="E7" s="61" t="str">
        <x:v>TOOLSET</x:v>
      </x:c>
      <x:c r="F7" s="61" t="str">
        <x:v>Data transformation utility</x:v>
      </x:c>
      <x:c r="G7" s="61" t="str">
        <x:v>Documented parsing and transformation tool, not an external evidence source. Keep original bytes and record the exact recipe; some operations make network requests.</x:v>
      </x:c>
      <x:c r="H7" s="61" t="str">
        <x:v>Preserve input and recipe; validate critical output</x:v>
      </x:c>
      <x:c r="I7" s="61" t="str">
        <x:v>Interface and help readable; operations not run</x:v>
      </x:c>
      <x:c r="J7" s="61" t="str">
        <x:v>Maintainer documentation</x:v>
      </x:c>
      <x:c r="K7" s="61" t="str">
        <x:v>S072</x:v>
      </x:c>
      <x:c r="L7" s="70" t="str">
        <x:v>https://gchq.github.io/CyberChef/</x:v>
      </x:c>
      <x:c r="M7" s="70" t="str">
        <x:v>https://gchq.github.io/CyberChef/</x:v>
      </x:c>
      <x:c r="N7" s="61" t="str">
        <x:v>268637085</x:v>
      </x:c>
      <x:c r="O7" s="61" t="n">
        <x:v>997</x:v>
      </x:c>
      <x:c r="P7" s="61" t="n">
        <x:v>1</x:v>
      </x:c>
      <x:c r="Q7" s="61" t="str">
        <x:v>2026-09-15</x:v>
      </x:c>
      <x:c r="R7" s="61" t="n">
        <x:v>1</x:v>
      </x:c>
      <x:c r="S7" s="61" t="str">
        <x:v>Other / utility</x:v>
      </x:c>
      <x:c r="T7" s="61" t="str">
        <x:v>Scoped desk assessment</x:v>
      </x:c>
    </x:row>
    <x:row r="8" ht="105" customHeight="1">
      <x:c r="A8" s="61" t="n">
        <x:v>190</x:v>
      </x:c>
      <x:c r="B8" s="61" t="str">
        <x:v>LocalBitcoins</x:v>
      </x:c>
      <x:c r="C8" s="61" t="str">
        <x:v>N/A</x:v>
      </x:c>
      <x:c r="D8" s="61" t="str">
        <x:v>Documented</x:v>
      </x:c>
      <x:c r="E8" s="61" t="str">
        <x:v>PRIVACY / SECURITY</x:v>
      </x:c>
      <x:c r="F8" s="61" t="str">
        <x:v>Closed trading service</x:v>
      </x:c>
      <x:c r="G8" s="61" t="str">
        <x:v>The official page says its Bitcoin trading service has closed. Not a tool for establishing contact connections.</x:v>
      </x:c>
      <x:c r="H8" s="61" t="str">
        <x:v>Remove from active research-tool shortlist</x:v>
      </x:c>
      <x:c r="I8" s="61" t="str">
        <x:v>Official notice: trading service closed</x:v>
      </x:c>
      <x:c r="J8" s="61" t="str">
        <x:v>Provider closure notice</x:v>
      </x:c>
      <x:c r="K8" s="61" t="str">
        <x:v>S073</x:v>
      </x:c>
      <x:c r="L8" s="70" t="str">
        <x:v>https://localbitcoins.com/</x:v>
      </x:c>
      <x:c r="M8" s="70" t="str">
        <x:v>https://localbitcoins.com/</x:v>
      </x:c>
      <x:c r="N8" s="61" t="str">
        <x:v>268505550</x:v>
      </x:c>
      <x:c r="O8" s="61" t="n">
        <x:v>1003</x:v>
      </x:c>
      <x:c r="P8" s="61" t="n">
        <x:v>15</x:v>
      </x:c>
      <x:c r="Q8" s="61" t="str">
        <x:v>2026-09-15</x:v>
      </x:c>
      <x:c r="R8" s="61" t="n">
        <x:v>1</x:v>
      </x:c>
      <x:c r="S8" s="61" t="str">
        <x:v>Other / utility</x:v>
      </x:c>
      <x:c r="T8" s="61" t="str">
        <x:v>Scoped desk assessment</x:v>
      </x:c>
    </x:row>
    <x:row r="9" ht="105" customHeight="1">
      <x:c r="A9" s="61" t="n">
        <x:v>293</x:v>
      </x:c>
      <x:c r="B9" s="61" t="str">
        <x:v>IntelTechniques OSINT</x:v>
      </x:c>
      <x:c r="C9" s="61" t="str">
        <x:v>C</x:v>
      </x:c>
      <x:c r="D9" s="61" t="str">
        <x:v>Documented</x:v>
      </x:c>
      <x:c r="E9" s="61" t="str">
        <x:v>UNIFIED SEARCH</x:v>
      </x:c>
      <x:c r="F9" s="61" t="str">
        <x:v>Search launcher / investigation utilities</x:v>
      </x:c>
      <x:c r="G9" s="61" t="str">
        <x:v>The tools page explicitly retains some nonfunctional tools. Its update date does not validate every module or external result.</x:v>
      </x:c>
      <x:c r="H9" s="61" t="str">
        <x:v>Corroborate before attribution</x:v>
      </x:c>
      <x:c r="I9" s="61" t="str">
        <x:v>Tools page readable; individual modules not run</x:v>
      </x:c>
      <x:c r="J9" s="61" t="str">
        <x:v>Provider documentation</x:v>
      </x:c>
      <x:c r="K9" s="61" t="str">
        <x:v>S055</x:v>
      </x:c>
      <x:c r="L9" s="70" t="str">
        <x:v>https://inteltechniques.com/tools/</x:v>
      </x:c>
      <x:c r="M9" s="70" t="str">
        <x:v>https://inteltechniques.com/tools/</x:v>
      </x:c>
      <x:c r="N9" s="61" t="str">
        <x:v>314726027</x:v>
      </x:c>
      <x:c r="O9" s="61" t="n">
        <x:v>1003</x:v>
      </x:c>
      <x:c r="P9" s="61" t="n">
        <x:v>1</x:v>
      </x:c>
      <x:c r="Q9" s="61" t="str">
        <x:v>2026-09-15</x:v>
      </x:c>
      <x:c r="R9" s="61" t="n">
        <x:v>1</x:v>
      </x:c>
      <x:c r="S9" s="61" t="str">
        <x:v>Contacts / records</x:v>
      </x:c>
      <x:c r="T9" s="61" t="str">
        <x:v>Scoped desk assessment</x:v>
      </x:c>
    </x:row>
    <x:row r="10" ht="105" customHeight="1">
      <x:c r="A10" s="61" t="n">
        <x:v>294</x:v>
      </x:c>
      <x:c r="B10" s="61" t="str">
        <x:v>SynapsInt</x:v>
      </x:c>
      <x:c r="C10" s="61" t="str">
        <x:v>C</x:v>
      </x:c>
      <x:c r="D10" s="61" t="str">
        <x:v>Documented</x:v>
      </x:c>
      <x:c r="E10" s="61" t="str">
        <x:v>UNIFIED SEARCH</x:v>
      </x:c>
      <x:c r="F10" s="61" t="str">
        <x:v>Multi-field discovery search</x:v>
      </x:c>
      <x:c r="G10" s="61" t="str">
        <x:v>Search interface for several identifier types. No independently tested matching accuracy or complete data provenance established in this review.</x:v>
      </x:c>
      <x:c r="H10" s="61" t="str">
        <x:v>Corroborate before attribution</x:v>
      </x:c>
      <x:c r="I10" s="61" t="str">
        <x:v>Content readable; lookup not tested</x:v>
      </x:c>
      <x:c r="J10" s="61" t="str">
        <x:v>Provider landing page</x:v>
      </x:c>
      <x:c r="K10" s="61" t="str">
        <x:v>S056</x:v>
      </x:c>
      <x:c r="L10" s="70" t="str">
        <x:v>https://synapsint.com/</x:v>
      </x:c>
      <x:c r="M10" s="70" t="str">
        <x:v>https://synapsint.com/</x:v>
      </x:c>
      <x:c r="N10" s="61" t="str">
        <x:v>268507161</x:v>
      </x:c>
      <x:c r="O10" s="61" t="n">
        <x:v>1003</x:v>
      </x:c>
      <x:c r="P10" s="61" t="n">
        <x:v>2</x:v>
      </x:c>
      <x:c r="Q10" s="61" t="str">
        <x:v>2026-09-15</x:v>
      </x:c>
      <x:c r="R10" s="61" t="n">
        <x:v>1</x:v>
      </x:c>
      <x:c r="S10" s="61" t="str">
        <x:v>Contacts / records</x:v>
      </x:c>
      <x:c r="T10" s="61" t="str">
        <x:v>Scoped desk assessment</x:v>
      </x:c>
    </x:row>
    <x:row r="11" ht="105" customHeight="1">
      <x:c r="A11" s="61" t="n">
        <x:v>296</x:v>
      </x:c>
      <x:c r="B11" s="61" t="str">
        <x:v>MetaDefender</x:v>
      </x:c>
      <x:c r="C11" s="61" t="str">
        <x:v>B</x:v>
      </x:c>
      <x:c r="D11" s="61" t="str">
        <x:v>Documented</x:v>
      </x:c>
      <x:c r="E11" s="61" t="str">
        <x:v>UNIFIED SEARCH</x:v>
      </x:c>
      <x:c r="F11" s="61" t="str">
        <x:v>File and domain security analysis</x:v>
      </x:c>
      <x:c r="G11" s="61" t="str">
        <x:v>OPSWAT describes malware and threat-intelligence analysis. This is not a people-search database; scanner verdicts are not proof about a person.</x:v>
      </x:c>
      <x:c r="H11" s="61" t="str">
        <x:v>Corroborate before attribution</x:v>
      </x:c>
      <x:c r="I11" s="61" t="str">
        <x:v>Provider documentation readable; old bookmark redirects; nothing submitted</x:v>
      </x:c>
      <x:c r="J11" s="61" t="str">
        <x:v>Provider product documentation</x:v>
      </x:c>
      <x:c r="K11" s="61" t="str">
        <x:v>S094</x:v>
      </x:c>
      <x:c r="L11" s="70" t="str">
        <x:v>https://www.opswat.com/products/metadefender/cloud</x:v>
      </x:c>
      <x:c r="M11" s="70" t="str">
        <x:v>https://metadefender.opswat.com/</x:v>
      </x:c>
      <x:c r="N11" s="61" t="str">
        <x:v>286997900</x:v>
      </x:c>
      <x:c r="O11" s="61" t="n">
        <x:v>1003</x:v>
      </x:c>
      <x:c r="P11" s="61" t="n">
        <x:v>4</x:v>
      </x:c>
      <x:c r="Q11" s="61" t="str">
        <x:v>2026-09-15</x:v>
      </x:c>
      <x:c r="R11" s="61" t="n">
        <x:v>1</x:v>
      </x:c>
      <x:c r="S11" s="61" t="str">
        <x:v>Contacts / records</x:v>
      </x:c>
      <x:c r="T11" s="61" t="str">
        <x:v>Scoped desk assessment</x:v>
      </x:c>
    </x:row>
    <x:row r="12" ht="105" customHeight="1">
      <x:c r="A12" s="61" t="n">
        <x:v>297</x:v>
      </x:c>
      <x:c r="B12" s="61" t="str">
        <x:v>Username Search</x:v>
      </x:c>
      <x:c r="C12" s="61" t="str">
        <x:v>C</x:v>
      </x:c>
      <x:c r="D12" s="61" t="str">
        <x:v>Documented</x:v>
      </x:c>
      <x:c r="E12" s="61" t="str">
        <x:v>UNIFIED SEARCH</x:v>
      </x:c>
      <x:c r="F12" s="61" t="str">
        <x:v>Username-profile discovery</x:v>
      </x:c>
      <x:c r="G12" s="61" t="str">
        <x:v>The .org service describes username-only search; email search is directed elsewhere. Candidate profiles are not verified personal associations.</x:v>
      </x:c>
      <x:c r="H12" s="61" t="str">
        <x:v>Corroborate before attribution</x:v>
      </x:c>
      <x:c r="I12" s="61" t="str">
        <x:v>Content readable; lookup not tested</x:v>
      </x:c>
      <x:c r="J12" s="61" t="str">
        <x:v>Provider landing page</x:v>
      </x:c>
      <x:c r="K12" s="61" t="str">
        <x:v>S057</x:v>
      </x:c>
      <x:c r="L12" s="70" t="str">
        <x:v>https://usersearch.org/</x:v>
      </x:c>
      <x:c r="M12" s="70" t="str">
        <x:v>https://usersearch.org/</x:v>
      </x:c>
      <x:c r="N12" s="61" t="str">
        <x:v>268374426</x:v>
      </x:c>
      <x:c r="O12" s="61" t="n">
        <x:v>1003</x:v>
      </x:c>
      <x:c r="P12" s="61" t="n">
        <x:v>5</x:v>
      </x:c>
      <x:c r="Q12" s="61" t="str">
        <x:v>2026-09-15</x:v>
      </x:c>
      <x:c r="R12" s="61" t="n">
        <x:v>1</x:v>
      </x:c>
      <x:c r="S12" s="61" t="str">
        <x:v>Contacts / records</x:v>
      </x:c>
      <x:c r="T12" s="61" t="str">
        <x:v>Scoped desk assessment</x:v>
      </x:c>
    </x:row>
    <x:row r="13" ht="105" customHeight="1">
      <x:c r="A13" s="61" t="n">
        <x:v>299</x:v>
      </x:c>
      <x:c r="B13" s="61" t="str">
        <x:v>Effect Group</x:v>
      </x:c>
      <x:c r="C13" s="61" t="str">
        <x:v>C</x:v>
      </x:c>
      <x:c r="D13" s="61" t="str">
        <x:v>Documented</x:v>
      </x:c>
      <x:c r="E13" s="61" t="str">
        <x:v>UNIFIED SEARCH</x:v>
      </x:c>
      <x:c r="F13" s="61" t="str">
        <x:v>Aggregated relationship leads</x:v>
      </x:c>
      <x:c r="G13" s="61" t="str">
        <x:v>Marketing examples are not evidence of real accuracy. Verify original sources for any returned identity, relative or contact connection.</x:v>
      </x:c>
      <x:c r="H13" s="61" t="str">
        <x:v>Corroborate before attribution</x:v>
      </x:c>
      <x:c r="I13" s="61" t="str">
        <x:v>Content readable; lookup not tested</x:v>
      </x:c>
      <x:c r="J13" s="61" t="str">
        <x:v>Provider landing page</x:v>
      </x:c>
      <x:c r="K13" s="61" t="str">
        <x:v>S058</x:v>
      </x:c>
      <x:c r="L13" s="70" t="str">
        <x:v>https://www.effectgroup.io/</x:v>
      </x:c>
      <x:c r="M13" s="70" t="str">
        <x:v>https://effectgroup.io/</x:v>
      </x:c>
      <x:c r="N13" s="61" t="str">
        <x:v>290063430</x:v>
      </x:c>
      <x:c r="O13" s="61" t="n">
        <x:v>1003</x:v>
      </x:c>
      <x:c r="P13" s="61" t="n">
        <x:v>7</x:v>
      </x:c>
      <x:c r="Q13" s="61" t="str">
        <x:v>2026-09-15</x:v>
      </x:c>
      <x:c r="R13" s="61" t="n">
        <x:v>1</x:v>
      </x:c>
      <x:c r="S13" s="61" t="str">
        <x:v>Contacts / records</x:v>
      </x:c>
      <x:c r="T13" s="61" t="str">
        <x:v>Scoped desk assessment</x:v>
      </x:c>
    </x:row>
    <x:row r="14" ht="105" customHeight="1">
      <x:c r="A14" s="61" t="n">
        <x:v>300</x:v>
      </x:c>
      <x:c r="B14" s="61" t="str">
        <x:v>osrframework</x:v>
      </x:c>
      <x:c r="C14" s="61" t="str">
        <x:v>C</x:v>
      </x:c>
      <x:c r="D14" s="61" t="str">
        <x:v>Documented</x:v>
      </x:c>
      <x:c r="E14" s="61" t="str">
        <x:v>UNIFIED SEARCH</x:v>
      </x:c>
      <x:c r="F14" s="61" t="str">
        <x:v>Software-assisted identifier discovery</x:v>
      </x:c>
      <x:c r="G14" s="61" t="str">
        <x:v>The linked PyPI release history stops at November 2021. Package age is a compatibility caution, not proof that every module is broken.</x:v>
      </x:c>
      <x:c r="H14" s="61" t="str">
        <x:v>Corroborate before attribution</x:v>
      </x:c>
      <x:c r="I14" s="61" t="str">
        <x:v>Package page readable; software not installed or run</x:v>
      </x:c>
      <x:c r="J14" s="61" t="str">
        <x:v>Maintainer package metadata</x:v>
      </x:c>
      <x:c r="K14" s="61" t="str">
        <x:v>S059</x:v>
      </x:c>
      <x:c r="L14" s="70" t="str">
        <x:v>https://pypi.org/project/osrframework/</x:v>
      </x:c>
      <x:c r="M14" s="70" t="str">
        <x:v>https://pypi.org/project/osrframework/</x:v>
      </x:c>
      <x:c r="N14" s="61" t="str">
        <x:v>286870545</x:v>
      </x:c>
      <x:c r="O14" s="61" t="n">
        <x:v>1003</x:v>
      </x:c>
      <x:c r="P14" s="61" t="n">
        <x:v>8</x:v>
      </x:c>
      <x:c r="Q14" s="61" t="str">
        <x:v>2026-09-15</x:v>
      </x:c>
      <x:c r="R14" s="61" t="n">
        <x:v>1</x:v>
      </x:c>
      <x:c r="S14" s="61" t="str">
        <x:v>Contacts / records</x:v>
      </x:c>
      <x:c r="T14" s="61" t="str">
        <x:v>Scoped desk assessment</x:v>
      </x:c>
    </x:row>
    <x:row r="15" ht="105" customHeight="1">
      <x:c r="A15" s="61" t="n">
        <x:v>303</x:v>
      </x:c>
      <x:c r="B15" s="61" t="str">
        <x:v>LinkScope</x:v>
      </x:c>
      <x:c r="C15" s="61" t="str">
        <x:v>N/A</x:v>
      </x:c>
      <x:c r="D15" s="61" t="str">
        <x:v>Documented</x:v>
      </x:c>
      <x:c r="E15" s="61" t="str">
        <x:v>UNIFIED SEARCH</x:v>
      </x:c>
      <x:c r="F15" s="61" t="str">
        <x:v>Graph-analysis software</x:v>
      </x:c>
      <x:c r="G15" s="61" t="str">
        <x:v>A graph represents imported or derived relationships; the visualization does not independently validate its edges.</x:v>
      </x:c>
      <x:c r="H15" s="61" t="str">
        <x:v>Attach evidence to each graph edge</x:v>
      </x:c>
      <x:c r="I15" s="61" t="str">
        <x:v>Repository documentation readable; software not run</x:v>
      </x:c>
      <x:c r="J15" s="61" t="str">
        <x:v>Maintainer documentation</x:v>
      </x:c>
      <x:c r="K15" s="61" t="str">
        <x:v>S060</x:v>
      </x:c>
      <x:c r="L15" s="70" t="str">
        <x:v>https://github.com/AccentuSoft/LinkScope_Client</x:v>
      </x:c>
      <x:c r="M15" s="70" t="str">
        <x:v>https://github.com/AccentuSoft/LinkScope_Client</x:v>
      </x:c>
      <x:c r="N15" s="61" t="str">
        <x:v>296690797</x:v>
      </x:c>
      <x:c r="O15" s="61" t="n">
        <x:v>1003</x:v>
      </x:c>
      <x:c r="P15" s="61" t="n">
        <x:v>11</x:v>
      </x:c>
      <x:c r="Q15" s="61" t="str">
        <x:v>2026-09-15</x:v>
      </x:c>
      <x:c r="R15" s="61" t="n">
        <x:v>1</x:v>
      </x:c>
      <x:c r="S15" s="61" t="str">
        <x:v>Contacts / records</x:v>
      </x:c>
      <x:c r="T15" s="61" t="str">
        <x:v>Scoped desk assessment</x:v>
      </x:c>
    </x:row>
    <x:row r="16" ht="105" customHeight="1">
      <x:c r="A16" s="61" t="n">
        <x:v>305</x:v>
      </x:c>
      <x:c r="B16" s="61" t="str">
        <x:v>Criminal IP</x:v>
      </x:c>
      <x:c r="C16" s="61" t="str">
        <x:v>B</x:v>
      </x:c>
      <x:c r="D16" s="61" t="str">
        <x:v>Documented</x:v>
      </x:c>
      <x:c r="E16" s="61" t="str">
        <x:v>UNIFIED SEARCH</x:v>
      </x:c>
      <x:c r="F16" s="61" t="str">
        <x:v>IP/domain threat-intelligence observations</x:v>
      </x:c>
      <x:c r="G16" s="61" t="str">
        <x:v>Technical security intelligence, not a person's criminal-history service. Preserve the observation date; network association is not human attribution.</x:v>
      </x:c>
      <x:c r="H16" s="61" t="str">
        <x:v>Corroborate before attribution</x:v>
      </x:c>
      <x:c r="I16" s="61" t="str">
        <x:v>Content readable; lookup not tested</x:v>
      </x:c>
      <x:c r="J16" s="61" t="str">
        <x:v>Provider product documentation</x:v>
      </x:c>
      <x:c r="K16" s="61" t="str">
        <x:v>S061</x:v>
      </x:c>
      <x:c r="L16" s="70" t="str">
        <x:v>https://www.criminalip.io/</x:v>
      </x:c>
      <x:c r="M16" s="70" t="str">
        <x:v>https://www.criminalip.io/</x:v>
      </x:c>
      <x:c r="N16" s="61" t="str">
        <x:v>309551357</x:v>
      </x:c>
      <x:c r="O16" s="61" t="n">
        <x:v>1004</x:v>
      </x:c>
      <x:c r="P16" s="61" t="n">
        <x:v>13</x:v>
      </x:c>
      <x:c r="Q16" s="61" t="str">
        <x:v>2026-09-15</x:v>
      </x:c>
      <x:c r="R16" s="61" t="n">
        <x:v>1</x:v>
      </x:c>
      <x:c r="S16" s="61" t="str">
        <x:v>Contacts / records</x:v>
      </x:c>
      <x:c r="T16" s="61" t="str">
        <x:v>Scoped desk assessment</x:v>
      </x:c>
    </x:row>
    <x:row r="17" ht="105" customHeight="1">
      <x:c r="A17" s="61" t="n">
        <x:v>306</x:v>
      </x:c>
      <x:c r="B17" s="61" t="str">
        <x:v>IDCrawl</x:v>
      </x:c>
      <x:c r="C17" s="61" t="str">
        <x:v>C</x:v>
      </x:c>
      <x:c r="D17" s="61" t="str">
        <x:v>Documented</x:v>
      </x:c>
      <x:c r="E17" s="61" t="str">
        <x:v>PEOPLE</x:v>
      </x:c>
      <x:c r="F17" s="61" t="str">
        <x:v>Public profile and contact discovery</x:v>
      </x:c>
      <x:c r="G17" s="61" t="str">
        <x:v>Aggregates profiles and public-record leads. Marketing claims were not independently validated; resolve identity at the original page.</x:v>
      </x:c>
      <x:c r="H17" s="61" t="str">
        <x:v>Corroborate before attribution</x:v>
      </x:c>
      <x:c r="I17" s="61" t="str">
        <x:v>Content readable; lookup not tested</x:v>
      </x:c>
      <x:c r="J17" s="61" t="str">
        <x:v>Provider landing page</x:v>
      </x:c>
      <x:c r="K17" s="61" t="str">
        <x:v>S001</x:v>
      </x:c>
      <x:c r="L17" s="70" t="str">
        <x:v>https://www.idcrawl.com/</x:v>
      </x:c>
      <x:c r="M17" s="70" t="str">
        <x:v>https://www.idcrawl.com/</x:v>
      </x:c>
      <x:c r="N17" s="61" t="str">
        <x:v>286823760</x:v>
      </x:c>
      <x:c r="O17" s="61" t="n">
        <x:v>1004</x:v>
      </x:c>
      <x:c r="P17" s="61" t="n">
        <x:v>1</x:v>
      </x:c>
      <x:c r="Q17" s="61" t="str">
        <x:v>2026-09-15</x:v>
      </x:c>
      <x:c r="R17" s="61" t="n">
        <x:v>1</x:v>
      </x:c>
      <x:c r="S17" s="61" t="str">
        <x:v>Contacts / records</x:v>
      </x:c>
      <x:c r="T17" s="61" t="str">
        <x:v>Scoped desk assessment</x:v>
      </x:c>
    </x:row>
    <x:row r="18" ht="105" customHeight="1">
      <x:c r="A18" s="61" t="n">
        <x:v>307</x:v>
      </x:c>
      <x:c r="B18" s="61" t="str">
        <x:v>WebMii</x:v>
      </x:c>
      <x:c r="C18" s="61" t="str">
        <x:v>C</x:v>
      </x:c>
      <x:c r="D18" s="61" t="str">
        <x:v>Documented</x:v>
      </x:c>
      <x:c r="E18" s="61" t="str">
        <x:v>PEOPLE</x:v>
      </x:c>
      <x:c r="F18" s="61" t="str">
        <x:v>Public-web name discovery</x:v>
      </x:c>
      <x:c r="G18" s="61" t="str">
        <x:v>Searches public-web information and offers keyword filtering for homonyms; not an identity-verification record.</x:v>
      </x:c>
      <x:c r="H18" s="61" t="str">
        <x:v>Corroborate before attribution</x:v>
      </x:c>
      <x:c r="I18" s="61" t="str">
        <x:v>Content readable; lookup not tested</x:v>
      </x:c>
      <x:c r="J18" s="61" t="str">
        <x:v>Provider landing page</x:v>
      </x:c>
      <x:c r="K18" s="61" t="str">
        <x:v>S002</x:v>
      </x:c>
      <x:c r="L18" s="70" t="str">
        <x:v>https://webmii.com/</x:v>
      </x:c>
      <x:c r="M18" s="70" t="str">
        <x:v>https://webmii.com/</x:v>
      </x:c>
      <x:c r="N18" s="61" t="str">
        <x:v>286686924</x:v>
      </x:c>
      <x:c r="O18" s="61" t="n">
        <x:v>1004</x:v>
      </x:c>
      <x:c r="P18" s="61" t="n">
        <x:v>2</x:v>
      </x:c>
      <x:c r="Q18" s="61" t="str">
        <x:v>2026-09-15</x:v>
      </x:c>
      <x:c r="R18" s="61" t="n">
        <x:v>1</x:v>
      </x:c>
      <x:c r="S18" s="61" t="str">
        <x:v>Contacts / records</x:v>
      </x:c>
      <x:c r="T18" s="61" t="str">
        <x:v>Scoped desk assessment</x:v>
      </x:c>
    </x:row>
    <x:row r="19" ht="105" customHeight="1">
      <x:c r="A19" s="61" t="n">
        <x:v>308</x:v>
      </x:c>
      <x:c r="B19" s="61" t="str">
        <x:v>Tools</x:v>
      </x:c>
      <x:c r="C19" s="61" t="str">
        <x:v>C</x:v>
      </x:c>
      <x:c r="D19" s="61" t="str">
        <x:v>Documented</x:v>
      </x:c>
      <x:c r="E19" s="61" t="str">
        <x:v>PEOPLE</x:v>
      </x:c>
      <x:c r="F19" s="61" t="str">
        <x:v>Third-party search launcher</x:v>
      </x:c>
      <x:c r="G19" s="61" t="str">
        <x:v>Routes searches to other services and disclaims their results. Multiple routed results are not automatically independent evidence.</x:v>
      </x:c>
      <x:c r="H19" s="61" t="str">
        <x:v>Corroborate before attribution</x:v>
      </x:c>
      <x:c r="I19" s="61" t="str">
        <x:v>Content readable; lookup not tested</x:v>
      </x:c>
      <x:c r="J19" s="61" t="str">
        <x:v>Provider documentation</x:v>
      </x:c>
      <x:c r="K19" s="61" t="str">
        <x:v>S003</x:v>
      </x:c>
      <x:c r="L19" s="70" t="str">
        <x:v>https://intelx.io/tools</x:v>
      </x:c>
      <x:c r="M19" s="70" t="str">
        <x:v>https://intelx.io/tools?tab=person</x:v>
      </x:c>
      <x:c r="N19" s="61" t="str">
        <x:v>311645321</x:v>
      </x:c>
      <x:c r="O19" s="61" t="n">
        <x:v>1004</x:v>
      </x:c>
      <x:c r="P19" s="61" t="n">
        <x:v>3</x:v>
      </x:c>
      <x:c r="Q19" s="61" t="str">
        <x:v>2026-09-15</x:v>
      </x:c>
      <x:c r="R19" s="61" t="n">
        <x:v>1</x:v>
      </x:c>
      <x:c r="S19" s="61" t="str">
        <x:v>Contacts / records</x:v>
      </x:c>
      <x:c r="T19" s="61" t="str">
        <x:v>Scoped desk assessment</x:v>
      </x:c>
    </x:row>
    <x:row r="20" ht="105" customHeight="1">
      <x:c r="A20" s="61" t="n">
        <x:v>310</x:v>
      </x:c>
      <x:c r="B20" s="61" t="str">
        <x:v>Free People Search</x:v>
      </x:c>
      <x:c r="C20" s="61" t="str">
        <x:v>C</x:v>
      </x:c>
      <x:c r="D20" s="61" t="str">
        <x:v>Documented</x:v>
      </x:c>
      <x:c r="E20" s="61" t="str">
        <x:v>PEOPLE</x:v>
      </x:c>
      <x:c r="F20" s="61" t="str">
        <x:v>Aggregated people-search leads</x:v>
      </x:c>
      <x:c r="G20" s="61" t="str">
        <x:v>The page identifies Intelius as provider. Treat relationship/background claims as leads, not original records; listed FCRA uses are prohibited by its terms notice.</x:v>
      </x:c>
      <x:c r="H20" s="61" t="str">
        <x:v>Corroborate before attribution</x:v>
      </x:c>
      <x:c r="I20" s="61" t="str">
        <x:v>Content readable; lookup not tested</x:v>
      </x:c>
      <x:c r="J20" s="61" t="str">
        <x:v>Provider landing page</x:v>
      </x:c>
      <x:c r="K20" s="61" t="str">
        <x:v>S004</x:v>
      </x:c>
      <x:c r="L20" s="70" t="str">
        <x:v>https://www.peoplefinder.com/</x:v>
      </x:c>
      <x:c r="M20" s="70" t="str">
        <x:v>https://www.peoplefinder.com/</x:v>
      </x:c>
      <x:c r="N20" s="61" t="str">
        <x:v>291767493</x:v>
      </x:c>
      <x:c r="O20" s="61" t="n">
        <x:v>1004</x:v>
      </x:c>
      <x:c r="P20" s="61" t="n">
        <x:v>5</x:v>
      </x:c>
      <x:c r="Q20" s="61" t="str">
        <x:v>2026-09-15</x:v>
      </x:c>
      <x:c r="R20" s="61" t="n">
        <x:v>1</x:v>
      </x:c>
      <x:c r="S20" s="61" t="str">
        <x:v>Contacts / records</x:v>
      </x:c>
      <x:c r="T20" s="61" t="str">
        <x:v>Scoped desk assessment</x:v>
      </x:c>
    </x:row>
    <x:row r="21" ht="105" customHeight="1">
      <x:c r="A21" s="61" t="n">
        <x:v>317</x:v>
      </x:c>
      <x:c r="B21" s="61" t="str">
        <x:v>192</x:v>
      </x:c>
      <x:c r="C21" s="61" t="str">
        <x:v>B</x:v>
      </x:c>
      <x:c r="D21" s="61" t="str">
        <x:v>Documented</x:v>
      </x:c>
      <x:c r="E21" s="61" t="str">
        <x:v>PEOPLE</x:v>
      </x:c>
      <x:c r="F21" s="61" t="str">
        <x:v>Dated UK directory records</x:v>
      </x:c>
      <x:c r="G21" s="61" t="str">
        <x:v>Directory/electoral-roll discovery. Preserve the source year and record type; do not infer a current relationship from a shared listing.</x:v>
      </x:c>
      <x:c r="H21" s="61" t="str">
        <x:v>Corroborate before attribution</x:v>
      </x:c>
      <x:c r="I21" s="61" t="str">
        <x:v>Content readable; lookup not tested</x:v>
      </x:c>
      <x:c r="J21" s="61" t="str">
        <x:v>Provider landing page</x:v>
      </x:c>
      <x:c r="K21" s="61" t="str">
        <x:v>S005</x:v>
      </x:c>
      <x:c r="L21" s="70" t="str">
        <x:v>https://www.192.com/</x:v>
      </x:c>
      <x:c r="M21" s="70" t="str">
        <x:v>https://www.192.com/</x:v>
      </x:c>
      <x:c r="N21" s="61" t="str">
        <x:v>268408402</x:v>
      </x:c>
      <x:c r="O21" s="61" t="n">
        <x:v>1004</x:v>
      </x:c>
      <x:c r="P21" s="61" t="n">
        <x:v>12</x:v>
      </x:c>
      <x:c r="Q21" s="61" t="str">
        <x:v>2026-09-15</x:v>
      </x:c>
      <x:c r="R21" s="61" t="n">
        <x:v>1</x:v>
      </x:c>
      <x:c r="S21" s="61" t="str">
        <x:v>Contacts / records</x:v>
      </x:c>
      <x:c r="T21" s="61" t="str">
        <x:v>Scoped desk assessment</x:v>
      </x:c>
    </x:row>
    <x:row r="22" ht="105" customHeight="1">
      <x:c r="A22" s="61" t="n">
        <x:v>318</x:v>
      </x:c>
      <x:c r="B22" s="61" t="str">
        <x:v>International</x:v>
      </x:c>
      <x:c r="C22" s="61" t="str">
        <x:v>C</x:v>
      </x:c>
      <x:c r="D22" s="61" t="str">
        <x:v>Documented</x:v>
      </x:c>
      <x:c r="E22" s="61" t="str">
        <x:v>PEOPLE</x:v>
      </x:c>
      <x:c r="F22" s="61" t="str">
        <x:v>Business directory discovery</x:v>
      </x:c>
      <x:c r="G22" s="61" t="str">
        <x:v>Current landing page is an international business directory; the saved label 'International' is not a promise of complete people coverage.</x:v>
      </x:c>
      <x:c r="H22" s="61" t="str">
        <x:v>Corroborate before attribution</x:v>
      </x:c>
      <x:c r="I22" s="61" t="str">
        <x:v>Content readable; lookup not tested</x:v>
      </x:c>
      <x:c r="J22" s="61" t="str">
        <x:v>Provider landing page</x:v>
      </x:c>
      <x:c r="K22" s="61" t="str">
        <x:v>S006</x:v>
      </x:c>
      <x:c r="L22" s="70" t="str">
        <x:v>https://www.infobel.com/</x:v>
      </x:c>
      <x:c r="M22" s="70" t="str">
        <x:v>https://www.infobel.com/</x:v>
      </x:c>
      <x:c r="N22" s="61" t="str">
        <x:v>297341179</x:v>
      </x:c>
      <x:c r="O22" s="61" t="n">
        <x:v>1005</x:v>
      </x:c>
      <x:c r="P22" s="61" t="n">
        <x:v>13</x:v>
      </x:c>
      <x:c r="Q22" s="61" t="str">
        <x:v>2026-09-15</x:v>
      </x:c>
      <x:c r="R22" s="61" t="n">
        <x:v>1</x:v>
      </x:c>
      <x:c r="S22" s="61" t="str">
        <x:v>Contacts / records</x:v>
      </x:c>
      <x:c r="T22" s="61" t="str">
        <x:v>Scoped desk assessment</x:v>
      </x:c>
    </x:row>
    <x:row r="23" ht="105" customHeight="1">
      <x:c r="A23" s="61" t="n">
        <x:v>319</x:v>
      </x:c>
      <x:c r="B23" s="61" t="str">
        <x:v>People search Tool</x:v>
      </x:c>
      <x:c r="C23" s="61" t="str">
        <x:v>C</x:v>
      </x:c>
      <x:c r="D23" s="61" t="str">
        <x:v>Documented</x:v>
      </x:c>
      <x:c r="E23" s="61" t="str">
        <x:v>PEOPLE</x:v>
      </x:c>
      <x:c r="F23" s="61" t="str">
        <x:v>People query builder</x:v>
      </x:c>
      <x:c r="G23" s="61" t="str">
        <x:v>Generates searches for external engines. Assess the originating result rather than counting this tool as corroboration.</x:v>
      </x:c>
      <x:c r="H23" s="61" t="str">
        <x:v>Corroborate before attribution</x:v>
      </x:c>
      <x:c r="I23" s="61" t="str">
        <x:v>Content readable; lookup not tested</x:v>
      </x:c>
      <x:c r="J23" s="61" t="str">
        <x:v>Provider documentation</x:v>
      </x:c>
      <x:c r="K23" s="61" t="str">
        <x:v>S007</x:v>
      </x:c>
      <x:c r="L23" s="70" t="str">
        <x:v>https://www.aware-online.com/en/osint-tools/people-search-tool/</x:v>
      </x:c>
      <x:c r="M23" s="70" t="str">
        <x:v>https://www.aware-online.com/en/osint-tools/people-search-tool/</x:v>
      </x:c>
      <x:c r="N23" s="61" t="str">
        <x:v>268503236</x:v>
      </x:c>
      <x:c r="O23" s="61" t="n">
        <x:v>1005</x:v>
      </x:c>
      <x:c r="P23" s="61" t="n">
        <x:v>14</x:v>
      </x:c>
      <x:c r="Q23" s="61" t="str">
        <x:v>2026-09-15</x:v>
      </x:c>
      <x:c r="R23" s="61" t="n">
        <x:v>1</x:v>
      </x:c>
      <x:c r="S23" s="61" t="str">
        <x:v>Contacts / records</x:v>
      </x:c>
      <x:c r="T23" s="61" t="str">
        <x:v>Scoped desk assessment</x:v>
      </x:c>
    </x:row>
    <x:row r="24" ht="105" customHeight="1">
      <x:c r="A24" s="61" t="n">
        <x:v>324</x:v>
      </x:c>
      <x:c r="B24" s="61" t="str">
        <x:v>TruthFinder</x:v>
      </x:c>
      <x:c r="C24" s="61" t="str">
        <x:v>D</x:v>
      </x:c>
      <x:c r="D24" s="61" t="str">
        <x:v>Documented</x:v>
      </x:c>
      <x:c r="E24" s="61" t="str">
        <x:v>PEOPLE</x:v>
      </x:c>
      <x:c r="F24" s="61" t="str">
        <x:v>Background and relationship claims</x:v>
      </x:c>
      <x:c r="G24" s="61" t="str">
        <x:v>FTC's 2023 complaint/settlement announcement documented accuracy and verification concerns. Historical caution, not a measured present-day error rate.</x:v>
      </x:c>
      <x:c r="H24" s="61" t="str">
        <x:v>Use original records instead</x:v>
      </x:c>
      <x:c r="I24" s="61" t="str">
        <x:v>Regulatory documentation read; service not tested</x:v>
      </x:c>
      <x:c r="J24" s="61" t="str">
        <x:v>Regulatory source</x:v>
      </x:c>
      <x:c r="K24" s="61" t="str">
        <x:v>S008</x:v>
      </x:c>
      <x:c r="L24" s="70" t="str">
        <x:v>https://www.ftc.gov/news-events/news/press-releases/2023/09/ftc-says-truthfinder-instant-checkmate-deceived-users-about-background-report-accuracy-violated-fcra</x:v>
      </x:c>
      <x:c r="M24" s="70" t="str">
        <x:v>https://www.truthfinder.com/</x:v>
      </x:c>
      <x:c r="N24" s="61" t="str">
        <x:v>268398195</x:v>
      </x:c>
      <x:c r="O24" s="61" t="n">
        <x:v>1005</x:v>
      </x:c>
      <x:c r="P24" s="61" t="n">
        <x:v>19</x:v>
      </x:c>
      <x:c r="Q24" s="61" t="str">
        <x:v>2026-09-15</x:v>
      </x:c>
      <x:c r="R24" s="61" t="n">
        <x:v>1</x:v>
      </x:c>
      <x:c r="S24" s="61" t="str">
        <x:v>Contacts / records</x:v>
      </x:c>
      <x:c r="T24" s="61" t="str">
        <x:v>Scoped desk assessment</x:v>
      </x:c>
    </x:row>
    <x:row r="25" ht="105" customHeight="1">
      <x:c r="A25" s="61" t="n">
        <x:v>332</x:v>
      </x:c>
      <x:c r="B25" s="61" t="str">
        <x:v>WhatsMyName Web</x:v>
      </x:c>
      <x:c r="C25" s="61" t="str">
        <x:v>C</x:v>
      </x:c>
      <x:c r="D25" s="61" t="str">
        <x:v>Documented</x:v>
      </x:c>
      <x:c r="E25" s="61" t="str">
        <x:v>USERNAME</x:v>
      </x:c>
      <x:c r="F25" s="61" t="str">
        <x:v>Username-existence leads</x:v>
      </x:c>
      <x:c r="G25" s="61" t="str">
        <x:v>Maintainer documents per-site detection rules and the web app. Rules need maintenance; a matching handle does not establish common ownership.</x:v>
      </x:c>
      <x:c r="H25" s="61" t="str">
        <x:v>Corroborate before attribution</x:v>
      </x:c>
      <x:c r="I25" s="61" t="str">
        <x:v>Underlying project reviewed; web app not tested</x:v>
      </x:c>
      <x:c r="J25" s="61" t="str">
        <x:v>Maintainer documentation</x:v>
      </x:c>
      <x:c r="K25" s="61" t="str">
        <x:v>S009</x:v>
      </x:c>
      <x:c r="L25" s="70" t="str">
        <x:v>https://github.com/WebBreacher/WhatsMyName</x:v>
      </x:c>
      <x:c r="M25" s="70" t="str">
        <x:v>https://whatsmyname.app/</x:v>
      </x:c>
      <x:c r="N25" s="61" t="str">
        <x:v>268508857</x:v>
      </x:c>
      <x:c r="O25" s="61" t="n">
        <x:v>1005</x:v>
      </x:c>
      <x:c r="P25" s="61" t="n">
        <x:v>1</x:v>
      </x:c>
      <x:c r="Q25" s="61" t="str">
        <x:v>2026-09-15</x:v>
      </x:c>
      <x:c r="R25" s="61" t="n">
        <x:v>1</x:v>
      </x:c>
      <x:c r="S25" s="61" t="str">
        <x:v>Contacts / records</x:v>
      </x:c>
      <x:c r="T25" s="61" t="str">
        <x:v>Scoped desk assessment</x:v>
      </x:c>
    </x:row>
    <x:row r="26" ht="105" customHeight="1">
      <x:c r="A26" s="61" t="n">
        <x:v>333</x:v>
      </x:c>
      <x:c r="B26" s="61" t="str">
        <x:v>Username Checker</x:v>
      </x:c>
      <x:c r="C26" s="61" t="str">
        <x:v>C</x:v>
      </x:c>
      <x:c r="D26" s="61" t="str">
        <x:v>Documented</x:v>
      </x:c>
      <x:c r="E26" s="61" t="str">
        <x:v>USERNAME</x:v>
      </x:c>
      <x:c r="F26" s="61" t="str">
        <x:v>Username availability and profile leads</x:v>
      </x:c>
      <x:c r="G26" s="61" t="str">
        <x:v>Its own FAQ explains that the same username can belong to different people on different sites. Review the source account before linking identities.</x:v>
      </x:c>
      <x:c r="H26" s="61" t="str">
        <x:v>Corroborate before attribution</x:v>
      </x:c>
      <x:c r="I26" s="61" t="str">
        <x:v>Content readable; lookup not tested</x:v>
      </x:c>
      <x:c r="J26" s="61" t="str">
        <x:v>Provider FAQ</x:v>
      </x:c>
      <x:c r="K26" s="61" t="str">
        <x:v>S078</x:v>
      </x:c>
      <x:c r="L26" s="70" t="str">
        <x:v>https://analyzeid.com/username/</x:v>
      </x:c>
      <x:c r="M26" s="70" t="str">
        <x:v>https://analyzeid.com/username/</x:v>
      </x:c>
      <x:c r="N26" s="61" t="str">
        <x:v>304994898</x:v>
      </x:c>
      <x:c r="O26" s="61" t="n">
        <x:v>1005</x:v>
      </x:c>
      <x:c r="P26" s="61" t="n">
        <x:v>2</x:v>
      </x:c>
      <x:c r="Q26" s="61" t="str">
        <x:v>2026-09-15</x:v>
      </x:c>
      <x:c r="R26" s="61" t="n">
        <x:v>1</x:v>
      </x:c>
      <x:c r="S26" s="61" t="str">
        <x:v>Contacts / records</x:v>
      </x:c>
      <x:c r="T26" s="61" t="str">
        <x:v>Scoped desk assessment</x:v>
      </x:c>
    </x:row>
    <x:row r="27" ht="105" customHeight="1">
      <x:c r="A27" s="61" t="n">
        <x:v>334</x:v>
      </x:c>
      <x:c r="B27" s="61" t="str">
        <x:v>Username Search</x:v>
      </x:c>
      <x:c r="C27" s="61" t="str">
        <x:v>C</x:v>
      </x:c>
      <x:c r="D27" s="61" t="str">
        <x:v>Documented</x:v>
      </x:c>
      <x:c r="E27" s="61" t="str">
        <x:v>USERNAME</x:v>
      </x:c>
      <x:c r="F27" s="61" t="str">
        <x:v>Public profile and contact discovery</x:v>
      </x:c>
      <x:c r="G27" s="61" t="str">
        <x:v>Aggregates profiles and public-record leads. Marketing claims were not independently validated; resolve identity at the original page.</x:v>
      </x:c>
      <x:c r="H27" s="61" t="str">
        <x:v>Corroborate before attribution</x:v>
      </x:c>
      <x:c r="I27" s="61" t="str">
        <x:v>Content readable; lookup not tested</x:v>
      </x:c>
      <x:c r="J27" s="61" t="str">
        <x:v>Provider landing page</x:v>
      </x:c>
      <x:c r="K27" s="61" t="str">
        <x:v>S001</x:v>
      </x:c>
      <x:c r="L27" s="70" t="str">
        <x:v>https://www.idcrawl.com/</x:v>
      </x:c>
      <x:c r="M27" s="70" t="str">
        <x:v>https://www.idcrawl.com/username</x:v>
      </x:c>
      <x:c r="N27" s="61" t="str">
        <x:v>291767421</x:v>
      </x:c>
      <x:c r="O27" s="61" t="n">
        <x:v>1005</x:v>
      </x:c>
      <x:c r="P27" s="61" t="n">
        <x:v>3</x:v>
      </x:c>
      <x:c r="Q27" s="61" t="str">
        <x:v>2026-09-15</x:v>
      </x:c>
      <x:c r="R27" s="61" t="n">
        <x:v>1</x:v>
      </x:c>
      <x:c r="S27" s="61" t="str">
        <x:v>Contacts / records</x:v>
      </x:c>
      <x:c r="T27" s="61" t="str">
        <x:v>Scoped desk assessment</x:v>
      </x:c>
    </x:row>
    <x:row r="28" ht="105" customHeight="1">
      <x:c r="A28" s="61" t="n">
        <x:v>335</x:v>
      </x:c>
      <x:c r="B28" s="61" t="str">
        <x:v>Tools</x:v>
      </x:c>
      <x:c r="C28" s="61" t="str">
        <x:v>C</x:v>
      </x:c>
      <x:c r="D28" s="61" t="str">
        <x:v>Documented</x:v>
      </x:c>
      <x:c r="E28" s="61" t="str">
        <x:v>USERNAME</x:v>
      </x:c>
      <x:c r="F28" s="61" t="str">
        <x:v>Third-party search launcher</x:v>
      </x:c>
      <x:c r="G28" s="61" t="str">
        <x:v>Routes searches to other services and disclaims their results. Multiple routed results are not automatically independent evidence.</x:v>
      </x:c>
      <x:c r="H28" s="61" t="str">
        <x:v>Corroborate before attribution</x:v>
      </x:c>
      <x:c r="I28" s="61" t="str">
        <x:v>Content readable; lookup not tested</x:v>
      </x:c>
      <x:c r="J28" s="61" t="str">
        <x:v>Provider documentation</x:v>
      </x:c>
      <x:c r="K28" s="61" t="str">
        <x:v>S003</x:v>
      </x:c>
      <x:c r="L28" s="70" t="str">
        <x:v>https://intelx.io/tools</x:v>
      </x:c>
      <x:c r="M28" s="70" t="str">
        <x:v>https://intelx.io/tools?tab=username</x:v>
      </x:c>
      <x:c r="N28" s="61" t="str">
        <x:v>311645311</x:v>
      </x:c>
      <x:c r="O28" s="61" t="n">
        <x:v>1005</x:v>
      </x:c>
      <x:c r="P28" s="61" t="n">
        <x:v>4</x:v>
      </x:c>
      <x:c r="Q28" s="61" t="str">
        <x:v>2026-09-15</x:v>
      </x:c>
      <x:c r="R28" s="61" t="n">
        <x:v>1</x:v>
      </x:c>
      <x:c r="S28" s="61" t="str">
        <x:v>Contacts / records</x:v>
      </x:c>
      <x:c r="T28" s="61" t="str">
        <x:v>Scoped desk assessment</x:v>
      </x:c>
    </x:row>
    <x:row r="29" ht="105" customHeight="1">
      <x:c r="A29" s="61" t="n">
        <x:v>336</x:v>
      </x:c>
      <x:c r="B29" s="61" t="str">
        <x:v>maigret</x:v>
      </x:c>
      <x:c r="C29" s="61" t="str">
        <x:v>C</x:v>
      </x:c>
      <x:c r="D29" s="61" t="str">
        <x:v>Documented</x:v>
      </x:c>
      <x:c r="E29" s="61" t="str">
        <x:v>USERNAME</x:v>
      </x:c>
      <x:c r="F29" s="61" t="str">
        <x:v>Username search / public profile correlation</x:v>
      </x:c>
      <x:c r="G29" s="61" t="str">
        <x:v>Package and project links are available. Correlated profiles remain candidate matches; package availability does not validate each detector.</x:v>
      </x:c>
      <x:c r="H29" s="61" t="str">
        <x:v>Corroborate before attribution</x:v>
      </x:c>
      <x:c r="I29" s="61" t="str">
        <x:v>Package page readable; software not run</x:v>
      </x:c>
      <x:c r="J29" s="61" t="str">
        <x:v>Package metadata</x:v>
      </x:c>
      <x:c r="K29" s="61" t="str">
        <x:v>S011</x:v>
      </x:c>
      <x:c r="L29" s="70" t="str">
        <x:v>https://pypi.org/project/maigret/</x:v>
      </x:c>
      <x:c r="M29" s="70" t="str">
        <x:v>https://pypi.org/project/maigret/</x:v>
      </x:c>
      <x:c r="N29" s="61" t="str">
        <x:v>304994890</x:v>
      </x:c>
      <x:c r="O29" s="61" t="n">
        <x:v>1005</x:v>
      </x:c>
      <x:c r="P29" s="61" t="n">
        <x:v>5</x:v>
      </x:c>
      <x:c r="Q29" s="61" t="str">
        <x:v>2026-09-15</x:v>
      </x:c>
      <x:c r="R29" s="61" t="n">
        <x:v>1</x:v>
      </x:c>
      <x:c r="S29" s="61" t="str">
        <x:v>Contacts / records</x:v>
      </x:c>
      <x:c r="T29" s="61" t="str">
        <x:v>Scoped desk assessment</x:v>
      </x:c>
    </x:row>
    <x:row r="30" ht="105" customHeight="1">
      <x:c r="A30" s="61" t="n">
        <x:v>337</x:v>
      </x:c>
      <x:c r="B30" s="61" t="str">
        <x:v>sherlock</x:v>
      </x:c>
      <x:c r="C30" s="61" t="str">
        <x:v>C</x:v>
      </x:c>
      <x:c r="D30" s="61" t="str">
        <x:v>Documented</x:v>
      </x:c>
      <x:c r="E30" s="61" t="str">
        <x:v>USERNAME</x:v>
      </x:c>
      <x:c r="F30" s="61" t="str">
        <x:v>Username-existence leads</x:v>
      </x:c>
      <x:c r="G30" s="61" t="str">
        <x:v>Official repository documents username searches and false-positive exclusions. Review every returned profile; installed versions and detectors can differ.</x:v>
      </x:c>
      <x:c r="H30" s="61" t="str">
        <x:v>Corroborate before attribution</x:v>
      </x:c>
      <x:c r="I30" s="61" t="str">
        <x:v>Repository readable; software not run</x:v>
      </x:c>
      <x:c r="J30" s="61" t="str">
        <x:v>Maintainer documentation</x:v>
      </x:c>
      <x:c r="K30" s="61" t="str">
        <x:v>S010</x:v>
      </x:c>
      <x:c r="L30" s="70" t="str">
        <x:v>https://github.com/sherlock-project/sherlock</x:v>
      </x:c>
      <x:c r="M30" s="70" t="str">
        <x:v>https://github.com/sherlock-project/sherlock</x:v>
      </x:c>
      <x:c r="N30" s="61" t="str">
        <x:v>289965214</x:v>
      </x:c>
      <x:c r="O30" s="61" t="n">
        <x:v>1005</x:v>
      </x:c>
      <x:c r="P30" s="61" t="n">
        <x:v>6</x:v>
      </x:c>
      <x:c r="Q30" s="61" t="str">
        <x:v>2026-09-15</x:v>
      </x:c>
      <x:c r="R30" s="61" t="n">
        <x:v>1</x:v>
      </x:c>
      <x:c r="S30" s="61" t="str">
        <x:v>Contacts / records</x:v>
      </x:c>
      <x:c r="T30" s="61" t="str">
        <x:v>Scoped desk assessment</x:v>
      </x:c>
    </x:row>
    <x:row r="31" ht="105" customHeight="1">
      <x:c r="A31" s="61" t="n">
        <x:v>338</x:v>
      </x:c>
      <x:c r="B31" s="61" t="str">
        <x:v>socialscan</x:v>
      </x:c>
      <x:c r="C31" s="61" t="str">
        <x:v>C</x:v>
      </x:c>
      <x:c r="D31" s="61" t="str">
        <x:v>Documented</x:v>
      </x:c>
      <x:c r="E31" s="61" t="str">
        <x:v>USERNAME</x:v>
      </x:c>
      <x:c r="F31" s="61" t="str">
        <x:v>Account availability signals</x:v>
      </x:c>
      <x:c r="G31" s="61" t="str">
        <x:v>A username/email availability checker is not proof of the same person across accounts. Verify platform responses and current module behavior.</x:v>
      </x:c>
      <x:c r="H31" s="61" t="str">
        <x:v>Corroborate before attribution</x:v>
      </x:c>
      <x:c r="I31" s="61" t="str">
        <x:v>Package page readable; software not run</x:v>
      </x:c>
      <x:c r="J31" s="61" t="str">
        <x:v>Package documentation</x:v>
      </x:c>
      <x:c r="K31" s="61" t="str">
        <x:v>S012</x:v>
      </x:c>
      <x:c r="L31" s="70" t="str">
        <x:v>https://pypi.org/project/socialscan/</x:v>
      </x:c>
      <x:c r="M31" s="70" t="str">
        <x:v>https://pypi.org/project/socialscan/</x:v>
      </x:c>
      <x:c r="N31" s="61" t="str">
        <x:v>268399022</x:v>
      </x:c>
      <x:c r="O31" s="61" t="n">
        <x:v>1005</x:v>
      </x:c>
      <x:c r="P31" s="61" t="n">
        <x:v>7</x:v>
      </x:c>
      <x:c r="Q31" s="61" t="str">
        <x:v>2026-09-15</x:v>
      </x:c>
      <x:c r="R31" s="61" t="n">
        <x:v>1</x:v>
      </x:c>
      <x:c r="S31" s="61" t="str">
        <x:v>Contacts / records</x:v>
      </x:c>
      <x:c r="T31" s="61" t="str">
        <x:v>Scoped desk assessment</x:v>
      </x:c>
    </x:row>
    <x:row r="32" ht="105" customHeight="1">
      <x:c r="A32" s="61" t="n">
        <x:v>339</x:v>
      </x:c>
      <x:c r="B32" s="61" t="str">
        <x:v>socid-extractor</x:v>
      </x:c>
      <x:c r="C32" s="61" t="str">
        <x:v>B</x:v>
      </x:c>
      <x:c r="D32" s="61" t="str">
        <x:v>Documented</x:v>
      </x:c>
      <x:c r="E32" s="61" t="str">
        <x:v>USERNAME</x:v>
      </x:c>
      <x:c r="F32" s="61" t="str">
        <x:v>Extraction from supplied public profile pages</x:v>
      </x:c>
      <x:c r="G32" s="61" t="str">
        <x:v>Extracts identifiers from page content. B applies to inspectable extraction, not authenticating the profile owner; compare fields with the original page.</x:v>
      </x:c>
      <x:c r="H32" s="61" t="str">
        <x:v>Corroborate before attribution</x:v>
      </x:c>
      <x:c r="I32" s="61" t="str">
        <x:v>Package page readable; software not run</x:v>
      </x:c>
      <x:c r="J32" s="61" t="str">
        <x:v>Package documentation</x:v>
      </x:c>
      <x:c r="K32" s="61" t="str">
        <x:v>S013</x:v>
      </x:c>
      <x:c r="L32" s="70" t="str">
        <x:v>https://pypi.org/project/socid-extractor/</x:v>
      </x:c>
      <x:c r="M32" s="70" t="str">
        <x:v>https://pypi.org/project/socid-extractor/</x:v>
      </x:c>
      <x:c r="N32" s="61" t="str">
        <x:v>304994948</x:v>
      </x:c>
      <x:c r="O32" s="61" t="n">
        <x:v>1005</x:v>
      </x:c>
      <x:c r="P32" s="61" t="n">
        <x:v>8</x:v>
      </x:c>
      <x:c r="Q32" s="61" t="str">
        <x:v>2026-09-15</x:v>
      </x:c>
      <x:c r="R32" s="61" t="n">
        <x:v>1</x:v>
      </x:c>
      <x:c r="S32" s="61" t="str">
        <x:v>Contacts / records</x:v>
      </x:c>
      <x:c r="T32" s="61" t="str">
        <x:v>Scoped desk assessment</x:v>
      </x:c>
    </x:row>
    <x:row r="33" ht="105" customHeight="1">
      <x:c r="A33" s="61" t="n">
        <x:v>340</x:v>
      </x:c>
      <x:c r="B33" s="61" t="str">
        <x:v>social-analyzer</x:v>
      </x:c>
      <x:c r="C33" s="61" t="str">
        <x:v>C</x:v>
      </x:c>
      <x:c r="D33" s="61" t="str">
        <x:v>Documented</x:v>
      </x:c>
      <x:c r="E33" s="61" t="str">
        <x:v>USERNAME</x:v>
      </x:c>
      <x:c r="F33" s="61" t="str">
        <x:v>Social-profile discovery</x:v>
      </x:c>
      <x:c r="G33" s="61" t="str">
        <x:v>Combines profile-search and analysis methods. Confidence scores are not independently calibrated identity probabilities in this audit.</x:v>
      </x:c>
      <x:c r="H33" s="61" t="str">
        <x:v>Corroborate before attribution</x:v>
      </x:c>
      <x:c r="I33" s="61" t="str">
        <x:v>Project readable; software not run</x:v>
      </x:c>
      <x:c r="J33" s="61" t="str">
        <x:v>Maintainer documentation</x:v>
      </x:c>
      <x:c r="K33" s="61" t="str">
        <x:v>S014</x:v>
      </x:c>
      <x:c r="L33" s="70" t="str">
        <x:v>https://github.com/qeeqbox/social-analyzer</x:v>
      </x:c>
      <x:c r="M33" s="70" t="str">
        <x:v>https://pypi.org/project/social-analyzer/</x:v>
      </x:c>
      <x:c r="N33" s="61" t="str">
        <x:v>289966190</x:v>
      </x:c>
      <x:c r="O33" s="61" t="n">
        <x:v>1005</x:v>
      </x:c>
      <x:c r="P33" s="61" t="n">
        <x:v>9</x:v>
      </x:c>
      <x:c r="Q33" s="61" t="str">
        <x:v>2026-09-15</x:v>
      </x:c>
      <x:c r="R33" s="61" t="n">
        <x:v>1</x:v>
      </x:c>
      <x:c r="S33" s="61" t="str">
        <x:v>Contacts / records</x:v>
      </x:c>
      <x:c r="T33" s="61" t="str">
        <x:v>Scoped desk assessment</x:v>
      </x:c>
    </x:row>
    <x:row r="34" ht="105" customHeight="1">
      <x:c r="A34" s="61" t="n">
        <x:v>343</x:v>
      </x:c>
      <x:c r="B34" s="61" t="str">
        <x:v>Username Checker</x:v>
      </x:c>
      <x:c r="C34" s="61" t="str">
        <x:v>C</x:v>
      </x:c>
      <x:c r="D34" s="61" t="str">
        <x:v>Documented</x:v>
      </x:c>
      <x:c r="E34" s="61" t="str">
        <x:v>USERNAME</x:v>
      </x:c>
      <x:c r="F34" s="61" t="str">
        <x:v>Handle-availability checks</x:v>
      </x:c>
      <x:c r="G34" s="61" t="str">
        <x:v>Designed for username availability and branding. Taken or unavailable does not establish a person's ownership or a relationship.</x:v>
      </x:c>
      <x:c r="H34" s="61" t="str">
        <x:v>Corroborate before attribution</x:v>
      </x:c>
      <x:c r="I34" s="61" t="str">
        <x:v>Content readable; lookup not tested</x:v>
      </x:c>
      <x:c r="J34" s="61" t="str">
        <x:v>Provider landing page</x:v>
      </x:c>
      <x:c r="K34" s="61" t="str">
        <x:v>S079</x:v>
      </x:c>
      <x:c r="L34" s="70" t="str">
        <x:v>https://checkuser.org/</x:v>
      </x:c>
      <x:c r="M34" s="70" t="str">
        <x:v>https://checkuser.org/</x:v>
      </x:c>
      <x:c r="N34" s="61" t="str">
        <x:v>268508894</x:v>
      </x:c>
      <x:c r="O34" s="61" t="n">
        <x:v>1005</x:v>
      </x:c>
      <x:c r="P34" s="61" t="n">
        <x:v>12</x:v>
      </x:c>
      <x:c r="Q34" s="61" t="str">
        <x:v>2026-09-15</x:v>
      </x:c>
      <x:c r="R34" s="61" t="n">
        <x:v>1</x:v>
      </x:c>
      <x:c r="S34" s="61" t="str">
        <x:v>Contacts / records</x:v>
      </x:c>
      <x:c r="T34" s="61" t="str">
        <x:v>Scoped desk assessment</x:v>
      </x:c>
    </x:row>
    <x:row r="35" ht="105" customHeight="1">
      <x:c r="A35" s="61" t="n">
        <x:v>344</x:v>
      </x:c>
      <x:c r="B35" s="61" t="str">
        <x:v>Namechk</x:v>
      </x:c>
      <x:c r="C35" s="61" t="str">
        <x:v>C</x:v>
      </x:c>
      <x:c r="D35" s="61" t="str">
        <x:v>Documented</x:v>
      </x:c>
      <x:c r="E35" s="61" t="str">
        <x:v>USERNAME</x:v>
      </x:c>
      <x:c r="F35" s="61" t="str">
        <x:v>Username/domain availability</x:v>
      </x:c>
      <x:c r="G35" s="61" t="str">
        <x:v>Availability checker, not evidence of a person's ownership. An unavailable handle can be reserved, blocked, or owned by somebody else.</x:v>
      </x:c>
      <x:c r="H35" s="61" t="str">
        <x:v>Corroborate before attribution</x:v>
      </x:c>
      <x:c r="I35" s="61" t="str">
        <x:v>Content readable; lookup not tested</x:v>
      </x:c>
      <x:c r="J35" s="61" t="str">
        <x:v>Provider landing page</x:v>
      </x:c>
      <x:c r="K35" s="61" t="str">
        <x:v>S016</x:v>
      </x:c>
      <x:c r="L35" s="70" t="str">
        <x:v>https://namechk.com/</x:v>
      </x:c>
      <x:c r="M35" s="70" t="str">
        <x:v>https://namechk.com/</x:v>
      </x:c>
      <x:c r="N35" s="61" t="str">
        <x:v>268392550</x:v>
      </x:c>
      <x:c r="O35" s="61" t="n">
        <x:v>1005</x:v>
      </x:c>
      <x:c r="P35" s="61" t="n">
        <x:v>13</x:v>
      </x:c>
      <x:c r="Q35" s="61" t="str">
        <x:v>2026-09-15</x:v>
      </x:c>
      <x:c r="R35" s="61" t="n">
        <x:v>1</x:v>
      </x:c>
      <x:c r="S35" s="61" t="str">
        <x:v>Contacts / records</x:v>
      </x:c>
      <x:c r="T35" s="61" t="str">
        <x:v>Scoped desk assessment</x:v>
      </x:c>
    </x:row>
    <x:row r="36" ht="105" customHeight="1">
      <x:c r="A36" s="61" t="n">
        <x:v>345</x:v>
      </x:c>
      <x:c r="B36" s="61" t="str">
        <x:v>Lullar Com</x:v>
      </x:c>
      <x:c r="C36" s="61" t="str">
        <x:v>C</x:v>
      </x:c>
      <x:c r="D36" s="61" t="str">
        <x:v>Documented</x:v>
      </x:c>
      <x:c r="E36" s="61" t="str">
        <x:v>USERNAME</x:v>
      </x:c>
      <x:c r="F36" s="61" t="str">
        <x:v>Multi-platform profile discovery</x:v>
      </x:c>
      <x:c r="G36" s="61" t="str">
        <x:v>Search and referral interface. Provider marketing and privacy assurances were not independently tested; verify each underlying profile.</x:v>
      </x:c>
      <x:c r="H36" s="61" t="str">
        <x:v>Corroborate before attribution</x:v>
      </x:c>
      <x:c r="I36" s="61" t="str">
        <x:v>Content readable; lookup not tested</x:v>
      </x:c>
      <x:c r="J36" s="61" t="str">
        <x:v>Provider landing page</x:v>
      </x:c>
      <x:c r="K36" s="61" t="str">
        <x:v>S080</x:v>
      </x:c>
      <x:c r="L36" s="70" t="str">
        <x:v>https://com.lullar.com/</x:v>
      </x:c>
      <x:c r="M36" s="70" t="str">
        <x:v>https://com.lullar.com/</x:v>
      </x:c>
      <x:c r="N36" s="61" t="str">
        <x:v>268395987</x:v>
      </x:c>
      <x:c r="O36" s="61" t="n">
        <x:v>1005</x:v>
      </x:c>
      <x:c r="P36" s="61" t="n">
        <x:v>14</x:v>
      </x:c>
      <x:c r="Q36" s="61" t="str">
        <x:v>2026-09-15</x:v>
      </x:c>
      <x:c r="R36" s="61" t="n">
        <x:v>1</x:v>
      </x:c>
      <x:c r="S36" s="61" t="str">
        <x:v>Contacts / records</x:v>
      </x:c>
      <x:c r="T36" s="61" t="str">
        <x:v>Scoped desk assessment</x:v>
      </x:c>
    </x:row>
    <x:row r="37" ht="105" customHeight="1">
      <x:c r="A37" s="61" t="n">
        <x:v>346</x:v>
      </x:c>
      <x:c r="B37" s="61" t="str">
        <x:v>SearchPOF.com</x:v>
      </x:c>
      <x:c r="C37" s="61" t="str">
        <x:v>C</x:v>
      </x:c>
      <x:c r="D37" s="61" t="str">
        <x:v>Documented</x:v>
      </x:c>
      <x:c r="E37" s="61" t="str">
        <x:v>USERNAME</x:v>
      </x:c>
      <x:c r="F37" s="61" t="str">
        <x:v>POF username discovery</x:v>
      </x:c>
      <x:c r="G37" s="61" t="str">
        <x:v>A search interface for possible dating profiles. A name/handle hit does not establish identity, present membership or behavior.</x:v>
      </x:c>
      <x:c r="H37" s="61" t="str">
        <x:v>Corroborate before attribution</x:v>
      </x:c>
      <x:c r="I37" s="61" t="str">
        <x:v>Content readable; lookup not tested</x:v>
      </x:c>
      <x:c r="J37" s="61" t="str">
        <x:v>Provider landing page</x:v>
      </x:c>
      <x:c r="K37" s="61" t="str">
        <x:v>S081</x:v>
      </x:c>
      <x:c r="L37" s="70" t="str">
        <x:v>https://searchpof.com/</x:v>
      </x:c>
      <x:c r="M37" s="70" t="str">
        <x:v>https://searchpof.com/</x:v>
      </x:c>
      <x:c r="N37" s="61" t="str">
        <x:v>268409467</x:v>
      </x:c>
      <x:c r="O37" s="61" t="n">
        <x:v>1005</x:v>
      </x:c>
      <x:c r="P37" s="61" t="n">
        <x:v>15</x:v>
      </x:c>
      <x:c r="Q37" s="61" t="str">
        <x:v>2026-09-15</x:v>
      </x:c>
      <x:c r="R37" s="61" t="n">
        <x:v>1</x:v>
      </x:c>
      <x:c r="S37" s="61" t="str">
        <x:v>Contacts / records</x:v>
      </x:c>
      <x:c r="T37" s="61" t="str">
        <x:v>Scoped desk assessment</x:v>
      </x:c>
    </x:row>
    <x:row r="38" ht="105" customHeight="1">
      <x:c r="A38" s="61" t="n">
        <x:v>347</x:v>
      </x:c>
      <x:c r="B38" s="61" t="str">
        <x:v>OSINT Toolkit</x:v>
      </x:c>
      <x:c r="C38" s="61" t="str">
        <x:v>C</x:v>
      </x:c>
      <x:c r="D38" s="61" t="str">
        <x:v>Documented</x:v>
      </x:c>
      <x:c r="E38" s="61" t="str">
        <x:v>USERNAME</x:v>
      </x:c>
      <x:c r="F38" s="61" t="str">
        <x:v>Username search shortcuts</x:v>
      </x:c>
      <x:c r="G38" s="61" t="str">
        <x:v>The tool itself warns that results are approximate and that a negative result does not establish non-use.</x:v>
      </x:c>
      <x:c r="H38" s="61" t="str">
        <x:v>Corroborate before attribution</x:v>
      </x:c>
      <x:c r="I38" s="61" t="str">
        <x:v>Content readable; lookup not tested</x:v>
      </x:c>
      <x:c r="J38" s="61" t="str">
        <x:v>Provider documentation</x:v>
      </x:c>
      <x:c r="K38" s="61" t="str">
        <x:v>S018</x:v>
      </x:c>
      <x:c r="L38" s="70" t="str">
        <x:v>https://one-plus.github.io/EmailUsername</x:v>
      </x:c>
      <x:c r="M38" s="70" t="str">
        <x:v>https://one-plus.github.io/EmailUsername</x:v>
      </x:c>
      <x:c r="N38" s="61" t="str">
        <x:v>286013229</x:v>
      </x:c>
      <x:c r="O38" s="61" t="n">
        <x:v>1005</x:v>
      </x:c>
      <x:c r="P38" s="61" t="n">
        <x:v>16</x:v>
      </x:c>
      <x:c r="Q38" s="61" t="str">
        <x:v>2026-09-15</x:v>
      </x:c>
      <x:c r="R38" s="61" t="n">
        <x:v>1</x:v>
      </x:c>
      <x:c r="S38" s="61" t="str">
        <x:v>Contacts / records</x:v>
      </x:c>
      <x:c r="T38" s="61" t="str">
        <x:v>Scoped desk assessment</x:v>
      </x:c>
    </x:row>
    <x:row r="39" ht="105" customHeight="1">
      <x:c r="A39" s="61" t="n">
        <x:v>348</x:v>
      </x:c>
      <x:c r="B39" s="61" t="str">
        <x:v>Username search tool</x:v>
      </x:c>
      <x:c r="C39" s="61" t="str">
        <x:v>C</x:v>
      </x:c>
      <x:c r="D39" s="61" t="str">
        <x:v>Documented</x:v>
      </x:c>
      <x:c r="E39" s="61" t="str">
        <x:v>USERNAME</x:v>
      </x:c>
      <x:c r="F39" s="61" t="str">
        <x:v>Username query builder</x:v>
      </x:c>
      <x:c r="G39" s="61" t="str">
        <x:v>Creates external searches rather than independently authenticating account ownership.</x:v>
      </x:c>
      <x:c r="H39" s="61" t="str">
        <x:v>Corroborate before attribution</x:v>
      </x:c>
      <x:c r="I39" s="61" t="str">
        <x:v>Content readable; lookup not tested</x:v>
      </x:c>
      <x:c r="J39" s="61" t="str">
        <x:v>Provider documentation</x:v>
      </x:c>
      <x:c r="K39" s="61" t="str">
        <x:v>S017</x:v>
      </x:c>
      <x:c r="L39" s="70" t="str">
        <x:v>https://www.aware-online.com/en/osint-tools/username-search-tool/</x:v>
      </x:c>
      <x:c r="M39" s="70" t="str">
        <x:v>https://www.aware-online.com/en/osint-tools/username-search-tool/</x:v>
      </x:c>
      <x:c r="N39" s="61" t="str">
        <x:v>268503234</x:v>
      </x:c>
      <x:c r="O39" s="61" t="n">
        <x:v>1008</x:v>
      </x:c>
      <x:c r="P39" s="61" t="n">
        <x:v>17</x:v>
      </x:c>
      <x:c r="Q39" s="61" t="str">
        <x:v>2026-09-15</x:v>
      </x:c>
      <x:c r="R39" s="61" t="n">
        <x:v>1</x:v>
      </x:c>
      <x:c r="S39" s="61" t="str">
        <x:v>Contacts / records</x:v>
      </x:c>
      <x:c r="T39" s="61" t="str">
        <x:v>Scoped desk assessment</x:v>
      </x:c>
    </x:row>
    <x:row r="40" ht="105" customHeight="1">
      <x:c r="A40" s="61" t="n">
        <x:v>349</x:v>
      </x:c>
      <x:c r="B40" s="61" t="str">
        <x:v>snoop</x:v>
      </x:c>
      <x:c r="C40" s="61" t="str">
        <x:v>C</x:v>
      </x:c>
      <x:c r="D40" s="61" t="str">
        <x:v>Documented</x:v>
      </x:c>
      <x:c r="E40" s="61" t="str">
        <x:v>USERNAME</x:v>
      </x:c>
      <x:c r="F40" s="61" t="str">
        <x:v>Username search</x:v>
      </x:c>
      <x:c r="G40" s="61" t="str">
        <x:v>Public project describes username-based discovery. A match remains a lead; language/site coverage and detector behavior require checking.</x:v>
      </x:c>
      <x:c r="H40" s="61" t="str">
        <x:v>Corroborate before attribution</x:v>
      </x:c>
      <x:c r="I40" s="61" t="str">
        <x:v>Project readable; software not run</x:v>
      </x:c>
      <x:c r="J40" s="61" t="str">
        <x:v>Maintainer documentation</x:v>
      </x:c>
      <x:c r="K40" s="61" t="str">
        <x:v>S015</x:v>
      </x:c>
      <x:c r="L40" s="70" t="str">
        <x:v>https://github.com/snooppr/snoop</x:v>
      </x:c>
      <x:c r="M40" s="70" t="str">
        <x:v>https://github.com/snooppr/snoop</x:v>
      </x:c>
      <x:c r="N40" s="61" t="str">
        <x:v>289966163</x:v>
      </x:c>
      <x:c r="O40" s="61" t="n">
        <x:v>1008</x:v>
      </x:c>
      <x:c r="P40" s="61" t="n">
        <x:v>18</x:v>
      </x:c>
      <x:c r="Q40" s="61" t="str">
        <x:v>2026-09-15</x:v>
      </x:c>
      <x:c r="R40" s="61" t="n">
        <x:v>1</x:v>
      </x:c>
      <x:c r="S40" s="61" t="str">
        <x:v>Contacts / records</x:v>
      </x:c>
      <x:c r="T40" s="61" t="str">
        <x:v>Scoped desk assessment</x:v>
      </x:c>
    </x:row>
    <x:row r="41" ht="105" customHeight="1">
      <x:c r="A41" s="61" t="n">
        <x:v>350</x:v>
      </x:c>
      <x:c r="B41" s="61" t="str">
        <x:v>quidam</x:v>
      </x:c>
      <x:c r="C41" s="61" t="str">
        <x:v>C</x:v>
      </x:c>
      <x:c r="D41" s="61" t="str">
        <x:v>Documented</x:v>
      </x:c>
      <x:c r="E41" s="61" t="str">
        <x:v>USERNAME</x:v>
      </x:c>
      <x:c r="F41" s="61" t="str">
        <x:v>Social-profile lookup software</x:v>
      </x:c>
      <x:c r="G41" s="61" t="str">
        <x:v>Package documentation identifies a profile-discovery tool. No account matching, API compatibility or false-positive rate was tested.</x:v>
      </x:c>
      <x:c r="H41" s="61" t="str">
        <x:v>Corroborate before attribution</x:v>
      </x:c>
      <x:c r="I41" s="61" t="str">
        <x:v>Package page readable; software not run</x:v>
      </x:c>
      <x:c r="J41" s="61" t="str">
        <x:v>Maintainer package documentation</x:v>
      </x:c>
      <x:c r="K41" s="61" t="str">
        <x:v>S082</x:v>
      </x:c>
      <x:c r="L41" s="70" t="str">
        <x:v>https://pypi.org/project/quidam/</x:v>
      </x:c>
      <x:c r="M41" s="70" t="str">
        <x:v>https://pypi.org/project/quidam/</x:v>
      </x:c>
      <x:c r="N41" s="61" t="str">
        <x:v>309551499</x:v>
      </x:c>
      <x:c r="O41" s="61" t="n">
        <x:v>1008</x:v>
      </x:c>
      <x:c r="P41" s="61" t="n">
        <x:v>19</x:v>
      </x:c>
      <x:c r="Q41" s="61" t="str">
        <x:v>2026-09-15</x:v>
      </x:c>
      <x:c r="R41" s="61" t="n">
        <x:v>1</x:v>
      </x:c>
      <x:c r="S41" s="61" t="str">
        <x:v>Contacts / records</x:v>
      </x:c>
      <x:c r="T41" s="61" t="str">
        <x:v>Scoped desk assessment</x:v>
      </x:c>
    </x:row>
    <x:row r="42" ht="105" customHeight="1">
      <x:c r="A42" s="61" t="n">
        <x:v>352</x:v>
      </x:c>
      <x:c r="B42" s="61" t="str">
        <x:v>Epieos Email Lookup</x:v>
      </x:c>
      <x:c r="C42" s="61" t="str">
        <x:v>C</x:v>
      </x:c>
      <x:c r="D42" s="61" t="str">
        <x:v>Documented</x:v>
      </x:c>
      <x:c r="E42" s="61" t="str">
        <x:v>EMAIL</x:v>
      </x:c>
      <x:c r="F42" s="61" t="str">
        <x:v>Email/phone account-association leads</x:v>
      </x:c>
      <x:c r="G42" s="61" t="str">
        <x:v>Real-time and no-false-positive statements are vendor claims; this review did not benchmark them or validate identity attribution.</x:v>
      </x:c>
      <x:c r="H42" s="61" t="str">
        <x:v>Corroborate before attribution</x:v>
      </x:c>
      <x:c r="I42" s="61" t="str">
        <x:v>Content readable; lookup not tested</x:v>
      </x:c>
      <x:c r="J42" s="61" t="str">
        <x:v>Provider landing page</x:v>
      </x:c>
      <x:c r="K42" s="61" t="str">
        <x:v>S020</x:v>
      </x:c>
      <x:c r="L42" s="70" t="str">
        <x:v>https://epieos.com/</x:v>
      </x:c>
      <x:c r="M42" s="70" t="str">
        <x:v>https://epieos.com/</x:v>
      </x:c>
      <x:c r="N42" s="61" t="str">
        <x:v>302156235</x:v>
      </x:c>
      <x:c r="O42" s="61" t="n">
        <x:v>1009</x:v>
      </x:c>
      <x:c r="P42" s="61" t="n">
        <x:v>2</x:v>
      </x:c>
      <x:c r="Q42" s="61" t="str">
        <x:v>2026-09-15</x:v>
      </x:c>
      <x:c r="R42" s="61" t="n">
        <x:v>1</x:v>
      </x:c>
      <x:c r="S42" s="61" t="str">
        <x:v>Contacts / records</x:v>
      </x:c>
      <x:c r="T42" s="61" t="str">
        <x:v>Scoped desk assessment</x:v>
      </x:c>
    </x:row>
    <x:row r="43" ht="105" customHeight="1">
      <x:c r="A43" s="61" t="n">
        <x:v>353</x:v>
      </x:c>
      <x:c r="B43" s="61" t="str">
        <x:v>Intelligence X</x:v>
      </x:c>
      <x:c r="C43" s="61" t="str">
        <x:v>C</x:v>
      </x:c>
      <x:c r="D43" s="61" t="str">
        <x:v>Documented</x:v>
      </x:c>
      <x:c r="E43" s="61" t="str">
        <x:v>EMAIL</x:v>
      </x:c>
      <x:c r="F43" s="61" t="str">
        <x:v>Third-party search launcher</x:v>
      </x:c>
      <x:c r="G43" s="61" t="str">
        <x:v>Routes searches to other services and disclaims their results. Multiple routed results are not automatically independent evidence.</x:v>
      </x:c>
      <x:c r="H43" s="61" t="str">
        <x:v>Corroborate before attribution</x:v>
      </x:c>
      <x:c r="I43" s="61" t="str">
        <x:v>Content readable; lookup not tested</x:v>
      </x:c>
      <x:c r="J43" s="61" t="str">
        <x:v>Provider documentation</x:v>
      </x:c>
      <x:c r="K43" s="61" t="str">
        <x:v>S003</x:v>
      </x:c>
      <x:c r="L43" s="70" t="str">
        <x:v>https://intelx.io/tools</x:v>
      </x:c>
      <x:c r="M43" s="70" t="str">
        <x:v>https://intelx.io/tools?tab=email</x:v>
      </x:c>
      <x:c r="N43" s="61" t="str">
        <x:v>311645301</x:v>
      </x:c>
      <x:c r="O43" s="61" t="n">
        <x:v>1009</x:v>
      </x:c>
      <x:c r="P43" s="61" t="n">
        <x:v>3</x:v>
      </x:c>
      <x:c r="Q43" s="61" t="str">
        <x:v>2026-09-15</x:v>
      </x:c>
      <x:c r="R43" s="61" t="n">
        <x:v>1</x:v>
      </x:c>
      <x:c r="S43" s="61" t="str">
        <x:v>Contacts / records</x:v>
      </x:c>
      <x:c r="T43" s="61" t="str">
        <x:v>Scoped desk assessment</x:v>
      </x:c>
    </x:row>
    <x:row r="44" ht="105" customHeight="1">
      <x:c r="A44" s="61" t="n">
        <x:v>354</x:v>
      </x:c>
      <x:c r="B44" s="61" t="str">
        <x:v>holehe</x:v>
      </x:c>
      <x:c r="C44" s="61" t="str">
        <x:v>C</x:v>
      </x:c>
      <x:c r="D44" s="61" t="str">
        <x:v>Documented</x:v>
      </x:c>
      <x:c r="E44" s="61" t="str">
        <x:v>EMAIL</x:v>
      </x:c>
      <x:c r="F44" s="61" t="str">
        <x:v>Account-enumeration leads</x:v>
      </x:c>
      <x:c r="G44" s="61" t="str">
        <x:v>The linked PyPI page lists a July 2022 release. Check current upstream modules; an old package date alone does not prove the repository is abandoned.</x:v>
      </x:c>
      <x:c r="H44" s="61" t="str">
        <x:v>Corroborate before attribution</x:v>
      </x:c>
      <x:c r="I44" s="61" t="str">
        <x:v>Package page readable; software not run</x:v>
      </x:c>
      <x:c r="J44" s="61" t="str">
        <x:v>Package metadata</x:v>
      </x:c>
      <x:c r="K44" s="61" t="str">
        <x:v>S021</x:v>
      </x:c>
      <x:c r="L44" s="70" t="str">
        <x:v>https://pypi.org/project/holehe/</x:v>
      </x:c>
      <x:c r="M44" s="70" t="str">
        <x:v>https://pypi.org/project/holehe/</x:v>
      </x:c>
      <x:c r="N44" s="61" t="str">
        <x:v>268401609</x:v>
      </x:c>
      <x:c r="O44" s="61" t="n">
        <x:v>1009</x:v>
      </x:c>
      <x:c r="P44" s="61" t="n">
        <x:v>4</x:v>
      </x:c>
      <x:c r="Q44" s="61" t="str">
        <x:v>2026-09-15</x:v>
      </x:c>
      <x:c r="R44" s="61" t="n">
        <x:v>1</x:v>
      </x:c>
      <x:c r="S44" s="61" t="str">
        <x:v>Contacts / records</x:v>
      </x:c>
      <x:c r="T44" s="61" t="str">
        <x:v>Scoped desk assessment</x:v>
      </x:c>
    </x:row>
    <x:row r="45" ht="105" customHeight="1">
      <x:c r="A45" s="61" t="n">
        <x:v>357</x:v>
      </x:c>
      <x:c r="B45" s="61" t="str">
        <x:v>Trumail</x:v>
      </x:c>
      <x:c r="C45" s="61" t="str">
        <x:v>B</x:v>
      </x:c>
      <x:c r="D45" s="61" t="str">
        <x:v>Documented</x:v>
      </x:c>
      <x:c r="E45" s="61" t="str">
        <x:v>EMAIL</x:v>
      </x:c>
      <x:c r="F45" s="61" t="str">
        <x:v>Email validation API, not identity</x:v>
      </x:c>
      <x:c r="G45" s="61" t="str">
        <x:v>Trumail's saved URL redirects to Emailable's API product. Validation concerns email deliverability, not the identity of the mailbox controller.</x:v>
      </x:c>
      <x:c r="H45" s="61" t="str">
        <x:v>Update bookmark name; do not count as independent of Emailable</x:v>
      </x:c>
      <x:c r="I45" s="61" t="str">
        <x:v>Redirect to Emailable API; no validation run</x:v>
      </x:c>
      <x:c r="J45" s="61" t="str">
        <x:v>Observed redirect and provider documentation</x:v>
      </x:c>
      <x:c r="K45" s="61" t="str">
        <x:v>S083</x:v>
      </x:c>
      <x:c r="L45" s="70" t="str">
        <x:v>https://emailable.com/api/?redirect_source=trumail</x:v>
      </x:c>
      <x:c r="M45" s="70" t="str">
        <x:v>https://trumail.io/</x:v>
      </x:c>
      <x:c r="N45" s="61" t="str">
        <x:v>297339970</x:v>
      </x:c>
      <x:c r="O45" s="61" t="n">
        <x:v>1010</x:v>
      </x:c>
      <x:c r="P45" s="61" t="n">
        <x:v>7</x:v>
      </x:c>
      <x:c r="Q45" s="61" t="str">
        <x:v>2026-09-15</x:v>
      </x:c>
      <x:c r="R45" s="61" t="n">
        <x:v>1</x:v>
      </x:c>
      <x:c r="S45" s="61" t="str">
        <x:v>Contacts / records</x:v>
      </x:c>
      <x:c r="T45" s="61" t="str">
        <x:v>Scoped desk assessment</x:v>
      </x:c>
    </x:row>
    <x:row r="46" ht="105" customHeight="1">
      <x:c r="A46" s="61" t="n">
        <x:v>358</x:v>
      </x:c>
      <x:c r="B46" s="61" t="str">
        <x:v>Email Verifier</x:v>
      </x:c>
      <x:c r="C46" s="61" t="str">
        <x:v>B</x:v>
      </x:c>
      <x:c r="D46" s="61" t="str">
        <x:v>Documented</x:v>
      </x:c>
      <x:c r="E46" s="61" t="str">
        <x:v>EMAIL</x:v>
      </x:c>
      <x:c r="F46" s="61" t="str">
        <x:v>Email deliverability only</x:v>
      </x:c>
      <x:c r="G46" s="61" t="str">
        <x:v>Documents syntax, MX and SMTP checks plus catch-all handling. Deliverability is not mailbox ownership, employment, or identity confirmation.</x:v>
      </x:c>
      <x:c r="H46" s="61" t="str">
        <x:v>Corroborate before attribution</x:v>
      </x:c>
      <x:c r="I46" s="61" t="str">
        <x:v>Content readable; lookup not tested</x:v>
      </x:c>
      <x:c r="J46" s="61" t="str">
        <x:v>Provider documentation</x:v>
      </x:c>
      <x:c r="K46" s="61" t="str">
        <x:v>S019</x:v>
      </x:c>
      <x:c r="L46" s="70" t="str">
        <x:v>https://hunter.io/email-verifier</x:v>
      </x:c>
      <x:c r="M46" s="70" t="str">
        <x:v>https://hunter.io/email-verifier</x:v>
      </x:c>
      <x:c r="N46" s="61" t="str">
        <x:v>268397039</x:v>
      </x:c>
      <x:c r="O46" s="61" t="n">
        <x:v>1010</x:v>
      </x:c>
      <x:c r="P46" s="61" t="n">
        <x:v>8</x:v>
      </x:c>
      <x:c r="Q46" s="61" t="str">
        <x:v>2026-09-15</x:v>
      </x:c>
      <x:c r="R46" s="61" t="n">
        <x:v>1</x:v>
      </x:c>
      <x:c r="S46" s="61" t="str">
        <x:v>Contacts / records</x:v>
      </x:c>
      <x:c r="T46" s="61" t="str">
        <x:v>Scoped desk assessment</x:v>
      </x:c>
    </x:row>
    <x:row r="47" ht="105" customHeight="1">
      <x:c r="A47" s="61" t="n">
        <x:v>359</x:v>
      </x:c>
      <x:c r="B47" s="61" t="str">
        <x:v>Verify Email</x:v>
      </x:c>
      <x:c r="C47" s="61" t="str">
        <x:v>B</x:v>
      </x:c>
      <x:c r="D47" s="61" t="str">
        <x:v>Documented</x:v>
      </x:c>
      <x:c r="E47" s="61" t="str">
        <x:v>EMAIL</x:v>
      </x:c>
      <x:c r="F47" s="61" t="str">
        <x:v>Email deliverability, not identity</x:v>
      </x:c>
      <x:c r="G47" s="61" t="str">
        <x:v>Verify-email's saved URL redirects to Emailable. This and Trumail are not independent validation providers at their observed destinations.</x:v>
      </x:c>
      <x:c r="H47" s="61" t="str">
        <x:v>Update bookmark name; do not count as independent of Trumail</x:v>
      </x:c>
      <x:c r="I47" s="61" t="str">
        <x:v>Redirect to Emailable; no validation run</x:v>
      </x:c>
      <x:c r="J47" s="61" t="str">
        <x:v>Observed redirect and provider documentation</x:v>
      </x:c>
      <x:c r="K47" s="61" t="str">
        <x:v>S084</x:v>
      </x:c>
      <x:c r="L47" s="70" t="str">
        <x:v>https://emailable.com/?redirect_source=verify-email</x:v>
      </x:c>
      <x:c r="M47" s="70" t="str">
        <x:v>https://verify-email.org/</x:v>
      </x:c>
      <x:c r="N47" s="61" t="str">
        <x:v>297340636</x:v>
      </x:c>
      <x:c r="O47" s="61" t="n">
        <x:v>1010</x:v>
      </x:c>
      <x:c r="P47" s="61" t="n">
        <x:v>9</x:v>
      </x:c>
      <x:c r="Q47" s="61" t="str">
        <x:v>2026-09-15</x:v>
      </x:c>
      <x:c r="R47" s="61" t="n">
        <x:v>1</x:v>
      </x:c>
      <x:c r="S47" s="61" t="str">
        <x:v>Contacts / records</x:v>
      </x:c>
      <x:c r="T47" s="61" t="str">
        <x:v>Scoped desk assessment</x:v>
      </x:c>
    </x:row>
    <x:row r="48" ht="105" customHeight="1">
      <x:c r="A48" s="61" t="n">
        <x:v>360</x:v>
      </x:c>
      <x:c r="B48" s="61" t="str">
        <x:v>Reverse Whois</x:v>
      </x:c>
      <x:c r="C48" s="61" t="str">
        <x:v>C</x:v>
      </x:c>
      <x:c r="D48" s="61" t="str">
        <x:v>Documented</x:v>
      </x:c>
      <x:c r="E48" s="61" t="str">
        <x:v>EMAIL</x:v>
      </x:c>
      <x:c r="F48" s="61" t="str">
        <x:v>Email-to-domain registration leads</x:v>
      </x:c>
      <x:c r="G48" s="61" t="str">
        <x:v>Reverse-WHOIS search can suggest a registration connection. Verify the dated original record; registrant fields are not proof of present personal control.</x:v>
      </x:c>
      <x:c r="H48" s="61" t="str">
        <x:v>Corroborate before attribution</x:v>
      </x:c>
      <x:c r="I48" s="61" t="str">
        <x:v>Content readable; lookup not tested</x:v>
      </x:c>
      <x:c r="J48" s="61" t="str">
        <x:v>Provider landing page</x:v>
      </x:c>
      <x:c r="K48" s="61" t="str">
        <x:v>S076</x:v>
      </x:c>
      <x:c r="L48" s="70" t="str">
        <x:v>https://osint.sh/reversewhois/</x:v>
      </x:c>
      <x:c r="M48" s="70" t="str">
        <x:v>https://osint.sh/reversewhois/</x:v>
      </x:c>
      <x:c r="N48" s="61" t="str">
        <x:v>286695003</x:v>
      </x:c>
      <x:c r="O48" s="61" t="n">
        <x:v>1010</x:v>
      </x:c>
      <x:c r="P48" s="61" t="n">
        <x:v>10</x:v>
      </x:c>
      <x:c r="Q48" s="61" t="str">
        <x:v>2026-09-15</x:v>
      </x:c>
      <x:c r="R48" s="61" t="n">
        <x:v>1</x:v>
      </x:c>
      <x:c r="S48" s="61" t="str">
        <x:v>Contacts / records</x:v>
      </x:c>
      <x:c r="T48" s="61" t="str">
        <x:v>Scoped desk assessment</x:v>
      </x:c>
    </x:row>
    <x:row r="49" ht="105" customHeight="1">
      <x:c r="A49" s="61" t="n">
        <x:v>361</x:v>
      </x:c>
      <x:c r="B49" s="61" t="str">
        <x:v>Email Dossier</x:v>
      </x:c>
      <x:c r="C49" s="61" t="str">
        <x:v>B</x:v>
      </x:c>
      <x:c r="D49" s="61" t="str">
        <x:v>Documented</x:v>
      </x:c>
      <x:c r="E49" s="61" t="str">
        <x:v>EMAIL</x:v>
      </x:c>
      <x:c r="F49" s="61" t="str">
        <x:v>Email-domain / SMTP diagnostics</x:v>
      </x:c>
      <x:c r="G49" s="61" t="str">
        <x:v>Technical checks can support an address/domain observation. They do not authenticate a human sender or account owner.</x:v>
      </x:c>
      <x:c r="H49" s="61" t="str">
        <x:v>Corroborate before attribution</x:v>
      </x:c>
      <x:c r="I49" s="61" t="str">
        <x:v>Content readable; lookup not tested</x:v>
      </x:c>
      <x:c r="J49" s="61" t="str">
        <x:v>Provider documentation</x:v>
      </x:c>
      <x:c r="K49" s="61" t="str">
        <x:v>S022</x:v>
      </x:c>
      <x:c r="L49" s="70" t="str">
        <x:v>https://centralops.net/co/emaildossier.aspx</x:v>
      </x:c>
      <x:c r="M49" s="70" t="str">
        <x:v>https://centralops.net/co/emaildossier.aspx</x:v>
      </x:c>
      <x:c r="N49" s="61" t="str">
        <x:v>268397658</x:v>
      </x:c>
      <x:c r="O49" s="61" t="n">
        <x:v>1010</x:v>
      </x:c>
      <x:c r="P49" s="61" t="n">
        <x:v>11</x:v>
      </x:c>
      <x:c r="Q49" s="61" t="str">
        <x:v>2026-09-15</x:v>
      </x:c>
      <x:c r="R49" s="61" t="n">
        <x:v>1</x:v>
      </x:c>
      <x:c r="S49" s="61" t="str">
        <x:v>Contacts / records</x:v>
      </x:c>
      <x:c r="T49" s="61" t="str">
        <x:v>Scoped desk assessment</x:v>
      </x:c>
    </x:row>
    <x:row r="50" ht="105" customHeight="1">
      <x:c r="A50" s="61" t="n">
        <x:v>362</x:v>
      </x:c>
      <x:c r="B50" s="61" t="str">
        <x:v>Email Format</x:v>
      </x:c>
      <x:c r="C50" s="61" t="str">
        <x:v>C</x:v>
      </x:c>
      <x:c r="D50" s="61" t="str">
        <x:v>Documented</x:v>
      </x:c>
      <x:c r="E50" s="61" t="str">
        <x:v>EMAIL</x:v>
      </x:c>
      <x:c r="F50" s="61" t="str">
        <x:v>Organizational email-format leads</x:v>
      </x:c>
      <x:c r="G50" s="61" t="str">
        <x:v>Lists email address patterns for organizations. A guessed pattern does not establish that a particular mailbox exists.</x:v>
      </x:c>
      <x:c r="H50" s="61" t="str">
        <x:v>Corroborate before attribution</x:v>
      </x:c>
      <x:c r="I50" s="61" t="str">
        <x:v>Content readable; lookup not tested</x:v>
      </x:c>
      <x:c r="J50" s="61" t="str">
        <x:v>Provider landing page</x:v>
      </x:c>
      <x:c r="K50" s="61" t="str">
        <x:v>S024</x:v>
      </x:c>
      <x:c r="L50" s="70" t="str">
        <x:v>https://www.email-format.com/</x:v>
      </x:c>
      <x:c r="M50" s="70" t="str">
        <x:v>https://www.email-format.com/</x:v>
      </x:c>
      <x:c r="N50" s="61" t="str">
        <x:v>297339964</x:v>
      </x:c>
      <x:c r="O50" s="61" t="n">
        <x:v>1010</x:v>
      </x:c>
      <x:c r="P50" s="61" t="n">
        <x:v>12</x:v>
      </x:c>
      <x:c r="Q50" s="61" t="str">
        <x:v>2026-09-15</x:v>
      </x:c>
      <x:c r="R50" s="61" t="n">
        <x:v>1</x:v>
      </x:c>
      <x:c r="S50" s="61" t="str">
        <x:v>Contacts / records</x:v>
      </x:c>
      <x:c r="T50" s="61" t="str">
        <x:v>Scoped desk assessment</x:v>
      </x:c>
    </x:row>
    <x:row r="51" ht="105" customHeight="1">
      <x:c r="A51" s="61" t="n">
        <x:v>363</x:v>
      </x:c>
      <x:c r="B51" s="61" t="str">
        <x:v>Email Header Analyzer</x:v>
      </x:c>
      <x:c r="C51" s="61" t="str">
        <x:v>B</x:v>
      </x:c>
      <x:c r="D51" s="61" t="str">
        <x:v>Documented</x:v>
      </x:c>
      <x:c r="E51" s="61" t="str">
        <x:v>EMAIL</x:v>
      </x:c>
      <x:c r="F51" s="61" t="str">
        <x:v>Parsing supplied email headers</x:v>
      </x:c>
      <x:c r="G51" s="61" t="str">
        <x:v>Useful for interpreting header fields and routing. Preserve the original message; parsed headers alone are not proof of sender identity.</x:v>
      </x:c>
      <x:c r="H51" s="61" t="str">
        <x:v>Corroborate before attribution</x:v>
      </x:c>
      <x:c r="I51" s="61" t="str">
        <x:v>Content readable; lookup not tested</x:v>
      </x:c>
      <x:c r="J51" s="61" t="str">
        <x:v>Provider documentation</x:v>
      </x:c>
      <x:c r="K51" s="61" t="str">
        <x:v>S023</x:v>
      </x:c>
      <x:c r="L51" s="70" t="str">
        <x:v>https://mxtoolbox.com/EmailHeaders.aspx</x:v>
      </x:c>
      <x:c r="M51" s="70" t="str">
        <x:v>https://mxtoolbox.com/EmailHeaders.aspx</x:v>
      </x:c>
      <x:c r="N51" s="61" t="str">
        <x:v>268401242</x:v>
      </x:c>
      <x:c r="O51" s="61" t="n">
        <x:v>1010</x:v>
      </x:c>
      <x:c r="P51" s="61" t="n">
        <x:v>13</x:v>
      </x:c>
      <x:c r="Q51" s="61" t="str">
        <x:v>2026-09-15</x:v>
      </x:c>
      <x:c r="R51" s="61" t="n">
        <x:v>1</x:v>
      </x:c>
      <x:c r="S51" s="61" t="str">
        <x:v>Contacts / records</x:v>
      </x:c>
      <x:c r="T51" s="61" t="str">
        <x:v>Scoped desk assessment</x:v>
      </x:c>
    </x:row>
    <x:row r="52" ht="105" customHeight="1">
      <x:c r="A52" s="61" t="n">
        <x:v>364</x:v>
      </x:c>
      <x:c r="B52" s="61" t="str">
        <x:v>E-mail search tool</x:v>
      </x:c>
      <x:c r="C52" s="61" t="str">
        <x:v>C</x:v>
      </x:c>
      <x:c r="D52" s="61" t="str">
        <x:v>Documented</x:v>
      </x:c>
      <x:c r="E52" s="61" t="str">
        <x:v>EMAIL</x:v>
      </x:c>
      <x:c r="F52" s="61" t="str">
        <x:v>Email-search query launcher</x:v>
      </x:c>
      <x:c r="G52" s="61" t="str">
        <x:v>Builds searches of external services. The launcher is not independent evidence that a person controls an address.</x:v>
      </x:c>
      <x:c r="H52" s="61" t="str">
        <x:v>Corroborate before attribution</x:v>
      </x:c>
      <x:c r="I52" s="61" t="str">
        <x:v>Content readable; lookup not tested</x:v>
      </x:c>
      <x:c r="J52" s="61" t="str">
        <x:v>Provider documentation</x:v>
      </x:c>
      <x:c r="K52" s="61" t="str">
        <x:v>S085</x:v>
      </x:c>
      <x:c r="L52" s="70" t="str">
        <x:v>https://www.aware-online.com/en/osint-tools/email-search-tool/</x:v>
      </x:c>
      <x:c r="M52" s="70" t="str">
        <x:v>https://www.aware-online.com/osint-tools/e-mail-search-tool/</x:v>
      </x:c>
      <x:c r="N52" s="61" t="str">
        <x:v>268401240</x:v>
      </x:c>
      <x:c r="O52" s="61" t="n">
        <x:v>1010</x:v>
      </x:c>
      <x:c r="P52" s="61" t="n">
        <x:v>14</x:v>
      </x:c>
      <x:c r="Q52" s="61" t="str">
        <x:v>2026-09-15</x:v>
      </x:c>
      <x:c r="R52" s="61" t="n">
        <x:v>1</x:v>
      </x:c>
      <x:c r="S52" s="61" t="str">
        <x:v>Contacts / records</x:v>
      </x:c>
      <x:c r="T52" s="61" t="str">
        <x:v>Scoped desk assessment</x:v>
      </x:c>
    </x:row>
    <x:row r="53" ht="105" customHeight="1">
      <x:c r="A53" s="61" t="n">
        <x:v>365</x:v>
      </x:c>
      <x:c r="B53" s="61" t="str">
        <x:v>Proofy</x:v>
      </x:c>
      <x:c r="C53" s="61" t="str">
        <x:v>B</x:v>
      </x:c>
      <x:c r="D53" s="61" t="str">
        <x:v>Documented</x:v>
      </x:c>
      <x:c r="E53" s="61" t="str">
        <x:v>EMAIL</x:v>
      </x:c>
      <x:c r="F53" s="61" t="str">
        <x:v>Email deliverability only</x:v>
      </x:c>
      <x:c r="G53" s="61" t="str">
        <x:v>Verification service documentation supports a technical mailbox check, not the identity or affiliation of the human behind it.</x:v>
      </x:c>
      <x:c r="H53" s="61" t="str">
        <x:v>Corroborate before attribution</x:v>
      </x:c>
      <x:c r="I53" s="61" t="str">
        <x:v>Content readable; lookup not tested</x:v>
      </x:c>
      <x:c r="J53" s="61" t="str">
        <x:v>Provider landing page</x:v>
      </x:c>
      <x:c r="K53" s="61" t="str">
        <x:v>S025</x:v>
      </x:c>
      <x:c r="L53" s="70" t="str">
        <x:v>https://proofy.io/</x:v>
      </x:c>
      <x:c r="M53" s="70" t="str">
        <x:v>https://proofy.io/</x:v>
      </x:c>
      <x:c r="N53" s="61" t="str">
        <x:v>268403987</x:v>
      </x:c>
      <x:c r="O53" s="61" t="n">
        <x:v>1010</x:v>
      </x:c>
      <x:c r="P53" s="61" t="n">
        <x:v>15</x:v>
      </x:c>
      <x:c r="Q53" s="61" t="str">
        <x:v>2026-09-15</x:v>
      </x:c>
      <x:c r="R53" s="61" t="n">
        <x:v>1</x:v>
      </x:c>
      <x:c r="S53" s="61" t="str">
        <x:v>Contacts / records</x:v>
      </x:c>
      <x:c r="T53" s="61" t="str">
        <x:v>Scoped desk assessment</x:v>
      </x:c>
    </x:row>
    <x:row r="54" ht="105" customHeight="1">
      <x:c r="A54" s="61" t="n">
        <x:v>367</x:v>
      </x:c>
      <x:c r="B54" s="61" t="str">
        <x:v>Phonebook.cz</x:v>
      </x:c>
      <x:c r="C54" s="61" t="str">
        <x:v>C</x:v>
      </x:c>
      <x:c r="D54" s="61" t="str">
        <x:v>Documented</x:v>
      </x:c>
      <x:c r="E54" s="61" t="str">
        <x:v>EMAIL</x:v>
      </x:c>
      <x:c r="F54" s="61" t="str">
        <x:v>Domain-linked emails / URLs / subdomains</x:v>
      </x:c>
      <x:c r="G54" s="61" t="str">
        <x:v>Despite its title, Phonebook is a domain discovery tool from Intelligence X, not a verified telephone subscriber registry.</x:v>
      </x:c>
      <x:c r="H54" s="61" t="str">
        <x:v>Corroborate before attribution</x:v>
      </x:c>
      <x:c r="I54" s="61" t="str">
        <x:v>Content readable; lookup not tested</x:v>
      </x:c>
      <x:c r="J54" s="61" t="str">
        <x:v>Provider landing page</x:v>
      </x:c>
      <x:c r="K54" s="61" t="str">
        <x:v>S026</x:v>
      </x:c>
      <x:c r="L54" s="70" t="str">
        <x:v>https://phonebook.cz/</x:v>
      </x:c>
      <x:c r="M54" s="70" t="str">
        <x:v>https://phonebook.cz/</x:v>
      </x:c>
      <x:c r="N54" s="61" t="str">
        <x:v>268509558</x:v>
      </x:c>
      <x:c r="O54" s="61" t="n">
        <x:v>1010</x:v>
      </x:c>
      <x:c r="P54" s="61" t="n">
        <x:v>17</x:v>
      </x:c>
      <x:c r="Q54" s="61" t="str">
        <x:v>2026-09-15</x:v>
      </x:c>
      <x:c r="R54" s="61" t="n">
        <x:v>1</x:v>
      </x:c>
      <x:c r="S54" s="61" t="str">
        <x:v>Contacts / records</x:v>
      </x:c>
      <x:c r="T54" s="61" t="str">
        <x:v>Scoped desk assessment</x:v>
      </x:c>
    </x:row>
    <x:row r="55" ht="105" customHeight="1">
      <x:c r="A55" s="61" t="n">
        <x:v>369</x:v>
      </x:c>
      <x:c r="B55" s="61" t="str">
        <x:v>Emailrep.io</x:v>
      </x:c>
      <x:c r="C55" s="61" t="str">
        <x:v>C</x:v>
      </x:c>
      <x:c r="D55" s="61" t="str">
        <x:v>Documented</x:v>
      </x:c>
      <x:c r="E55" s="61" t="str">
        <x:v>EMAIL</x:v>
      </x:c>
      <x:c r="F55" s="61" t="str">
        <x:v>Email reputation signal</x:v>
      </x:c>
      <x:c r="G55" s="61" t="str">
        <x:v>Reputation indicators combine observed history and signals; a risk label is not evidence that a person committed wrongdoing.</x:v>
      </x:c>
      <x:c r="H55" s="61" t="str">
        <x:v>Corroborate before attribution</x:v>
      </x:c>
      <x:c r="I55" s="61" t="str">
        <x:v>Content readable; lookup not tested</x:v>
      </x:c>
      <x:c r="J55" s="61" t="str">
        <x:v>Provider documentation</x:v>
      </x:c>
      <x:c r="K55" s="61" t="str">
        <x:v>S027</x:v>
      </x:c>
      <x:c r="L55" s="70" t="str">
        <x:v>https://emailrep.io/</x:v>
      </x:c>
      <x:c r="M55" s="70" t="str">
        <x:v>https://emailrep.io/</x:v>
      </x:c>
      <x:c r="N55" s="61" t="str">
        <x:v>268509565</x:v>
      </x:c>
      <x:c r="O55" s="61" t="n">
        <x:v>1010</x:v>
      </x:c>
      <x:c r="P55" s="61" t="n">
        <x:v>19</x:v>
      </x:c>
      <x:c r="Q55" s="61" t="str">
        <x:v>2026-09-15</x:v>
      </x:c>
      <x:c r="R55" s="61" t="n">
        <x:v>1</x:v>
      </x:c>
      <x:c r="S55" s="61" t="str">
        <x:v>Contacts / records</x:v>
      </x:c>
      <x:c r="T55" s="61" t="str">
        <x:v>Scoped desk assessment</x:v>
      </x:c>
    </x:row>
    <x:row r="56" ht="105" customHeight="1">
      <x:c r="A56" s="61" t="n">
        <x:v>375</x:v>
      </x:c>
      <x:c r="B56" s="61" t="str">
        <x:v>Anymailfinder.com</x:v>
      </x:c>
      <x:c r="C56" s="61" t="str">
        <x:v>C</x:v>
      </x:c>
      <x:c r="D56" s="61" t="str">
        <x:v>Documented</x:v>
      </x:c>
      <x:c r="E56" s="61" t="str">
        <x:v>EMAIL</x:v>
      </x:c>
      <x:c r="F56" s="61" t="str">
        <x:v>B2B email discovery</x:v>
      </x:c>
      <x:c r="G56" s="61" t="str">
        <x:v>Vendor advertises live verification. A deliverable suggested address still needs independent confirmation of person and current role.</x:v>
      </x:c>
      <x:c r="H56" s="61" t="str">
        <x:v>Corroborate before attribution</x:v>
      </x:c>
      <x:c r="I56" s="61" t="str">
        <x:v>Content readable; lookup not tested</x:v>
      </x:c>
      <x:c r="J56" s="61" t="str">
        <x:v>Provider landing page</x:v>
      </x:c>
      <x:c r="K56" s="61" t="str">
        <x:v>S028</x:v>
      </x:c>
      <x:c r="L56" s="70" t="str">
        <x:v>https://anymailfinder.com/</x:v>
      </x:c>
      <x:c r="M56" s="70" t="str">
        <x:v>https://anymailfinder.com/</x:v>
      </x:c>
      <x:c r="N56" s="61" t="str">
        <x:v>305289074</x:v>
      </x:c>
      <x:c r="O56" s="61" t="n">
        <x:v>1011</x:v>
      </x:c>
      <x:c r="P56" s="61" t="n">
        <x:v>25</x:v>
      </x:c>
      <x:c r="Q56" s="61" t="str">
        <x:v>2026-09-15</x:v>
      </x:c>
      <x:c r="R56" s="61" t="n">
        <x:v>1</x:v>
      </x:c>
      <x:c r="S56" s="61" t="str">
        <x:v>Contacts / records</x:v>
      </x:c>
      <x:c r="T56" s="61" t="str">
        <x:v>Scoped desk assessment</x:v>
      </x:c>
    </x:row>
    <x:row r="57" ht="105" customHeight="1">
      <x:c r="A57" s="61" t="n">
        <x:v>379</x:v>
      </x:c>
      <x:c r="B57" s="61" t="str">
        <x:v>Reverse Phone Lookup</x:v>
      </x:c>
      <x:c r="C57" s="61" t="str">
        <x:v>C</x:v>
      </x:c>
      <x:c r="D57" s="61" t="str">
        <x:v>Documented</x:v>
      </x:c>
      <x:c r="E57" s="61" t="str">
        <x:v>PHONE</x:v>
      </x:c>
      <x:c r="F57" s="61" t="str">
        <x:v>Public profile and contact discovery</x:v>
      </x:c>
      <x:c r="G57" s="61" t="str">
        <x:v>Aggregates profiles and public-record leads. Marketing claims were not independently validated; resolve identity at the original page.</x:v>
      </x:c>
      <x:c r="H57" s="61" t="str">
        <x:v>Corroborate before attribution</x:v>
      </x:c>
      <x:c r="I57" s="61" t="str">
        <x:v>Content readable; lookup not tested</x:v>
      </x:c>
      <x:c r="J57" s="61" t="str">
        <x:v>Provider landing page</x:v>
      </x:c>
      <x:c r="K57" s="61" t="str">
        <x:v>S001</x:v>
      </x:c>
      <x:c r="L57" s="70" t="str">
        <x:v>https://www.idcrawl.com/</x:v>
      </x:c>
      <x:c r="M57" s="70" t="str">
        <x:v>https://www.idcrawl.com/phone</x:v>
      </x:c>
      <x:c r="N57" s="61" t="str">
        <x:v>291767477</x:v>
      </x:c>
      <x:c r="O57" s="61" t="n">
        <x:v>1012</x:v>
      </x:c>
      <x:c r="P57" s="61" t="n">
        <x:v>3</x:v>
      </x:c>
      <x:c r="Q57" s="61" t="str">
        <x:v>2026-09-15</x:v>
      </x:c>
      <x:c r="R57" s="61" t="n">
        <x:v>1</x:v>
      </x:c>
      <x:c r="S57" s="61" t="str">
        <x:v>Contacts / records</x:v>
      </x:c>
      <x:c r="T57" s="61" t="str">
        <x:v>Scoped desk assessment</x:v>
      </x:c>
    </x:row>
    <x:row r="58" ht="105" customHeight="1">
      <x:c r="A58" s="61" t="n">
        <x:v>381</x:v>
      </x:c>
      <x:c r="B58" s="61" t="str">
        <x:v>PhoneInfoga</x:v>
      </x:c>
      <x:c r="C58" s="61" t="str">
        <x:v>C</x:v>
      </x:c>
      <x:c r="D58" s="61" t="str">
        <x:v>Documented</x:v>
      </x:c>
      <x:c r="E58" s="61" t="str">
        <x:v>PHONE</x:v>
      </x:c>
      <x:c r="F58" s="61" t="str">
        <x:v>Phone metadata and footprint leads</x:v>
      </x:c>
      <x:c r="G58" s="61" t="str">
        <x:v>Maintainer explicitly disclaims verified results, real-time tracking and precise phone location.</x:v>
      </x:c>
      <x:c r="H58" s="61" t="str">
        <x:v>Corroborate before attribution</x:v>
      </x:c>
      <x:c r="I58" s="61" t="str">
        <x:v>Documentation reviewed; software not run</x:v>
      </x:c>
      <x:c r="J58" s="61" t="str">
        <x:v>Maintainer documentation</x:v>
      </x:c>
      <x:c r="K58" s="61" t="str">
        <x:v>S030</x:v>
      </x:c>
      <x:c r="L58" s="70" t="str">
        <x:v>https://sundowndev.github.io/phoneinfoga/</x:v>
      </x:c>
      <x:c r="M58" s="70" t="str">
        <x:v>https://github.com/sundowndev/PhoneInfoga</x:v>
      </x:c>
      <x:c r="N58" s="61" t="str">
        <x:v>309551439</x:v>
      </x:c>
      <x:c r="O58" s="61" t="n">
        <x:v>1012</x:v>
      </x:c>
      <x:c r="P58" s="61" t="n">
        <x:v>5</x:v>
      </x:c>
      <x:c r="Q58" s="61" t="str">
        <x:v>2026-09-15</x:v>
      </x:c>
      <x:c r="R58" s="61" t="n">
        <x:v>1</x:v>
      </x:c>
      <x:c r="S58" s="61" t="str">
        <x:v>Contacts / records</x:v>
      </x:c>
      <x:c r="T58" s="61" t="str">
        <x:v>Scoped desk assessment</x:v>
      </x:c>
    </x:row>
    <x:row r="59" ht="105" customHeight="1">
      <x:c r="A59" s="61" t="n">
        <x:v>387</x:v>
      </x:c>
      <x:c r="B59" s="61" t="str">
        <x:v>Phone number search Tool</x:v>
      </x:c>
      <x:c r="C59" s="61" t="str">
        <x:v>C</x:v>
      </x:c>
      <x:c r="D59" s="61" t="str">
        <x:v>Documented</x:v>
      </x:c>
      <x:c r="E59" s="61" t="str">
        <x:v>PHONE</x:v>
      </x:c>
      <x:c r="F59" s="61" t="str">
        <x:v>Phone-format search launcher</x:v>
      </x:c>
      <x:c r="G59" s="61" t="str">
        <x:v>Searches alternate telephone formats through external engines. A result must be checked at its source; the launcher does not verify subscriber identity.</x:v>
      </x:c>
      <x:c r="H59" s="61" t="str">
        <x:v>Corroborate before attribution</x:v>
      </x:c>
      <x:c r="I59" s="61" t="str">
        <x:v>Content readable; lookup not tested</x:v>
      </x:c>
      <x:c r="J59" s="61" t="str">
        <x:v>Provider documentation</x:v>
      </x:c>
      <x:c r="K59" s="61" t="str">
        <x:v>S087</x:v>
      </x:c>
      <x:c r="L59" s="70" t="str">
        <x:v>https://www.aware-online.com/en/osint-tools/phone-number-search-tool/</x:v>
      </x:c>
      <x:c r="M59" s="70" t="str">
        <x:v>https://www.aware-online.com/en/osint-tools/phone-number-search-tool/</x:v>
      </x:c>
      <x:c r="N59" s="61" t="str">
        <x:v>268396340</x:v>
      </x:c>
      <x:c r="O59" s="61" t="n">
        <x:v>1013</x:v>
      </x:c>
      <x:c r="P59" s="61" t="n">
        <x:v>11</x:v>
      </x:c>
      <x:c r="Q59" s="61" t="str">
        <x:v>2026-09-15</x:v>
      </x:c>
      <x:c r="R59" s="61" t="n">
        <x:v>1</x:v>
      </x:c>
      <x:c r="S59" s="61" t="str">
        <x:v>Contacts / records</x:v>
      </x:c>
      <x:c r="T59" s="61" t="str">
        <x:v>Scoped desk assessment</x:v>
      </x:c>
    </x:row>
    <x:row r="60" ht="105" customHeight="1">
      <x:c r="A60" s="61" t="n">
        <x:v>388</x:v>
      </x:c>
      <x:c r="B60" s="61" t="str">
        <x:v>Validnumber.com</x:v>
      </x:c>
      <x:c r="C60" s="61" t="str">
        <x:v>C</x:v>
      </x:c>
      <x:c r="D60" s="61" t="str">
        <x:v>Documented</x:v>
      </x:c>
      <x:c r="E60" s="61" t="str">
        <x:v>PHONE</x:v>
      </x:c>
      <x:c r="F60" s="61" t="str">
        <x:v>Reverse lookup / community reports</x:v>
      </x:c>
      <x:c r="G60" s="61" t="str">
        <x:v>Offers reverse lookup and user-submitted reports; neither is an original subscriber or court record.</x:v>
      </x:c>
      <x:c r="H60" s="61" t="str">
        <x:v>Corroborate before attribution</x:v>
      </x:c>
      <x:c r="I60" s="61" t="str">
        <x:v>Content readable; lookup not tested</x:v>
      </x:c>
      <x:c r="J60" s="61" t="str">
        <x:v>Provider landing page</x:v>
      </x:c>
      <x:c r="K60" s="61" t="str">
        <x:v>S032</x:v>
      </x:c>
      <x:c r="L60" s="70" t="str">
        <x:v>https://validnumber.com/</x:v>
      </x:c>
      <x:c r="M60" s="70" t="str">
        <x:v>https://validnumber.com/</x:v>
      </x:c>
      <x:c r="N60" s="61" t="str">
        <x:v>268512932</x:v>
      </x:c>
      <x:c r="O60" s="61" t="n">
        <x:v>1013</x:v>
      </x:c>
      <x:c r="P60" s="61" t="n">
        <x:v>12</x:v>
      </x:c>
      <x:c r="Q60" s="61" t="str">
        <x:v>2026-09-15</x:v>
      </x:c>
      <x:c r="R60" s="61" t="n">
        <x:v>1</x:v>
      </x:c>
      <x:c r="S60" s="61" t="str">
        <x:v>Contacts / records</x:v>
      </x:c>
      <x:c r="T60" s="61" t="str">
        <x:v>Scoped desk assessment</x:v>
      </x:c>
    </x:row>
    <x:row r="61" ht="105" customHeight="1">
      <x:c r="A61" s="61" t="n">
        <x:v>389</x:v>
      </x:c>
      <x:c r="B61" s="61" t="str">
        <x:v>Reverse Phone Lookup</x:v>
      </x:c>
      <x:c r="C61" s="61" t="str">
        <x:v>C</x:v>
      </x:c>
      <x:c r="D61" s="61" t="str">
        <x:v>Documented</x:v>
      </x:c>
      <x:c r="E61" s="61" t="str">
        <x:v>PHONE</x:v>
      </x:c>
      <x:c r="F61" s="61" t="str">
        <x:v>Suggested number-to-name match</x:v>
      </x:c>
      <x:c r="G61" s="61" t="str">
        <x:v>Landing page offers a matching service, but no independent accuracy benchmark was established here. Confirm the match elsewhere.</x:v>
      </x:c>
      <x:c r="H61" s="61" t="str">
        <x:v>Corroborate before attribution</x:v>
      </x:c>
      <x:c r="I61" s="61" t="str">
        <x:v>Content readable; lookup not tested</x:v>
      </x:c>
      <x:c r="J61" s="61" t="str">
        <x:v>Provider landing page</x:v>
      </x:c>
      <x:c r="K61" s="61" t="str">
        <x:v>S033</x:v>
      </x:c>
      <x:c r="L61" s="70" t="str">
        <x:v>https://www.zlookup.com/</x:v>
      </x:c>
      <x:c r="M61" s="70" t="str">
        <x:v>https://www.zlookup.com/</x:v>
      </x:c>
      <x:c r="N61" s="61" t="str">
        <x:v>268512911</x:v>
      </x:c>
      <x:c r="O61" s="61" t="n">
        <x:v>1013</x:v>
      </x:c>
      <x:c r="P61" s="61" t="n">
        <x:v>13</x:v>
      </x:c>
      <x:c r="Q61" s="61" t="str">
        <x:v>2026-09-15</x:v>
      </x:c>
      <x:c r="R61" s="61" t="n">
        <x:v>1</x:v>
      </x:c>
      <x:c r="S61" s="61" t="str">
        <x:v>Contacts / records</x:v>
      </x:c>
      <x:c r="T61" s="61" t="str">
        <x:v>Scoped desk assessment</x:v>
      </x:c>
    </x:row>
    <x:row r="62" ht="105" customHeight="1">
      <x:c r="A62" s="61" t="n">
        <x:v>391</x:v>
      </x:c>
      <x:c r="B62" s="61" t="str">
        <x:v>Truecaller</x:v>
      </x:c>
      <x:c r="C62" s="61" t="str">
        <x:v>C</x:v>
      </x:c>
      <x:c r="D62" s="61" t="str">
        <x:v>Documented</x:v>
      </x:c>
      <x:c r="E62" s="61" t="str">
        <x:v>PHONE</x:v>
      </x:c>
      <x:c r="F62" s="61" t="str">
        <x:v>Community-supplied caller labels</x:v>
      </x:c>
      <x:c r="G62" s="61" t="str">
        <x:v>Truecaller describes community name suggestions and risk reports. Treat a displayed caller name as a lead, not legal subscriber identity.</x:v>
      </x:c>
      <x:c r="H62" s="61" t="str">
        <x:v>Corroborate before attribution</x:v>
      </x:c>
      <x:c r="I62" s="61" t="str">
        <x:v>Content readable; lookup not tested</x:v>
      </x:c>
      <x:c r="J62" s="61" t="str">
        <x:v>Provider documentation</x:v>
      </x:c>
      <x:c r="K62" s="61" t="str">
        <x:v>S031</x:v>
      </x:c>
      <x:c r="L62" s="70" t="str">
        <x:v>https://www.truecaller.com/reverse-phone-number-lookup</x:v>
      </x:c>
      <x:c r="M62" s="70" t="str">
        <x:v>https://www.truecaller.com/</x:v>
      </x:c>
      <x:c r="N62" s="61" t="str">
        <x:v>268397885</x:v>
      </x:c>
      <x:c r="O62" s="61" t="n">
        <x:v>1013</x:v>
      </x:c>
      <x:c r="P62" s="61" t="n">
        <x:v>15</x:v>
      </x:c>
      <x:c r="Q62" s="61" t="str">
        <x:v>2026-09-15</x:v>
      </x:c>
      <x:c r="R62" s="61" t="n">
        <x:v>1</x:v>
      </x:c>
      <x:c r="S62" s="61" t="str">
        <x:v>Contacts / records</x:v>
      </x:c>
      <x:c r="T62" s="61" t="str">
        <x:v>Scoped desk assessment</x:v>
      </x:c>
    </x:row>
    <x:row r="63" ht="105" customHeight="1">
      <x:c r="A63" s="61" t="n">
        <x:v>393</x:v>
      </x:c>
      <x:c r="B63" s="61" t="str">
        <x:v>SYNC.me</x:v>
      </x:c>
      <x:c r="C63" s="61" t="str">
        <x:v>C</x:v>
      </x:c>
      <x:c r="D63" s="61" t="str">
        <x:v>Documented</x:v>
      </x:c>
      <x:c r="E63" s="61" t="str">
        <x:v>PHONE</x:v>
      </x:c>
      <x:c r="F63" s="61" t="str">
        <x:v>Caller-ID / contact association</x:v>
      </x:c>
      <x:c r="G63" s="61" t="str">
        <x:v>Caller-label and lookup service; do not equate its output with verified ownership or an interpersonal relationship.</x:v>
      </x:c>
      <x:c r="H63" s="61" t="str">
        <x:v>Corroborate before attribution</x:v>
      </x:c>
      <x:c r="I63" s="61" t="str">
        <x:v>Content readable; lookup not tested</x:v>
      </x:c>
      <x:c r="J63" s="61" t="str">
        <x:v>Provider landing page</x:v>
      </x:c>
      <x:c r="K63" s="61" t="str">
        <x:v>S034</x:v>
      </x:c>
      <x:c r="L63" s="70" t="str">
        <x:v>https://sync.me/</x:v>
      </x:c>
      <x:c r="M63" s="70" t="str">
        <x:v>https://sync.me/</x:v>
      </x:c>
      <x:c r="N63" s="61" t="str">
        <x:v>268403188</x:v>
      </x:c>
      <x:c r="O63" s="61" t="n">
        <x:v>1013</x:v>
      </x:c>
      <x:c r="P63" s="61" t="n">
        <x:v>17</x:v>
      </x:c>
      <x:c r="Q63" s="61" t="str">
        <x:v>2026-09-15</x:v>
      </x:c>
      <x:c r="R63" s="61" t="n">
        <x:v>1</x:v>
      </x:c>
      <x:c r="S63" s="61" t="str">
        <x:v>Contacts / records</x:v>
      </x:c>
      <x:c r="T63" s="61" t="str">
        <x:v>Scoped desk assessment</x:v>
      </x:c>
    </x:row>
    <x:row r="64" ht="105" customHeight="1">
      <x:c r="A64" s="61" t="n">
        <x:v>394</x:v>
      </x:c>
      <x:c r="B64" s="61" t="str">
        <x:v>OpenCelliD</x:v>
      </x:c>
      <x:c r="C64" s="61" t="str">
        <x:v>B</x:v>
      </x:c>
      <x:c r="D64" s="61" t="str">
        <x:v>Documented</x:v>
      </x:c>
      <x:c r="E64" s="61" t="str">
        <x:v>PHONE</x:v>
      </x:c>
      <x:c r="F64" s="61" t="str">
        <x:v>Cell-tower dataset only</x:v>
      </x:c>
      <x:c r="G64" s="61" t="str">
        <x:v>Open cell-tower database for geographic context. A tower coordinate is not a person's or handset's live location.</x:v>
      </x:c>
      <x:c r="H64" s="61" t="str">
        <x:v>Corroborate before attribution</x:v>
      </x:c>
      <x:c r="I64" s="61" t="str">
        <x:v>Content readable; lookup not tested</x:v>
      </x:c>
      <x:c r="J64" s="61" t="str">
        <x:v>Provider documentation</x:v>
      </x:c>
      <x:c r="K64" s="61" t="str">
        <x:v>S035</x:v>
      </x:c>
      <x:c r="L64" s="70" t="str">
        <x:v>https://opencellid.org/</x:v>
      </x:c>
      <x:c r="M64" s="70" t="str">
        <x:v>https://opencellid.org/</x:v>
      </x:c>
      <x:c r="N64" s="61" t="str">
        <x:v>286106250</x:v>
      </x:c>
      <x:c r="O64" s="61" t="n">
        <x:v>1013</x:v>
      </x:c>
      <x:c r="P64" s="61" t="n">
        <x:v>18</x:v>
      </x:c>
      <x:c r="Q64" s="61" t="str">
        <x:v>2026-09-15</x:v>
      </x:c>
      <x:c r="R64" s="61" t="n">
        <x:v>1</x:v>
      </x:c>
      <x:c r="S64" s="61" t="str">
        <x:v>Contacts / records</x:v>
      </x:c>
      <x:c r="T64" s="61" t="str">
        <x:v>Scoped desk assessment</x:v>
      </x:c>
    </x:row>
    <x:row r="65" ht="105" customHeight="1">
      <x:c r="A65" s="61" t="n">
        <x:v>401</x:v>
      </x:c>
      <x:c r="B65" s="61" t="str">
        <x:v>carrier lookup</x:v>
      </x:c>
      <x:c r="C65" s="61" t="str">
        <x:v>B</x:v>
      </x:c>
      <x:c r="D65" s="61" t="str">
        <x:v>Documented</x:v>
      </x:c>
      <x:c r="E65" s="61" t="str">
        <x:v>PHONE</x:v>
      </x:c>
      <x:c r="F65" s="61" t="str">
        <x:v>Carrier / line-type metadata only</x:v>
      </x:c>
      <x:c r="G65" s="61" t="str">
        <x:v>Lookup is bounded to telecom metadata. It does not identify the current individual using the number.</x:v>
      </x:c>
      <x:c r="H65" s="61" t="str">
        <x:v>Corroborate before attribution</x:v>
      </x:c>
      <x:c r="I65" s="61" t="str">
        <x:v>Content readable; lookup not tested</x:v>
      </x:c>
      <x:c r="J65" s="61" t="str">
        <x:v>Provider documentation</x:v>
      </x:c>
      <x:c r="K65" s="61" t="str">
        <x:v>S036</x:v>
      </x:c>
      <x:c r="L65" s="70" t="str">
        <x:v>https://www.carrierlookup.com/</x:v>
      </x:c>
      <x:c r="M65" s="70" t="str">
        <x:v>https://www.carrierlookup.com/</x:v>
      </x:c>
      <x:c r="N65" s="61" t="str">
        <x:v>297341251</x:v>
      </x:c>
      <x:c r="O65" s="61" t="n">
        <x:v>1018</x:v>
      </x:c>
      <x:c r="P65" s="61" t="n">
        <x:v>25</x:v>
      </x:c>
      <x:c r="Q65" s="61" t="str">
        <x:v>2026-09-15</x:v>
      </x:c>
      <x:c r="R65" s="61" t="n">
        <x:v>1</x:v>
      </x:c>
      <x:c r="S65" s="61" t="str">
        <x:v>Contacts / records</x:v>
      </x:c>
      <x:c r="T65" s="61" t="str">
        <x:v>Scoped desk assessment</x:v>
      </x:c>
    </x:row>
    <x:row r="66" ht="105" customHeight="1">
      <x:c r="A66" s="61" t="n">
        <x:v>436</x:v>
      </x:c>
      <x:c r="B66" s="61" t="str">
        <x:v>Nitter.hu</x:v>
      </x:c>
      <x:c r="C66" s="61" t="str">
        <x:v>C</x:v>
      </x:c>
      <x:c r="D66" s="61" t="str">
        <x:v>Documented</x:v>
      </x:c>
      <x:c r="E66" s="61" t="str">
        <x:v>TWITTER</x:v>
      </x:c>
      <x:c r="F66" s="61" t="str">
        <x:v>Third-party Twitter frontend / instance discovery</x:v>
      </x:c>
      <x:c r="G66" s="61" t="str">
        <x:v>Upstream shows archived status and a continuation notice. This does not establish that the saved instances work; verify each endpoint.</x:v>
      </x:c>
      <x:c r="H66" s="61" t="str">
        <x:v>Check specific instance; preserve original post URL</x:v>
      </x:c>
      <x:c r="I66" s="61" t="str">
        <x:v>Upstream reviewed; saved instance URLs not tested</x:v>
      </x:c>
      <x:c r="J66" s="61" t="str">
        <x:v>Upstream project notice; not instance testing</x:v>
      </x:c>
      <x:c r="K66" s="61" t="str">
        <x:v>S068</x:v>
      </x:c>
      <x:c r="L66" s="70" t="str">
        <x:v>https://github.com/zedeus/nitter</x:v>
      </x:c>
      <x:c r="M66" s="70" t="str">
        <x:v>https://nitter.hu/</x:v>
      </x:c>
      <x:c r="N66" s="61" t="str">
        <x:v>318589895</x:v>
      </x:c>
      <x:c r="O66" s="61" t="n">
        <x:v>1020</x:v>
      </x:c>
      <x:c r="P66" s="61" t="n">
        <x:v>2</x:v>
      </x:c>
      <x:c r="Q66" s="61" t="str">
        <x:v>2026-09-15</x:v>
      </x:c>
      <x:c r="R66" s="61" t="n">
        <x:v>1</x:v>
      </x:c>
      <x:c r="S66" s="61" t="str">
        <x:v>Supporting discovery</x:v>
      </x:c>
      <x:c r="T66" s="61" t="str">
        <x:v>Scoped desk assessment</x:v>
      </x:c>
    </x:row>
    <x:row r="67" ht="105" customHeight="1">
      <x:c r="A67" s="61" t="n">
        <x:v>437</x:v>
      </x:c>
      <x:c r="B67" s="61" t="str">
        <x:v>Nitter.it</x:v>
      </x:c>
      <x:c r="C67" s="61" t="str">
        <x:v>C</x:v>
      </x:c>
      <x:c r="D67" s="61" t="str">
        <x:v>Documented</x:v>
      </x:c>
      <x:c r="E67" s="61" t="str">
        <x:v>TWITTER</x:v>
      </x:c>
      <x:c r="F67" s="61" t="str">
        <x:v>Third-party Twitter frontend / instance discovery</x:v>
      </x:c>
      <x:c r="G67" s="61" t="str">
        <x:v>Upstream shows archived status and a continuation notice. This does not establish that the saved instances work; verify each endpoint.</x:v>
      </x:c>
      <x:c r="H67" s="61" t="str">
        <x:v>Check specific instance; preserve original post URL</x:v>
      </x:c>
      <x:c r="I67" s="61" t="str">
        <x:v>Upstream reviewed; saved instance URLs not tested</x:v>
      </x:c>
      <x:c r="J67" s="61" t="str">
        <x:v>Upstream project notice; not instance testing</x:v>
      </x:c>
      <x:c r="K67" s="61" t="str">
        <x:v>S068</x:v>
      </x:c>
      <x:c r="L67" s="70" t="str">
        <x:v>https://github.com/zedeus/nitter</x:v>
      </x:c>
      <x:c r="M67" s="70" t="str">
        <x:v>https://nitter.it/</x:v>
      </x:c>
      <x:c r="N67" s="61" t="str">
        <x:v>314744356</x:v>
      </x:c>
      <x:c r="O67" s="61" t="n">
        <x:v>1020</x:v>
      </x:c>
      <x:c r="P67" s="61" t="n">
        <x:v>3</x:v>
      </x:c>
      <x:c r="Q67" s="61" t="str">
        <x:v>2026-09-15</x:v>
      </x:c>
      <x:c r="R67" s="61" t="n">
        <x:v>1</x:v>
      </x:c>
      <x:c r="S67" s="61" t="str">
        <x:v>Supporting discovery</x:v>
      </x:c>
      <x:c r="T67" s="61" t="str">
        <x:v>Scoped desk assessment</x:v>
      </x:c>
    </x:row>
    <x:row r="68" ht="105" customHeight="1">
      <x:c r="A68" s="61" t="n">
        <x:v>439</x:v>
      </x:c>
      <x:c r="B68" s="61" t="str">
        <x:v>Nitter Instances</x:v>
      </x:c>
      <x:c r="C68" s="61" t="str">
        <x:v>C</x:v>
      </x:c>
      <x:c r="D68" s="61" t="str">
        <x:v>Documented</x:v>
      </x:c>
      <x:c r="E68" s="61" t="str">
        <x:v>TWITTER</x:v>
      </x:c>
      <x:c r="F68" s="61" t="str">
        <x:v>Third-party Twitter frontend / instance discovery</x:v>
      </x:c>
      <x:c r="G68" s="61" t="str">
        <x:v>Upstream shows archived status and a continuation notice. This does not establish that the saved instances work; verify each endpoint.</x:v>
      </x:c>
      <x:c r="H68" s="61" t="str">
        <x:v>Check specific instance; preserve original post URL</x:v>
      </x:c>
      <x:c r="I68" s="61" t="str">
        <x:v>Upstream reviewed; saved instance URLs not tested</x:v>
      </x:c>
      <x:c r="J68" s="61" t="str">
        <x:v>Upstream project notice; not instance testing</x:v>
      </x:c>
      <x:c r="K68" s="61" t="str">
        <x:v>S068</x:v>
      </x:c>
      <x:c r="L68" s="70" t="str">
        <x:v>https://github.com/zedeus/nitter</x:v>
      </x:c>
      <x:c r="M68" s="70" t="str">
        <x:v>https://xnaas.github.io/nitter-instances/</x:v>
      </x:c>
      <x:c r="N68" s="61" t="str">
        <x:v>304995039</x:v>
      </x:c>
      <x:c r="O68" s="61" t="n">
        <x:v>1020</x:v>
      </x:c>
      <x:c r="P68" s="61" t="n">
        <x:v>5</x:v>
      </x:c>
      <x:c r="Q68" s="61" t="str">
        <x:v>2026-09-15</x:v>
      </x:c>
      <x:c r="R68" s="61" t="n">
        <x:v>1</x:v>
      </x:c>
      <x:c r="S68" s="61" t="str">
        <x:v>Supporting discovery</x:v>
      </x:c>
      <x:c r="T68" s="61" t="str">
        <x:v>Scoped desk assessment</x:v>
      </x:c>
    </x:row>
    <x:row r="69" ht="105" customHeight="1">
      <x:c r="A69" s="61" t="n">
        <x:v>440</x:v>
      </x:c>
      <x:c r="B69" s="61" t="str">
        <x:v>twint</x:v>
      </x:c>
      <x:c r="C69" s="61" t="str">
        <x:v>C</x:v>
      </x:c>
      <x:c r="D69" s="61" t="str">
        <x:v>Documented</x:v>
      </x:c>
      <x:c r="E69" s="61" t="str">
        <x:v>TWITTER</x:v>
      </x:c>
      <x:c r="F69" s="61" t="str">
        <x:v>Legacy Twitter scraping</x:v>
      </x:c>
      <x:c r="G69" s="61" t="str">
        <x:v>Upstream repository was archived March 30, 2023. Its old capability claims are not a current functionality test.</x:v>
      </x:c>
      <x:c r="H69" s="61" t="str">
        <x:v>Replace or validate on controlled examples before use</x:v>
      </x:c>
      <x:c r="I69" s="61" t="str">
        <x:v>Archived upstream; linked PyPI tool not run</x:v>
      </x:c>
      <x:c r="J69" s="61" t="str">
        <x:v>Maintainer repository status</x:v>
      </x:c>
      <x:c r="K69" s="61" t="str">
        <x:v>S067</x:v>
      </x:c>
      <x:c r="L69" s="70" t="str">
        <x:v>https://github.com/twintproject/twint</x:v>
      </x:c>
      <x:c r="M69" s="70" t="str">
        <x:v>https://pypi.org/project/twint/</x:v>
      </x:c>
      <x:c r="N69" s="61" t="str">
        <x:v>268399074</x:v>
      </x:c>
      <x:c r="O69" s="61" t="n">
        <x:v>1020</x:v>
      </x:c>
      <x:c r="P69" s="61" t="n">
        <x:v>6</x:v>
      </x:c>
      <x:c r="Q69" s="61" t="str">
        <x:v>2026-09-15</x:v>
      </x:c>
      <x:c r="R69" s="61" t="n">
        <x:v>1</x:v>
      </x:c>
      <x:c r="S69" s="61" t="str">
        <x:v>Supporting discovery</x:v>
      </x:c>
      <x:c r="T69" s="61" t="str">
        <x:v>Scoped desk assessment</x:v>
      </x:c>
    </x:row>
    <x:row r="70" ht="105" customHeight="1">
      <x:c r="A70" s="61" t="n">
        <x:v>591</x:v>
      </x:c>
      <x:c r="B70" s="61" t="str">
        <x:v>keys.openpgp.org</x:v>
      </x:c>
      <x:c r="C70" s="61" t="str">
        <x:v>B</x:v>
      </x:c>
      <x:c r="D70" s="61" t="str">
        <x:v>Documented</x:v>
      </x:c>
      <x:c r="E70" s="61" t="str">
        <x:v>SEARCH ENGINES</x:v>
      </x:c>
      <x:c r="F70" s="61" t="str">
        <x:v>OpenPGP key and verified-email association</x:v>
      </x:c>
      <x:c r="G70" s="61" t="str">
        <x:v>Publishes technical key data and consent-verified email identifiers. Email verification does not certify a legal name or present human identity.</x:v>
      </x:c>
      <x:c r="H70" s="61" t="str">
        <x:v>Corroborate before attribution</x:v>
      </x:c>
      <x:c r="I70" s="61" t="str">
        <x:v>Content readable; lookup not tested</x:v>
      </x:c>
      <x:c r="J70" s="61" t="str">
        <x:v>Provider technical documentation</x:v>
      </x:c>
      <x:c r="K70" s="61" t="str">
        <x:v>S090</x:v>
      </x:c>
      <x:c r="L70" s="70" t="str">
        <x:v>https://keys.openpgp.org/about/</x:v>
      </x:c>
      <x:c r="M70" s="70" t="str">
        <x:v>https://keys.openpgp.org/</x:v>
      </x:c>
      <x:c r="N70" s="61" t="str">
        <x:v>268401476</x:v>
      </x:c>
      <x:c r="O70" s="61" t="n">
        <x:v>1032</x:v>
      </x:c>
      <x:c r="P70" s="61" t="n">
        <x:v>27</x:v>
      </x:c>
      <x:c r="Q70" s="61" t="str">
        <x:v>2026-09-15</x:v>
      </x:c>
      <x:c r="R70" s="61" t="n">
        <x:v>1</x:v>
      </x:c>
      <x:c r="S70" s="61" t="str">
        <x:v>Supporting discovery</x:v>
      </x:c>
      <x:c r="T70" s="61" t="str">
        <x:v>Scoped desk assessment</x:v>
      </x:c>
    </x:row>
    <x:row r="71" ht="105" customHeight="1">
      <x:c r="A71" s="61" t="n">
        <x:v>654</x:v>
      </x:c>
      <x:c r="B71" s="61" t="str">
        <x:v>Facecheck.id</x:v>
      </x:c>
      <x:c r="C71" s="61" t="str">
        <x:v>C</x:v>
      </x:c>
      <x:c r="D71" s="61" t="str">
        <x:v>Documented</x:v>
      </x:c>
      <x:c r="E71" s="61" t="str">
        <x:v>IMAGE / VIDEO / AUDIO / MEDIA</x:v>
      </x:c>
      <x:c r="F71" s="61" t="str">
        <x:v>Face-similarity search leads</x:v>
      </x:c>
      <x:c r="G71" s="61" t="str">
        <x:v>Provider warns that resemblance is not guaranteed identity or family relationship. Do not treat a red flag or similarity score as a legal finding.</x:v>
      </x:c>
      <x:c r="H71" s="61" t="str">
        <x:v>Do not use alone to identify or accuse a person</x:v>
      </x:c>
      <x:c r="I71" s="61" t="str">
        <x:v>FAQ readable; no image uploaded</x:v>
      </x:c>
      <x:c r="J71" s="61" t="str">
        <x:v>Provider limitations</x:v>
      </x:c>
      <x:c r="K71" s="61" t="str">
        <x:v>S069</x:v>
      </x:c>
      <x:c r="L71" s="70" t="str">
        <x:v>https://facecheck.id/en/Face-Search/FAQ</x:v>
      </x:c>
      <x:c r="M71" s="70" t="str">
        <x:v>https://facecheck.id/</x:v>
      </x:c>
      <x:c r="N71" s="61" t="str">
        <x:v>327019104</x:v>
      </x:c>
      <x:c r="O71" s="61" t="n">
        <x:v>1032</x:v>
      </x:c>
      <x:c r="P71" s="61" t="n">
        <x:v>1</x:v>
      </x:c>
      <x:c r="Q71" s="61" t="str">
        <x:v>2026-09-15</x:v>
      </x:c>
      <x:c r="R71" s="61" t="n">
        <x:v>1</x:v>
      </x:c>
      <x:c r="S71" s="61" t="str">
        <x:v>Contacts / records</x:v>
      </x:c>
      <x:c r="T71" s="61" t="str">
        <x:v>Scoped desk assessment</x:v>
      </x:c>
    </x:row>
    <x:row r="72" ht="105" customHeight="1">
      <x:c r="A72" s="61" t="n">
        <x:v>661</x:v>
      </x:c>
      <x:c r="B72" s="61" t="str">
        <x:v>PimEyes</x:v>
      </x:c>
      <x:c r="C72" s="61" t="str">
        <x:v>C</x:v>
      </x:c>
      <x:c r="D72" s="61" t="str">
        <x:v>Documented</x:v>
      </x:c>
      <x:c r="E72" s="61" t="str">
        <x:v>IMAGE / VIDEO / AUDIO / MEDIA</x:v>
      </x:c>
      <x:c r="F72" s="61" t="str">
        <x:v>Face-image discovery</x:v>
      </x:c>
      <x:c r="G72" s="61" t="str">
        <x:v>Provider disclaims identity verification and complete or consistent matching. Follow original image provenance; similarity alone is not identity.</x:v>
      </x:c>
      <x:c r="H72" s="61" t="str">
        <x:v>Treat as a possible image lead, not identity proof</x:v>
      </x:c>
      <x:c r="I72" s="61" t="str">
        <x:v>FAQ readable; no image uploaded</x:v>
      </x:c>
      <x:c r="J72" s="61" t="str">
        <x:v>Provider limitations</x:v>
      </x:c>
      <x:c r="K72" s="61" t="str">
        <x:v>S070</x:v>
      </x:c>
      <x:c r="L72" s="70" t="str">
        <x:v>https://pimeyes.com/en/faq</x:v>
      </x:c>
      <x:c r="M72" s="70" t="str">
        <x:v>https://pimeyes.com/en/</x:v>
      </x:c>
      <x:c r="N72" s="61" t="str">
        <x:v>268396782</x:v>
      </x:c>
      <x:c r="O72" s="61" t="n">
        <x:v>1033</x:v>
      </x:c>
      <x:c r="P72" s="61" t="n">
        <x:v>8</x:v>
      </x:c>
      <x:c r="Q72" s="61" t="str">
        <x:v>2026-09-15</x:v>
      </x:c>
      <x:c r="R72" s="61" t="n">
        <x:v>1</x:v>
      </x:c>
      <x:c r="S72" s="61" t="str">
        <x:v>Contacts / records</x:v>
      </x:c>
      <x:c r="T72" s="61" t="str">
        <x:v>Scoped desk assessment</x:v>
      </x:c>
    </x:row>
    <x:row r="73" ht="105" customHeight="1">
      <x:c r="A73" s="61" t="n">
        <x:v>662</x:v>
      </x:c>
      <x:c r="B73" s="61" t="str">
        <x:v>TinEye</x:v>
      </x:c>
      <x:c r="C73" s="61" t="str">
        <x:v>B</x:v>
      </x:c>
      <x:c r="D73" s="61" t="str">
        <x:v>Documented</x:v>
      </x:c>
      <x:c r="E73" s="61" t="str">
        <x:v>IMAGE / VIDEO / AUDIO / MEDIA</x:v>
      </x:c>
      <x:c r="F73" s="61" t="str">
        <x:v>Reused-image discovery</x:v>
      </x:c>
      <x:c r="G73" s="61" t="str">
        <x:v>Searches image occurrences, not facial identity. Confirm the linked image and capture date; a matching image does not establish who uploaded it.</x:v>
      </x:c>
      <x:c r="H73" s="61" t="str">
        <x:v>Corroborate before attribution</x:v>
      </x:c>
      <x:c r="I73" s="61" t="str">
        <x:v>Help readable; no image uploaded</x:v>
      </x:c>
      <x:c r="J73" s="61" t="str">
        <x:v>Provider technical documentation</x:v>
      </x:c>
      <x:c r="K73" s="61" t="str">
        <x:v>S071</x:v>
      </x:c>
      <x:c r="L73" s="70" t="str">
        <x:v>https://help.tineye.com/article/235-can-tineye-find-similar-images-does-tineye-do-facial-recognition</x:v>
      </x:c>
      <x:c r="M73" s="70" t="str">
        <x:v>https://tineye.com/</x:v>
      </x:c>
      <x:c r="N73" s="61" t="str">
        <x:v>268392166</x:v>
      </x:c>
      <x:c r="O73" s="61" t="n">
        <x:v>1033</x:v>
      </x:c>
      <x:c r="P73" s="61" t="n">
        <x:v>9</x:v>
      </x:c>
      <x:c r="Q73" s="61" t="str">
        <x:v>2026-09-15</x:v>
      </x:c>
      <x:c r="R73" s="61" t="n">
        <x:v>1</x:v>
      </x:c>
      <x:c r="S73" s="61" t="str">
        <x:v>Contacts / records</x:v>
      </x:c>
      <x:c r="T73" s="61" t="str">
        <x:v>Scoped desk assessment</x:v>
      </x:c>
    </x:row>
    <x:row r="74" ht="105" customHeight="1">
      <x:c r="A74" s="61" t="n">
        <x:v>664</x:v>
      </x:c>
      <x:c r="B74" s="61" t="str">
        <x:v>Tools</x:v>
      </x:c>
      <x:c r="C74" s="61" t="str">
        <x:v>C</x:v>
      </x:c>
      <x:c r="D74" s="61" t="str">
        <x:v>Documented</x:v>
      </x:c>
      <x:c r="E74" s="61" t="str">
        <x:v>IMAGE / VIDEO / AUDIO / MEDIA</x:v>
      </x:c>
      <x:c r="F74" s="61" t="str">
        <x:v>Third-party search launcher</x:v>
      </x:c>
      <x:c r="G74" s="61" t="str">
        <x:v>Routes searches to other services and disclaims their results. Multiple routed results are not automatically independent evidence.</x:v>
      </x:c>
      <x:c r="H74" s="61" t="str">
        <x:v>Corroborate before attribution</x:v>
      </x:c>
      <x:c r="I74" s="61" t="str">
        <x:v>Content readable; lookup not tested</x:v>
      </x:c>
      <x:c r="J74" s="61" t="str">
        <x:v>Provider documentation</x:v>
      </x:c>
      <x:c r="K74" s="61" t="str">
        <x:v>S003</x:v>
      </x:c>
      <x:c r="L74" s="70" t="str">
        <x:v>https://intelx.io/tools</x:v>
      </x:c>
      <x:c r="M74" s="70" t="str">
        <x:v>https://intelx.io/tools?tab=image</x:v>
      </x:c>
      <x:c r="N74" s="61" t="str">
        <x:v>311647342</x:v>
      </x:c>
      <x:c r="O74" s="61" t="n">
        <x:v>1033</x:v>
      </x:c>
      <x:c r="P74" s="61" t="n">
        <x:v>11</x:v>
      </x:c>
      <x:c r="Q74" s="61" t="str">
        <x:v>2026-09-15</x:v>
      </x:c>
      <x:c r="R74" s="61" t="n">
        <x:v>1</x:v>
      </x:c>
      <x:c r="S74" s="61" t="str">
        <x:v>Other / utility</x:v>
      </x:c>
      <x:c r="T74" s="61" t="str">
        <x:v>Scoped desk assessment</x:v>
      </x:c>
    </x:row>
    <x:row r="75" ht="105" customHeight="1">
      <x:c r="A75" s="61" t="n">
        <x:v>702</x:v>
      </x:c>
      <x:c r="B75" s="61" t="str">
        <x:v>VINCheck®</x:v>
      </x:c>
      <x:c r="C75" s="61" t="str">
        <x:v>B</x:v>
      </x:c>
      <x:c r="D75" s="61" t="str">
        <x:v>Documented</x:v>
      </x:c>
      <x:c r="E75" s="61" t="str">
        <x:v>LICENSE PLATE / VIN / VEHICLE</x:v>
      </x:c>
      <x:c r="F75" s="61" t="str">
        <x:v>Participating-insurer vehicle records</x:v>
      </x:c>
      <x:c r="G75" s="61" t="str">
        <x:v>NICB checks participating insurers' theft/salvage records, not a complete vehicle history or law-enforcement record. It does not establish who currently owns or drives a vehicle.</x:v>
      </x:c>
      <x:c r="H75" s="61" t="str">
        <x:v>Corroborate before attribution</x:v>
      </x:c>
      <x:c r="I75" s="61" t="str">
        <x:v>Coverage documentation readable; no VIN query</x:v>
      </x:c>
      <x:c r="J75" s="61" t="str">
        <x:v>Provider coverage and limitations</x:v>
      </x:c>
      <x:c r="K75" s="61" t="str">
        <x:v>S086</x:v>
      </x:c>
      <x:c r="L75" s="70" t="str">
        <x:v>https://www.nicb.org/vincheck</x:v>
      </x:c>
      <x:c r="M75" s="70" t="str">
        <x:v>https://www.nicb.org/vincheck</x:v>
      </x:c>
      <x:c r="N75" s="61" t="str">
        <x:v>290381391</x:v>
      </x:c>
      <x:c r="O75" s="61" t="n">
        <x:v>1034</x:v>
      </x:c>
      <x:c r="P75" s="61" t="n">
        <x:v>8</x:v>
      </x:c>
      <x:c r="Q75" s="61" t="str">
        <x:v>2026-09-15</x:v>
      </x:c>
      <x:c r="R75" s="61" t="n">
        <x:v>1</x:v>
      </x:c>
      <x:c r="S75" s="61" t="str">
        <x:v>Contacts / records</x:v>
      </x:c>
      <x:c r="T75" s="61" t="str">
        <x:v>Scoped desk assessment</x:v>
      </x:c>
    </x:row>
    <x:row r="76" ht="105" customHeight="1">
      <x:c r="A76" s="61" t="n">
        <x:v>709</x:v>
      </x:c>
      <x:c r="B76" s="61" t="str">
        <x:v>Tools</x:v>
      </x:c>
      <x:c r="C76" s="61" t="str">
        <x:v>C</x:v>
      </x:c>
      <x:c r="D76" s="61" t="str">
        <x:v>Documented</x:v>
      </x:c>
      <x:c r="E76" s="61" t="str">
        <x:v>LICENSE PLATE / VIN / VEHICLE</x:v>
      </x:c>
      <x:c r="F76" s="61" t="str">
        <x:v>Third-party search launcher</x:v>
      </x:c>
      <x:c r="G76" s="61" t="str">
        <x:v>Routes searches to other services and disclaims their results. Multiple routed results are not automatically independent evidence.</x:v>
      </x:c>
      <x:c r="H76" s="61" t="str">
        <x:v>Corroborate before attribution</x:v>
      </x:c>
      <x:c r="I76" s="61" t="str">
        <x:v>Content readable; lookup not tested</x:v>
      </x:c>
      <x:c r="J76" s="61" t="str">
        <x:v>Provider documentation</x:v>
      </x:c>
      <x:c r="K76" s="61" t="str">
        <x:v>S003</x:v>
      </x:c>
      <x:c r="L76" s="70" t="str">
        <x:v>https://intelx.io/tools</x:v>
      </x:c>
      <x:c r="M76" s="70" t="str">
        <x:v>https://intelx.io/tools?tab=vin</x:v>
      </x:c>
      <x:c r="N76" s="61" t="str">
        <x:v>311648166</x:v>
      </x:c>
      <x:c r="O76" s="61" t="n">
        <x:v>1034</x:v>
      </x:c>
      <x:c r="P76" s="61" t="n">
        <x:v>15</x:v>
      </x:c>
      <x:c r="Q76" s="61" t="str">
        <x:v>2026-09-15</x:v>
      </x:c>
      <x:c r="R76" s="61" t="n">
        <x:v>1</x:v>
      </x:c>
      <x:c r="S76" s="61" t="str">
        <x:v>Other / utility</x:v>
      </x:c>
      <x:c r="T76" s="61" t="str">
        <x:v>Scoped desk assessment</x:v>
      </x:c>
    </x:row>
    <x:row r="77" ht="105" customHeight="1">
      <x:c r="A77" s="61" t="n">
        <x:v>722</x:v>
      </x:c>
      <x:c r="B77" s="61" t="str">
        <x:v>Vehicle Enquiry</x:v>
      </x:c>
      <x:c r="C77" s="61" t="str">
        <x:v>A</x:v>
      </x:c>
      <x:c r="D77" s="61" t="str">
        <x:v>Documented</x:v>
      </x:c>
      <x:c r="E77" s="61" t="str">
        <x:v>LICENSE PLATE / VIN / VEHICLE</x:v>
      </x:c>
      <x:c r="F77" s="61" t="str">
        <x:v>Official UK vehicle tax / MOT enquiry</x:v>
      </x:c>
      <x:c r="G77" s="61" t="str">
        <x:v>Official vehicle-status enquiry. Tax or MOT information is not proof of the identity of the owner, keeper or driver.</x:v>
      </x:c>
      <x:c r="H77" s="61" t="str">
        <x:v>Verify exact official record</x:v>
      </x:c>
      <x:c r="I77" s="61" t="str">
        <x:v>Official entry form readable; no vehicle query</x:v>
      </x:c>
      <x:c r="J77" s="61" t="str">
        <x:v>Official agency service</x:v>
      </x:c>
      <x:c r="K77" s="61" t="str">
        <x:v>S089</x:v>
      </x:c>
      <x:c r="L77" s="70" t="str">
        <x:v>https://vehicleenquiry.service.gov.uk/?locale=en</x:v>
      </x:c>
      <x:c r="M77" s="70" t="str">
        <x:v>https://vehicleenquiry.service.gov.uk/?locale=en</x:v>
      </x:c>
      <x:c r="N77" s="61" t="str">
        <x:v>311648249</x:v>
      </x:c>
      <x:c r="O77" s="61" t="n">
        <x:v>1034</x:v>
      </x:c>
      <x:c r="P77" s="61" t="n">
        <x:v>28</x:v>
      </x:c>
      <x:c r="Q77" s="61" t="str">
        <x:v>2026-09-15</x:v>
      </x:c>
      <x:c r="R77" s="61" t="n">
        <x:v>1</x:v>
      </x:c>
      <x:c r="S77" s="61" t="str">
        <x:v>Contacts / records</x:v>
      </x:c>
      <x:c r="T77" s="61" t="str">
        <x:v>Scoped desk assessment</x:v>
      </x:c>
    </x:row>
    <x:row r="78" ht="105" customHeight="1">
      <x:c r="A78" s="61" t="n">
        <x:v>822</x:v>
      </x:c>
      <x:c r="B78" s="61" t="str">
        <x:v>Who.is</x:v>
      </x:c>
      <x:c r="C78" s="61" t="str">
        <x:v>B</x:v>
      </x:c>
      <x:c r="D78" s="61" t="str">
        <x:v>Documented</x:v>
      </x:c>
      <x:c r="E78" s="61" t="str">
        <x:v>WHOIS</x:v>
      </x:c>
      <x:c r="F78" s="61" t="str">
        <x:v>WHOIS/RDAP and DNS lookup</x:v>
      </x:c>
      <x:c r="G78" s="61" t="str">
        <x:v>Provides registration and DNS data. Preserve source and timestamps; registrant fields and shared infrastructure do not establish personal control.</x:v>
      </x:c>
      <x:c r="H78" s="61" t="str">
        <x:v>Corroborate before attribution</x:v>
      </x:c>
      <x:c r="I78" s="61" t="str">
        <x:v>Content readable; lookup not tested</x:v>
      </x:c>
      <x:c r="J78" s="61" t="str">
        <x:v>Provider feature documentation</x:v>
      </x:c>
      <x:c r="K78" s="61" t="str">
        <x:v>S093</x:v>
      </x:c>
      <x:c r="L78" s="70" t="str">
        <x:v>https://who.is/</x:v>
      </x:c>
      <x:c r="M78" s="70" t="str">
        <x:v>https://who.is/</x:v>
      </x:c>
      <x:c r="N78" s="61" t="str">
        <x:v>268408797</x:v>
      </x:c>
      <x:c r="O78" s="61" t="n">
        <x:v>1041</x:v>
      </x:c>
      <x:c r="P78" s="61" t="n">
        <x:v>3</x:v>
      </x:c>
      <x:c r="Q78" s="61" t="str">
        <x:v>2026-09-15</x:v>
      </x:c>
      <x:c r="R78" s="61" t="n">
        <x:v>1</x:v>
      </x:c>
      <x:c r="S78" s="61" t="str">
        <x:v>Other / utility</x:v>
      </x:c>
      <x:c r="T78" s="61" t="str">
        <x:v>Scoped desk assessment</x:v>
      </x:c>
    </x:row>
    <x:row r="79" ht="105" customHeight="1">
      <x:c r="A79" s="61" t="n">
        <x:v>823</x:v>
      </x:c>
      <x:c r="B79" s="61" t="str">
        <x:v>Whoxy</x:v>
      </x:c>
      <x:c r="C79" s="61" t="str">
        <x:v>B</x:v>
      </x:c>
      <x:c r="D79" s="61" t="str">
        <x:v>Documented</x:v>
      </x:c>
      <x:c r="E79" s="61" t="str">
        <x:v>WHOIS</x:v>
      </x:c>
      <x:c r="F79" s="61" t="str">
        <x:v>WHOIS technical / historical record retrieval</x:v>
      </x:c>
      <x:c r="G79" s="61" t="str">
        <x:v>Provides parsed and raw registration records. Check capture dates and originating registrar data; registration text is not verified personal identity.</x:v>
      </x:c>
      <x:c r="H79" s="61" t="str">
        <x:v>Corroborate before attribution</x:v>
      </x:c>
      <x:c r="I79" s="61" t="str">
        <x:v>Content readable; lookup not tested</x:v>
      </x:c>
      <x:c r="J79" s="61" t="str">
        <x:v>Provider API and coverage documentation</x:v>
      </x:c>
      <x:c r="K79" s="61" t="str">
        <x:v>S092</x:v>
      </x:c>
      <x:c r="L79" s="70" t="str">
        <x:v>https://www.whoxy.com/</x:v>
      </x:c>
      <x:c r="M79" s="70" t="str">
        <x:v>https://www.whoxy.com/</x:v>
      </x:c>
      <x:c r="N79" s="61" t="str">
        <x:v>268408825</x:v>
      </x:c>
      <x:c r="O79" s="61" t="n">
        <x:v>1041</x:v>
      </x:c>
      <x:c r="P79" s="61" t="n">
        <x:v>4</x:v>
      </x:c>
      <x:c r="Q79" s="61" t="str">
        <x:v>2026-09-15</x:v>
      </x:c>
      <x:c r="R79" s="61" t="n">
        <x:v>1</x:v>
      </x:c>
      <x:c r="S79" s="61" t="str">
        <x:v>Other / utility</x:v>
      </x:c>
      <x:c r="T79" s="61" t="str">
        <x:v>Scoped desk assessment</x:v>
      </x:c>
    </x:row>
    <x:row r="80" ht="105" customHeight="1">
      <x:c r="A80" s="61" t="n">
        <x:v>881</x:v>
      </x:c>
      <x:c r="B80" s="61" t="str">
        <x:v>VirusTotal</x:v>
      </x:c>
      <x:c r="C80" s="61" t="str">
        <x:v>B</x:v>
      </x:c>
      <x:c r="D80" s="61" t="str">
        <x:v>Documented</x:v>
      </x:c>
      <x:c r="E80" s="61" t="str">
        <x:v>MALWARE</x:v>
      </x:c>
      <x:c r="F80" s="61" t="str">
        <x:v>Aggregated file and URL security signals</x:v>
      </x:c>
      <x:c r="G80" s="61" t="str">
        <x:v>Multiple scanner results can include false positives. Public submissions may be shared; do not upload confidential case material.</x:v>
      </x:c>
      <x:c r="H80" s="61" t="str">
        <x:v>Interpret signals, not votes; protect confidential files</x:v>
      </x:c>
      <x:c r="I80" s="61" t="str">
        <x:v>Documentation readable; nothing submitted</x:v>
      </x:c>
      <x:c r="J80" s="61" t="str">
        <x:v>Provider technical documentation</x:v>
      </x:c>
      <x:c r="K80" s="61" t="str">
        <x:v>S075</x:v>
      </x:c>
      <x:c r="L80" s="70" t="str">
        <x:v>https://docs.virustotal.com/docs/how-it-works</x:v>
      </x:c>
      <x:c r="M80" s="70" t="str">
        <x:v>https://www.virustotal.com/gui/</x:v>
      </x:c>
      <x:c r="N80" s="61" t="str">
        <x:v>286997848</x:v>
      </x:c>
      <x:c r="O80" s="61" t="n">
        <x:v>1041</x:v>
      </x:c>
      <x:c r="P80" s="61" t="n">
        <x:v>4</x:v>
      </x:c>
      <x:c r="Q80" s="61" t="str">
        <x:v>2026-09-15</x:v>
      </x:c>
      <x:c r="R80" s="61" t="n">
        <x:v>1</x:v>
      </x:c>
      <x:c r="S80" s="61" t="str">
        <x:v>Other / utility</x:v>
      </x:c>
      <x:c r="T80" s="61" t="str">
        <x:v>Scoped desk assessment</x:v>
      </x:c>
    </x:row>
    <x:row r="81" ht="105" customHeight="1">
      <x:c r="A81" s="61" t="n">
        <x:v>933</x:v>
      </x:c>
      <x:c r="B81" s="61" t="str">
        <x:v>OpenStreetMap</x:v>
      </x:c>
      <x:c r="C81" s="61" t="str">
        <x:v>B</x:v>
      </x:c>
      <x:c r="D81" s="61" t="str">
        <x:v>Documented</x:v>
      </x:c>
      <x:c r="E81" s="61" t="str">
        <x:v>MAPS</x:v>
      </x:c>
      <x:c r="F81" s="61" t="str">
        <x:v>Community-maintained geographical context</x:v>
      </x:c>
      <x:c r="G81" s="61" t="str">
        <x:v>Community mapping with documented sources and editing. Verify the local feature and date; map proximity does not establish personal association.</x:v>
      </x:c>
      <x:c r="H81" s="61" t="str">
        <x:v>Corroborate before attribution</x:v>
      </x:c>
      <x:c r="I81" s="61" t="str">
        <x:v>Content readable; lookup not tested</x:v>
      </x:c>
      <x:c r="J81" s="61" t="str">
        <x:v>Publisher methodology</x:v>
      </x:c>
      <x:c r="K81" s="61" t="str">
        <x:v>S091</x:v>
      </x:c>
      <x:c r="L81" s="70" t="str">
        <x:v>https://www.openstreetmap.org/about</x:v>
      </x:c>
      <x:c r="M81" s="70" t="str">
        <x:v>https://www.openstreetmap.org/</x:v>
      </x:c>
      <x:c r="N81" s="61" t="str">
        <x:v>268408942</x:v>
      </x:c>
      <x:c r="O81" s="61" t="n">
        <x:v>1041</x:v>
      </x:c>
      <x:c r="P81" s="61" t="n">
        <x:v>11</x:v>
      </x:c>
      <x:c r="Q81" s="61" t="str">
        <x:v>2026-09-15</x:v>
      </x:c>
      <x:c r="R81" s="61" t="n">
        <x:v>1</x:v>
      </x:c>
      <x:c r="S81" s="61" t="str">
        <x:v>Other / utility</x:v>
      </x:c>
      <x:c r="T81" s="61" t="str">
        <x:v>Scoped desk assessment</x:v>
      </x:c>
    </x:row>
    <x:row r="82" ht="105" customHeight="1">
      <x:c r="A82" s="61" t="n">
        <x:v>1015</x:v>
      </x:c>
      <x:c r="B82" s="61" t="str">
        <x:v>Have I been pwned</x:v>
      </x:c>
      <x:c r="C82" s="61" t="str">
        <x:v>B</x:v>
      </x:c>
      <x:c r="D82" s="61" t="str">
        <x:v>Documented</x:v>
      </x:c>
      <x:c r="E82" s="61" t="str">
        <x:v>DATA DUMP</x:v>
      </x:c>
      <x:c r="F82" s="61" t="str">
        <x:v>Exposure in a named dataset</x:v>
      </x:c>
      <x:c r="G82" s="61" t="str">
        <x:v>Check breach dates and dataset flags. An identifier's exposure is not proof of current control, intentional membership, or a relationship.</x:v>
      </x:c>
      <x:c r="H82" s="61" t="str">
        <x:v>Corroborate before attribution</x:v>
      </x:c>
      <x:c r="I82" s="61" t="str">
        <x:v>FAQ reviewed; no identifier searched</x:v>
      </x:c>
      <x:c r="J82" s="61" t="str">
        <x:v>Provider methodology</x:v>
      </x:c>
      <x:c r="K82" s="61" t="str">
        <x:v>S029</x:v>
      </x:c>
      <x:c r="L82" s="70" t="str">
        <x:v>https://haveibeenpwned.com/FAQs</x:v>
      </x:c>
      <x:c r="M82" s="70" t="str">
        <x:v>https://haveibeenpwned.com/</x:v>
      </x:c>
      <x:c r="N82" s="61" t="str">
        <x:v>268376553</x:v>
      </x:c>
      <x:c r="O82" s="61" t="n">
        <x:v>1046</x:v>
      </x:c>
      <x:c r="P82" s="61" t="n">
        <x:v>2</x:v>
      </x:c>
      <x:c r="Q82" s="61" t="str">
        <x:v>2026-09-15</x:v>
      </x:c>
      <x:c r="R82" s="61" t="n">
        <x:v>1</x:v>
      </x:c>
      <x:c r="S82" s="61" t="str">
        <x:v>Other / utility</x:v>
      </x:c>
      <x:c r="T82" s="61" t="str">
        <x:v>Scoped desk assessment</x:v>
      </x:c>
    </x:row>
    <x:row r="83" ht="105" customHeight="1">
      <x:c r="A83" s="61" t="n">
        <x:v>1061</x:v>
      </x:c>
      <x:c r="B83" s="61" t="str">
        <x:v>Sanctions List Search</x:v>
      </x:c>
      <x:c r="C83" s="61" t="str">
        <x:v>A</x:v>
      </x:c>
      <x:c r="D83" s="61" t="str">
        <x:v>Documented</x:v>
      </x:c>
      <x:c r="E83" s="61" t="str">
        <x:v>EXTREMIST / FAR-RIGHT</x:v>
      </x:c>
      <x:c r="F83" s="61" t="str">
        <x:v>Official OFAC list entries</x:v>
      </x:c>
      <x:c r="G83" s="61" t="str">
        <x:v>The official tool uses fuzzy name matching. A search score is not an identity probability; match the identifiers on the actual entry.</x:v>
      </x:c>
      <x:c r="H83" s="61" t="str">
        <x:v>Verify exact official record</x:v>
      </x:c>
      <x:c r="I83" s="61" t="str">
        <x:v>Official search instructions readable; no person query</x:v>
      </x:c>
      <x:c r="J83" s="61" t="str">
        <x:v>Official tool instructions</x:v>
      </x:c>
      <x:c r="K83" s="61" t="str">
        <x:v>S047</x:v>
      </x:c>
      <x:c r="L83" s="70" t="str">
        <x:v>https://sanctionssearch.ofac.treas.gov/</x:v>
      </x:c>
      <x:c r="M83" s="70" t="str">
        <x:v>https://sanctionssearch.ofac.treas.gov/</x:v>
      </x:c>
      <x:c r="N83" s="61" t="str">
        <x:v>268456596</x:v>
      </x:c>
      <x:c r="O83" s="61" t="n">
        <x:v>1047</x:v>
      </x:c>
      <x:c r="P83" s="61" t="n">
        <x:v>15</x:v>
      </x:c>
      <x:c r="Q83" s="61" t="str">
        <x:v>2026-09-15</x:v>
      </x:c>
      <x:c r="R83" s="61" t="n">
        <x:v>1</x:v>
      </x:c>
      <x:c r="S83" s="61" t="str">
        <x:v>Contacts / records</x:v>
      </x:c>
      <x:c r="T83" s="61" t="str">
        <x:v>Scoped desk assessment</x:v>
      </x:c>
    </x:row>
    <x:row r="84" ht="105" customHeight="1">
      <x:c r="A84" s="61" t="n">
        <x:v>1082</x:v>
      </x:c>
      <x:c r="B84" s="61" t="str">
        <x:v>AllPeople</x:v>
      </x:c>
      <x:c r="C84" s="61" t="str">
        <x:v>C</x:v>
      </x:c>
      <x:c r="D84" s="61" t="str">
        <x:v>Documented</x:v>
      </x:c>
      <x:c r="E84" s="61" t="str">
        <x:v>BUSINESS</x:v>
      </x:c>
      <x:c r="F84" s="61" t="str">
        <x:v>Business-professional directory leads</x:v>
      </x:c>
      <x:c r="G84" s="61" t="str">
        <x:v>Directory listings are starting points. Independently establish the person's role, employer and relevant dates.</x:v>
      </x:c>
      <x:c r="H84" s="61" t="str">
        <x:v>Corroborate before attribution</x:v>
      </x:c>
      <x:c r="I84" s="61" t="str">
        <x:v>Content readable; lookup not tested</x:v>
      </x:c>
      <x:c r="J84" s="61" t="str">
        <x:v>Provider landing page</x:v>
      </x:c>
      <x:c r="K84" s="61" t="str">
        <x:v>S041</x:v>
      </x:c>
      <x:c r="L84" s="70" t="str">
        <x:v>https://allpeople.com/</x:v>
      </x:c>
      <x:c r="M84" s="70" t="str">
        <x:v>https://allpeople.com/</x:v>
      </x:c>
      <x:c r="N84" s="61" t="str">
        <x:v>268508960</x:v>
      </x:c>
      <x:c r="O84" s="61" t="n">
        <x:v>1050</x:v>
      </x:c>
      <x:c r="P84" s="61" t="n">
        <x:v>3</x:v>
      </x:c>
      <x:c r="Q84" s="61" t="str">
        <x:v>2026-09-15</x:v>
      </x:c>
      <x:c r="R84" s="61" t="n">
        <x:v>1</x:v>
      </x:c>
      <x:c r="S84" s="61" t="str">
        <x:v>Contacts / records</x:v>
      </x:c>
      <x:c r="T84" s="61" t="str">
        <x:v>Scoped desk assessment</x:v>
      </x:c>
    </x:row>
    <x:row r="85" ht="105" customHeight="1">
      <x:c r="A85" s="61" t="n">
        <x:v>1086</x:v>
      </x:c>
      <x:c r="B85" s="61" t="str">
        <x:v>Companies House</x:v>
      </x:c>
      <x:c r="C85" s="61" t="str">
        <x:v>A</x:v>
      </x:c>
      <x:c r="D85" s="61" t="str">
        <x:v>Documented</x:v>
      </x:c>
      <x:c r="E85" s="61" t="str">
        <x:v>BUSINESS</x:v>
      </x:c>
      <x:c r="F85" s="61" t="str">
        <x:v>Official company filing provenance</x:v>
      </x:c>
      <x:c r="G85" s="61" t="str">
        <x:v>Official registry: a filing's existence is authoritative; submitted statements still require verification. Identity checks do not certify every filed fact.</x:v>
      </x:c>
      <x:c r="H85" s="61" t="str">
        <x:v>Verify exact official record</x:v>
      </x:c>
      <x:c r="I85" s="61" t="str">
        <x:v>Registry notice readable; no entity query</x:v>
      </x:c>
      <x:c r="J85" s="61" t="str">
        <x:v>Official registry notice</x:v>
      </x:c>
      <x:c r="K85" s="61" t="str">
        <x:v>S037</x:v>
      </x:c>
      <x:c r="L85" s="70" t="str">
        <x:v>https://find-and-update.company-information.service.gov.uk/</x:v>
      </x:c>
      <x:c r="M85" s="70" t="str">
        <x:v>https://www.gov.uk/government/organisations/companies-house</x:v>
      </x:c>
      <x:c r="N85" s="61" t="str">
        <x:v>268404188</x:v>
      </x:c>
      <x:c r="O85" s="61" t="n">
        <x:v>1050</x:v>
      </x:c>
      <x:c r="P85" s="61" t="n">
        <x:v>7</x:v>
      </x:c>
      <x:c r="Q85" s="61" t="str">
        <x:v>2026-09-15</x:v>
      </x:c>
      <x:c r="R85" s="61" t="n">
        <x:v>1</x:v>
      </x:c>
      <x:c r="S85" s="61" t="str">
        <x:v>Contacts / records</x:v>
      </x:c>
      <x:c r="T85" s="61" t="str">
        <x:v>Scoped desk assessment</x:v>
      </x:c>
    </x:row>
    <x:row r="86" ht="105" customHeight="1">
      <x:c r="A86" s="61" t="n">
        <x:v>1087</x:v>
      </x:c>
      <x:c r="B86" s="61" t="str">
        <x:v>Global Brownbook</x:v>
      </x:c>
      <x:c r="C86" s="61" t="str">
        <x:v>C</x:v>
      </x:c>
      <x:c r="D86" s="61" t="str">
        <x:v>Documented</x:v>
      </x:c>
      <x:c r="E86" s="61" t="str">
        <x:v>BUSINESS</x:v>
      </x:c>
      <x:c r="F86" s="61" t="str">
        <x:v>Business listing leads</x:v>
      </x:c>
      <x:c r="G86" s="61" t="str">
        <x:v>Business-directory listings, including contributed listings. Verify contact and role claims with the organization or an original record.</x:v>
      </x:c>
      <x:c r="H86" s="61" t="str">
        <x:v>Corroborate before attribution</x:v>
      </x:c>
      <x:c r="I86" s="61" t="str">
        <x:v>Content readable; lookup not tested</x:v>
      </x:c>
      <x:c r="J86" s="61" t="str">
        <x:v>Provider landing page</x:v>
      </x:c>
      <x:c r="K86" s="61" t="str">
        <x:v>S042</x:v>
      </x:c>
      <x:c r="L86" s="70" t="str">
        <x:v>https://www.brownbook.net/</x:v>
      </x:c>
      <x:c r="M86" s="70" t="str">
        <x:v>https://www.brownbook.net/</x:v>
      </x:c>
      <x:c r="N86" s="61" t="str">
        <x:v>268404189</x:v>
      </x:c>
      <x:c r="O86" s="61" t="n">
        <x:v>1050</x:v>
      </x:c>
      <x:c r="P86" s="61" t="n">
        <x:v>8</x:v>
      </x:c>
      <x:c r="Q86" s="61" t="str">
        <x:v>2026-09-15</x:v>
      </x:c>
      <x:c r="R86" s="61" t="n">
        <x:v>1</x:v>
      </x:c>
      <x:c r="S86" s="61" t="str">
        <x:v>Contacts / records</x:v>
      </x:c>
      <x:c r="T86" s="61" t="str">
        <x:v>Scoped desk assessment</x:v>
      </x:c>
    </x:row>
    <x:row r="87" ht="105" customHeight="1">
      <x:c r="A87" s="61" t="n">
        <x:v>1088</x:v>
      </x:c>
      <x:c r="B87" s="61" t="str">
        <x:v>list-org</x:v>
      </x:c>
      <x:c r="C87" s="61" t="str">
        <x:v>C</x:v>
      </x:c>
      <x:c r="D87" s="61" t="str">
        <x:v>Documented</x:v>
      </x:c>
      <x:c r="E87" s="61" t="str">
        <x:v>BUSINESS</x:v>
      </x:c>
      <x:c r="F87" s="61" t="str">
        <x:v>Russian company discovery</x:v>
      </x:c>
      <x:c r="G87" s="61" t="str">
        <x:v>Secondary company-search service. Obtain a dated official registry extract before relying on a director or ownership connection.</x:v>
      </x:c>
      <x:c r="H87" s="61" t="str">
        <x:v>Corroborate before attribution</x:v>
      </x:c>
      <x:c r="I87" s="61" t="str">
        <x:v>Content readable; lookup not tested</x:v>
      </x:c>
      <x:c r="J87" s="61" t="str">
        <x:v>Provider landing page</x:v>
      </x:c>
      <x:c r="K87" s="61" t="str">
        <x:v>S043</x:v>
      </x:c>
      <x:c r="L87" s="70" t="str">
        <x:v>https://www.list-org.com/</x:v>
      </x:c>
      <x:c r="M87" s="70" t="str">
        <x:v>https://www.list-org.com/</x:v>
      </x:c>
      <x:c r="N87" s="61" t="str">
        <x:v>268404193</x:v>
      </x:c>
      <x:c r="O87" s="61" t="n">
        <x:v>1050</x:v>
      </x:c>
      <x:c r="P87" s="61" t="n">
        <x:v>9</x:v>
      </x:c>
      <x:c r="Q87" s="61" t="str">
        <x:v>2026-09-15</x:v>
      </x:c>
      <x:c r="R87" s="61" t="n">
        <x:v>1</x:v>
      </x:c>
      <x:c r="S87" s="61" t="str">
        <x:v>Contacts / records</x:v>
      </x:c>
      <x:c r="T87" s="61" t="str">
        <x:v>Scoped desk assessment</x:v>
      </x:c>
    </x:row>
    <x:row r="88" ht="105" customHeight="1">
      <x:c r="A88" s="61" t="n">
        <x:v>1089</x:v>
      </x:c>
      <x:c r="B88" s="61" t="str">
        <x:v>OpenCorporates</x:v>
      </x:c>
      <x:c r="C88" s="61" t="str">
        <x:v>B</x:v>
      </x:c>
      <x:c r="D88" s="61" t="str">
        <x:v>Documented</x:v>
      </x:c>
      <x:c r="E88" s="61" t="str">
        <x:v>BUSINESS</x:v>
      </x:c>
      <x:c r="F88" s="61" t="str">
        <x:v>Source-linked company discovery</x:v>
      </x:c>
      <x:c r="G88" s="61" t="str">
        <x:v>Registry aggregation with source provenance. Confirm jurisdiction, company number, role and dates against the originating registry.</x:v>
      </x:c>
      <x:c r="H88" s="61" t="str">
        <x:v>Corroborate before attribution</x:v>
      </x:c>
      <x:c r="I88" s="61" t="str">
        <x:v>Content readable; lookup not tested</x:v>
      </x:c>
      <x:c r="J88" s="61" t="str">
        <x:v>Provider documentation</x:v>
      </x:c>
      <x:c r="K88" s="61" t="str">
        <x:v>S038</x:v>
      </x:c>
      <x:c r="L88" s="70" t="str">
        <x:v>https://opencorporates.com/</x:v>
      </x:c>
      <x:c r="M88" s="70" t="str">
        <x:v>https://opencorporates.com/</x:v>
      </x:c>
      <x:c r="N88" s="61" t="str">
        <x:v>268404194</x:v>
      </x:c>
      <x:c r="O88" s="61" t="n">
        <x:v>1050</x:v>
      </x:c>
      <x:c r="P88" s="61" t="n">
        <x:v>10</x:v>
      </x:c>
      <x:c r="Q88" s="61" t="str">
        <x:v>2026-09-15</x:v>
      </x:c>
      <x:c r="R88" s="61" t="n">
        <x:v>1</x:v>
      </x:c>
      <x:c r="S88" s="61" t="str">
        <x:v>Contacts / records</x:v>
      </x:c>
      <x:c r="T88" s="61" t="str">
        <x:v>Scoped desk assessment</x:v>
      </x:c>
    </x:row>
    <x:row r="89" ht="105" customHeight="1">
      <x:c r="A89" s="61" t="n">
        <x:v>1090</x:v>
      </x:c>
      <x:c r="B89" s="61" t="str">
        <x:v>ICIJ Offshore Leaks Database</x:v>
      </x:c>
      <x:c r="C89" s="61" t="str">
        <x:v>B</x:v>
      </x:c>
      <x:c r="D89" s="61" t="str">
        <x:v>Documented</x:v>
      </x:c>
      <x:c r="E89" s="61" t="str">
        <x:v>BUSINESS</x:v>
      </x:c>
      <x:c r="F89" s="61" t="str">
        <x:v>Historical offshore-record connections</x:v>
      </x:c>
      <x:c r="G89" s="61" t="str">
        <x:v>Historical dataset, not a wrongdoing list. Resolve namesakes and follow the specific source documents before attributing a connection.</x:v>
      </x:c>
      <x:c r="H89" s="61" t="str">
        <x:v>Corroborate before attribution</x:v>
      </x:c>
      <x:c r="I89" s="61" t="str">
        <x:v>Content readable; lookup not tested</x:v>
      </x:c>
      <x:c r="J89" s="61" t="str">
        <x:v>Publisher methodology / caveats</x:v>
      </x:c>
      <x:c r="K89" s="61" t="str">
        <x:v>S039</x:v>
      </x:c>
      <x:c r="L89" s="70" t="str">
        <x:v>https://offshoreleaks.icij.org/pages/about</x:v>
      </x:c>
      <x:c r="M89" s="70" t="str">
        <x:v>https://offshoreleaks.icij.org/</x:v>
      </x:c>
      <x:c r="N89" s="61" t="str">
        <x:v>268404195</x:v>
      </x:c>
      <x:c r="O89" s="61" t="n">
        <x:v>1050</x:v>
      </x:c>
      <x:c r="P89" s="61" t="n">
        <x:v>11</x:v>
      </x:c>
      <x:c r="Q89" s="61" t="str">
        <x:v>2026-09-15</x:v>
      </x:c>
      <x:c r="R89" s="61" t="n">
        <x:v>1</x:v>
      </x:c>
      <x:c r="S89" s="61" t="str">
        <x:v>Contacts / records</x:v>
      </x:c>
      <x:c r="T89" s="61" t="str">
        <x:v>Scoped desk assessment</x:v>
      </x:c>
    </x:row>
    <x:row r="90" ht="105" customHeight="1">
      <x:c r="A90" s="61" t="n">
        <x:v>1091</x:v>
      </x:c>
      <x:c r="B90" s="61" t="str">
        <x:v>Home Comptroller.Texas.Gov</x:v>
      </x:c>
      <x:c r="C90" s="61" t="str">
        <x:v>A</x:v>
      </x:c>
      <x:c r="D90" s="61" t="str">
        <x:v>Documented</x:v>
      </x:c>
      <x:c r="E90" s="61" t="str">
        <x:v>BUSINESS</x:v>
      </x:c>
      <x:c r="F90" s="61" t="str">
        <x:v>Official Texas tax / entity records</x:v>
      </x:c>
      <x:c r="G90" s="61" t="str">
        <x:v>Official agency entry point. Use the actual entity or tax-status record; a homepage or name match does not establish ownership.</x:v>
      </x:c>
      <x:c r="H90" s="61" t="str">
        <x:v>Verify exact official record</x:v>
      </x:c>
      <x:c r="I90" s="61" t="str">
        <x:v>Agency page readable; no entity query</x:v>
      </x:c>
      <x:c r="J90" s="61" t="str">
        <x:v>Official agency page</x:v>
      </x:c>
      <x:c r="K90" s="61" t="str">
        <x:v>S040</x:v>
      </x:c>
      <x:c r="L90" s="70" t="str">
        <x:v>https://comptroller.texas.gov/</x:v>
      </x:c>
      <x:c r="M90" s="70" t="str">
        <x:v>https://comptroller.texas.gov/</x:v>
      </x:c>
      <x:c r="N90" s="61" t="str">
        <x:v>268465957</x:v>
      </x:c>
      <x:c r="O90" s="61" t="n">
        <x:v>1050</x:v>
      </x:c>
      <x:c r="P90" s="61" t="n">
        <x:v>12</x:v>
      </x:c>
      <x:c r="Q90" s="61" t="str">
        <x:v>2026-09-15</x:v>
      </x:c>
      <x:c r="R90" s="61" t="n">
        <x:v>1</x:v>
      </x:c>
      <x:c r="S90" s="61" t="str">
        <x:v>Contacts / records</x:v>
      </x:c>
      <x:c r="T90" s="61" t="str">
        <x:v>Scoped desk assessment</x:v>
      </x:c>
    </x:row>
    <x:row r="91" ht="105" customHeight="1">
      <x:c r="A91" s="61" t="n">
        <x:v>1092</x:v>
      </x:c>
      <x:c r="B91" s="61" t="str">
        <x:v>Company search tool</x:v>
      </x:c>
      <x:c r="C91" s="61" t="str">
        <x:v>C</x:v>
      </x:c>
      <x:c r="D91" s="61" t="str">
        <x:v>Documented</x:v>
      </x:c>
      <x:c r="E91" s="61" t="str">
        <x:v>BUSINESS</x:v>
      </x:c>
      <x:c r="F91" s="61" t="str">
        <x:v>Company-search query building</x:v>
      </x:c>
      <x:c r="G91" s="61" t="str">
        <x:v>Search launcher, not independent confirmation. Attribute each returned claim to the original publisher.</x:v>
      </x:c>
      <x:c r="H91" s="61" t="str">
        <x:v>Corroborate before attribution</x:v>
      </x:c>
      <x:c r="I91" s="61" t="str">
        <x:v>Content readable; lookup not tested</x:v>
      </x:c>
      <x:c r="J91" s="61" t="str">
        <x:v>Provider documentation</x:v>
      </x:c>
      <x:c r="K91" s="61" t="str">
        <x:v>S044</x:v>
      </x:c>
      <x:c r="L91" s="70" t="str">
        <x:v>https://www.aware-online.com/en/osint-tools/company-search-tool/</x:v>
      </x:c>
      <x:c r="M91" s="70" t="str">
        <x:v>https://www.aware-online.com/en/osint-tools/company-search-tool/</x:v>
      </x:c>
      <x:c r="N91" s="61" t="str">
        <x:v>268503463</x:v>
      </x:c>
      <x:c r="O91" s="61" t="n">
        <x:v>1050</x:v>
      </x:c>
      <x:c r="P91" s="61" t="n">
        <x:v>13</x:v>
      </x:c>
      <x:c r="Q91" s="61" t="str">
        <x:v>2026-09-15</x:v>
      </x:c>
      <x:c r="R91" s="61" t="n">
        <x:v>1</x:v>
      </x:c>
      <x:c r="S91" s="61" t="str">
        <x:v>Contacts / records</x:v>
      </x:c>
      <x:c r="T91" s="61" t="str">
        <x:v>Scoped desk assessment</x:v>
      </x:c>
    </x:row>
    <x:row r="92" ht="105" customHeight="1">
      <x:c r="A92" s="61" t="n">
        <x:v>1093</x:v>
      </x:c>
      <x:c r="B92" s="61" t="str">
        <x:v>XRefer</x:v>
      </x:c>
      <x:c r="C92" s="61" t="str">
        <x:v>C</x:v>
      </x:c>
      <x:c r="D92" s="61" t="str">
        <x:v>Documented</x:v>
      </x:c>
      <x:c r="E92" s="61" t="str">
        <x:v>BUSINESS</x:v>
      </x:c>
      <x:c r="F92" s="61" t="str">
        <x:v>Local service-provider referral leads</x:v>
      </x:c>
      <x:c r="G92" s="61" t="str">
        <x:v>Current destination is a local-company referral directory. Verification claims on the landing page were not independently tested; this is not a corporate ownership register.</x:v>
      </x:c>
      <x:c r="H92" s="61" t="str">
        <x:v>Corroborate before attribution</x:v>
      </x:c>
      <x:c r="I92" s="61" t="str">
        <x:v>Content readable; lookup not tested</x:v>
      </x:c>
      <x:c r="J92" s="61" t="str">
        <x:v>Provider landing page</x:v>
      </x:c>
      <x:c r="K92" s="61" t="str">
        <x:v>S088</x:v>
      </x:c>
      <x:c r="L92" s="70" t="str">
        <x:v>https://www.xrefer.com/</x:v>
      </x:c>
      <x:c r="M92" s="70" t="str">
        <x:v>https://www.xrefer.com/</x:v>
      </x:c>
      <x:c r="N92" s="61" t="str">
        <x:v>268509011</x:v>
      </x:c>
      <x:c r="O92" s="61" t="n">
        <x:v>1050</x:v>
      </x:c>
      <x:c r="P92" s="61" t="n">
        <x:v>14</x:v>
      </x:c>
      <x:c r="Q92" s="61" t="str">
        <x:v>2026-09-15</x:v>
      </x:c>
      <x:c r="R92" s="61" t="n">
        <x:v>1</x:v>
      </x:c>
      <x:c r="S92" s="61" t="str">
        <x:v>Contacts / records</x:v>
      </x:c>
      <x:c r="T92" s="61" t="str">
        <x:v>Scoped desk assessment</x:v>
      </x:c>
    </x:row>
    <x:row r="93" ht="105" customHeight="1">
      <x:c r="A93" s="61" t="n">
        <x:v>1095</x:v>
      </x:c>
      <x:c r="B93" s="61" t="str">
        <x:v>First Search</x:v>
      </x:c>
      <x:c r="C93" s="61" t="str">
        <x:v>N/A</x:v>
      </x:c>
      <x:c r="D93" s="61" t="str">
        <x:v>Documented</x:v>
      </x:c>
      <x:c r="E93" s="61" t="str">
        <x:v>BUSINESS</x:v>
      </x:c>
      <x:c r="F93" s="61" t="str">
        <x:v>Editorial reference, not a contact database</x:v>
      </x:c>
      <x:c r="G93" s="61" t="str">
        <x:v>The saved search URL redirects to First Round Review. The current destination is editorial material, not evidence of a personal connection.</x:v>
      </x:c>
      <x:c r="H93" s="61" t="str">
        <x:v>Update label; use as reference only</x:v>
      </x:c>
      <x:c r="I93" s="61" t="str">
        <x:v>Redirect to editorial site; old search not validated</x:v>
      </x:c>
      <x:c r="J93" s="61" t="str">
        <x:v>Observed redirect and destination</x:v>
      </x:c>
      <x:c r="K93" s="61" t="str">
        <x:v>S046</x:v>
      </x:c>
      <x:c r="L93" s="70" t="str">
        <x:v>https://review.firstround.com/</x:v>
      </x:c>
      <x:c r="M93" s="70" t="str">
        <x:v>https://search.firstround.com/</x:v>
      </x:c>
      <x:c r="N93" s="61" t="str">
        <x:v>268509781</x:v>
      </x:c>
      <x:c r="O93" s="61" t="n">
        <x:v>1050</x:v>
      </x:c>
      <x:c r="P93" s="61" t="n">
        <x:v>16</x:v>
      </x:c>
      <x:c r="Q93" s="61" t="str">
        <x:v>2026-09-15</x:v>
      </x:c>
      <x:c r="R93" s="61" t="n">
        <x:v>1</x:v>
      </x:c>
      <x:c r="S93" s="61" t="str">
        <x:v>Contacts / records</x:v>
      </x:c>
      <x:c r="T93" s="61" t="str">
        <x:v>Scoped desk assessment</x:v>
      </x:c>
    </x:row>
    <x:row r="94" ht="105" customHeight="1">
      <x:c r="A94" s="61" t="n">
        <x:v>1100</x:v>
      </x:c>
      <x:c r="B94" s="61" t="str">
        <x:v>Coronavirus Bailouts: Search Every Company Approved for Federal Loans Over $150k</x:v>
      </x:c>
      <x:c r="C94" s="61" t="str">
        <x:v>B</x:v>
      </x:c>
      <x:c r="D94" s="61" t="str">
        <x:v>Documented</x:v>
      </x:c>
      <x:c r="E94" s="61" t="str">
        <x:v>BUSINESS</x:v>
      </x:c>
      <x:c r="F94" s="61" t="str">
        <x:v>Archived SBA loan-record discovery</x:v>
      </x:c>
      <x:c r="G94" s="61" t="str">
        <x:v>Secondary archive of loan data. Confirm the particular entity and source record; a PPP loan is not evidence of fraud.</x:v>
      </x:c>
      <x:c r="H94" s="61" t="str">
        <x:v>Corroborate before attribution</x:v>
      </x:c>
      <x:c r="I94" s="61" t="str">
        <x:v>Content readable; lookup not tested</x:v>
      </x:c>
      <x:c r="J94" s="61" t="str">
        <x:v>Publisher project / methodology</x:v>
      </x:c>
      <x:c r="K94" s="61" t="str">
        <x:v>S045</x:v>
      </x:c>
      <x:c r="L94" s="70" t="str">
        <x:v>https://projects.propublica.org/coronavirus/bailouts/</x:v>
      </x:c>
      <x:c r="M94" s="70" t="str">
        <x:v>https://projects.propublica.org/coronavirus/bailouts/</x:v>
      </x:c>
      <x:c r="N94" s="61" t="str">
        <x:v>271266209</x:v>
      </x:c>
      <x:c r="O94" s="61" t="n">
        <x:v>1050</x:v>
      </x:c>
      <x:c r="P94" s="61" t="n">
        <x:v>21</x:v>
      </x:c>
      <x:c r="Q94" s="61" t="str">
        <x:v>2026-09-15</x:v>
      </x:c>
      <x:c r="R94" s="61" t="n">
        <x:v>1</x:v>
      </x:c>
      <x:c r="S94" s="61" t="str">
        <x:v>Contacts / records</x:v>
      </x:c>
      <x:c r="T94" s="61" t="str">
        <x:v>Scoped desk assessment</x:v>
      </x:c>
    </x:row>
    <x:row r="95" ht="105" customHeight="1">
      <x:c r="A95" s="61" t="n">
        <x:v>1107</x:v>
      </x:c>
      <x:c r="B95" s="61" t="str">
        <x:v>Openoversight</x:v>
      </x:c>
      <x:c r="C95" s="61" t="str">
        <x:v>C</x:v>
      </x:c>
      <x:c r="D95" s="61" t="str">
        <x:v>Documented</x:v>
      </x:c>
      <x:c r="E95" s="61" t="str">
        <x:v>POLICE / LE / FED</x:v>
      </x:c>
      <x:c r="F95" s="61" t="str">
        <x:v>Public and crowdsourced officer-directory leads</x:v>
      </x:c>
      <x:c r="G95" s="61" t="str">
        <x:v>Crowdsourced/public information needs original-source confirmation. A directory association does not establish an allegation or finding.</x:v>
      </x:c>
      <x:c r="H95" s="61" t="str">
        <x:v>Corroborate before attribution</x:v>
      </x:c>
      <x:c r="I95" s="61" t="str">
        <x:v>Content readable; lookup not tested</x:v>
      </x:c>
      <x:c r="J95" s="61" t="str">
        <x:v>Publisher project description</x:v>
      </x:c>
      <x:c r="K95" s="61" t="str">
        <x:v>S062</x:v>
      </x:c>
      <x:c r="L95" s="70" t="str">
        <x:v>https://openoversight.com/</x:v>
      </x:c>
      <x:c r="M95" s="70" t="str">
        <x:v>https://openoversight.com/</x:v>
      </x:c>
      <x:c r="N95" s="61" t="str">
        <x:v>268390096</x:v>
      </x:c>
      <x:c r="O95" s="61" t="n">
        <x:v>1050</x:v>
      </x:c>
      <x:c r="P95" s="61" t="n">
        <x:v>1</x:v>
      </x:c>
      <x:c r="Q95" s="61" t="str">
        <x:v>2026-09-15</x:v>
      </x:c>
      <x:c r="R95" s="61" t="n">
        <x:v>1</x:v>
      </x:c>
      <x:c r="S95" s="61" t="str">
        <x:v>Contacts / records</x:v>
      </x:c>
      <x:c r="T95" s="61" t="str">
        <x:v>Scoped desk assessment</x:v>
      </x:c>
    </x:row>
    <x:row r="96" ht="105" customHeight="1">
      <x:c r="A96" s="61" t="n">
        <x:v>1119</x:v>
      </x:c>
      <x:c r="B96" s="61" t="str">
        <x:v>EFF Atlas of Surveillance</x:v>
      </x:c>
      <x:c r="C96" s="61" t="str">
        <x:v>B</x:v>
      </x:c>
      <x:c r="D96" s="61" t="str">
        <x:v>Documented</x:v>
      </x:c>
      <x:c r="E96" s="61" t="str">
        <x:v>POLICE / LE / FED</x:v>
      </x:c>
      <x:c r="F96" s="61" t="str">
        <x:v>Source-linked surveillance-technology adoption</x:v>
      </x:c>
      <x:c r="G96" s="61" t="str">
        <x:v>Published source-linked research about agencies and technology. It does not identify who an agency surveilled or prove individual misconduct.</x:v>
      </x:c>
      <x:c r="H96" s="61" t="str">
        <x:v>Corroborate before attribution</x:v>
      </x:c>
      <x:c r="I96" s="61" t="str">
        <x:v>Content readable; lookup not tested</x:v>
      </x:c>
      <x:c r="J96" s="61" t="str">
        <x:v>Publisher project description</x:v>
      </x:c>
      <x:c r="K96" s="61" t="str">
        <x:v>S053</x:v>
      </x:c>
      <x:c r="L96" s="70" t="str">
        <x:v>https://www.atlasofsurveillance.org/</x:v>
      </x:c>
      <x:c r="M96" s="70" t="str">
        <x:v>https://atlasofsurveillance.org/</x:v>
      </x:c>
      <x:c r="N96" s="61" t="str">
        <x:v>268466399</x:v>
      </x:c>
      <x:c r="O96" s="61" t="n">
        <x:v>1051</x:v>
      </x:c>
      <x:c r="P96" s="61" t="n">
        <x:v>13</x:v>
      </x:c>
      <x:c r="Q96" s="61" t="str">
        <x:v>2026-09-15</x:v>
      </x:c>
      <x:c r="R96" s="61" t="n">
        <x:v>1</x:v>
      </x:c>
      <x:c r="S96" s="61" t="str">
        <x:v>Contacts / records</x:v>
      </x:c>
      <x:c r="T96" s="61" t="str">
        <x:v>Scoped desk assessment</x:v>
      </x:c>
    </x:row>
    <x:row r="97" ht="105" customHeight="1">
      <x:c r="A97" s="61" t="n">
        <x:v>1121</x:v>
      </x:c>
      <x:c r="B97" s="61" t="str">
        <x:v>Oregon DPSST Professional Standards Cases Database</x:v>
      </x:c>
      <x:c r="C97" s="61" t="str">
        <x:v>A</x:v>
      </x:c>
      <x:c r="D97" s="61" t="str">
        <x:v>Documented</x:v>
      </x:c>
      <x:c r="E97" s="61" t="str">
        <x:v>POLICE / LE / FED</x:v>
      </x:c>
      <x:c r="F97" s="61" t="str">
        <x:v>Official Oregon certification-case status</x:v>
      </x:c>
      <x:c r="G97" s="61" t="str">
        <x:v>DPSST expressly says Under Review is not proof of misconduct. Read the case status and final document before stating a finding.</x:v>
      </x:c>
      <x:c r="H97" s="61" t="str">
        <x:v>Verify exact official record</x:v>
      </x:c>
      <x:c r="I97" s="61" t="str">
        <x:v>Content readable; lookup not tested</x:v>
      </x:c>
      <x:c r="J97" s="61" t="str">
        <x:v>Official agency status definitions</x:v>
      </x:c>
      <x:c r="K97" s="61" t="str">
        <x:v>S051</x:v>
      </x:c>
      <x:c r="L97" s="70" t="str">
        <x:v>https://www.oregon.gov/dpsst/CJ/Pages/Cases.aspx</x:v>
      </x:c>
      <x:c r="M97" s="70" t="str">
        <x:v>https://www.oregon.gov/dpsst/CJ/Pages/Cases.aspx</x:v>
      </x:c>
      <x:c r="N97" s="61" t="str">
        <x:v>268466582</x:v>
      </x:c>
      <x:c r="O97" s="61" t="n">
        <x:v>1051</x:v>
      </x:c>
      <x:c r="P97" s="61" t="n">
        <x:v>15</x:v>
      </x:c>
      <x:c r="Q97" s="61" t="str">
        <x:v>2026-09-15</x:v>
      </x:c>
      <x:c r="R97" s="61" t="n">
        <x:v>1</x:v>
      </x:c>
      <x:c r="S97" s="61" t="str">
        <x:v>Contacts / records</x:v>
      </x:c>
      <x:c r="T97" s="61" t="str">
        <x:v>Scoped desk assessment</x:v>
      </x:c>
    </x:row>
    <x:row r="98" ht="105" customHeight="1">
      <x:c r="A98" s="61" t="n">
        <x:v>1124</x:v>
      </x:c>
      <x:c r="B98" s="61" t="str">
        <x:v>Plain View Project</x:v>
      </x:c>
      <x:c r="C98" s="61" t="str">
        <x:v>B</x:v>
      </x:c>
      <x:c r="D98" s="61" t="str">
        <x:v>Documented</x:v>
      </x:c>
      <x:c r="E98" s="61" t="str">
        <x:v>POLICE / LE / FED</x:v>
      </x:c>
      <x:c r="F98" s="61" t="str">
        <x:v>Selected archived public-post evidence</x:v>
      </x:c>
      <x:c r="G98" s="61" t="str">
        <x:v>Selected posts with source links; metadata is not continually updated. A shared post does not necessarily represent all of an author's views.</x:v>
      </x:c>
      <x:c r="H98" s="61" t="str">
        <x:v>Corroborate before attribution</x:v>
      </x:c>
      <x:c r="I98" s="61" t="str">
        <x:v>Dataset documentation readable; not a current complete profile</x:v>
      </x:c>
      <x:c r="J98" s="61" t="str">
        <x:v>Publisher methodology / caveats</x:v>
      </x:c>
      <x:c r="K98" s="61" t="str">
        <x:v>S063</x:v>
      </x:c>
      <x:c r="L98" s="70" t="str">
        <x:v>https://www.plainviewproject.org/data</x:v>
      </x:c>
      <x:c r="M98" s="70" t="str">
        <x:v>https://www.plainviewproject.org/data</x:v>
      </x:c>
      <x:c r="N98" s="61" t="str">
        <x:v>268470604</x:v>
      </x:c>
      <x:c r="O98" s="61" t="n">
        <x:v>1051</x:v>
      </x:c>
      <x:c r="P98" s="61" t="n">
        <x:v>18</x:v>
      </x:c>
      <x:c r="Q98" s="61" t="str">
        <x:v>2026-09-15</x:v>
      </x:c>
      <x:c r="R98" s="61" t="n">
        <x:v>1</x:v>
      </x:c>
      <x:c r="S98" s="61" t="str">
        <x:v>Contacts / records</x:v>
      </x:c>
      <x:c r="T98" s="61" t="str">
        <x:v>Scoped desk assessment</x:v>
      </x:c>
    </x:row>
    <x:row r="99" ht="105" customHeight="1">
      <x:c r="A99" s="61" t="n">
        <x:v>1126</x:v>
      </x:c>
      <x:c r="B99" s="61" t="str">
        <x:v>Policecrime.bgsu.edu</x:v>
      </x:c>
      <x:c r="C99" s="61" t="str">
        <x:v>B</x:v>
      </x:c>
      <x:c r="D99" s="61" t="str">
        <x:v>Documented</x:v>
      </x:c>
      <x:c r="E99" s="61" t="str">
        <x:v>POLICE / LE / FED</x:v>
      </x:c>
      <x:c r="F99" s="61" t="str">
        <x:v>Research dataset of officer criminal charges</x:v>
      </x:c>
      <x:c r="G99" s="61" t="str">
        <x:v>The described coverage is 2005–2021. Charges and arrests are not convictions; confirm disposition in the underlying court record.</x:v>
      </x:c>
      <x:c r="H99" s="61" t="str">
        <x:v>Corroborate before attribution</x:v>
      </x:c>
      <x:c r="I99" s="61" t="str">
        <x:v>Historical dataset description readable; no person query</x:v>
      </x:c>
      <x:c r="J99" s="61" t="str">
        <x:v>University dataset documentation</x:v>
      </x:c>
      <x:c r="K99" s="61" t="str">
        <x:v>S064</x:v>
      </x:c>
      <x:c r="L99" s="70" t="str">
        <x:v>https://policecrime.bgsu.edu/</x:v>
      </x:c>
      <x:c r="M99" s="70" t="str">
        <x:v>https://policecrime.bgsu.edu/</x:v>
      </x:c>
      <x:c r="N99" s="61" t="str">
        <x:v>268390880</x:v>
      </x:c>
      <x:c r="O99" s="61" t="n">
        <x:v>1051</x:v>
      </x:c>
      <x:c r="P99" s="61" t="n">
        <x:v>20</x:v>
      </x:c>
      <x:c r="Q99" s="61" t="str">
        <x:v>2026-09-15</x:v>
      </x:c>
      <x:c r="R99" s="61" t="n">
        <x:v>1</x:v>
      </x:c>
      <x:c r="S99" s="61" t="str">
        <x:v>Contacts / records</x:v>
      </x:c>
      <x:c r="T99" s="61" t="str">
        <x:v>Scoped desk assessment</x:v>
      </x:c>
    </x:row>
    <x:row r="100" ht="105" customHeight="1">
      <x:c r="A100" s="61" t="n">
        <x:v>1129</x:v>
      </x:c>
      <x:c r="B100" s="61" t="str">
        <x:v>Fatal Encounters</x:v>
      </x:c>
      <x:c r="C100" s="61" t="str">
        <x:v>B</x:v>
      </x:c>
      <x:c r="D100" s="61" t="str">
        <x:v>Documented</x:v>
      </x:c>
      <x:c r="E100" s="61" t="str">
        <x:v>POLICE / LE / FED</x:v>
      </x:c>
      <x:c r="F100" s="61" t="str">
        <x:v>Fatal-encounter research records</x:v>
      </x:c>
      <x:c r="G100" s="61" t="str">
        <x:v>Publisher documents coverage gaps and field limitations. A recorded encounter alone does not establish unlawful conduct.</x:v>
      </x:c>
      <x:c r="H100" s="61" t="str">
        <x:v>Corroborate before attribution</x:v>
      </x:c>
      <x:c r="I100" s="61" t="str">
        <x:v>Content readable; lookup not tested</x:v>
      </x:c>
      <x:c r="J100" s="61" t="str">
        <x:v>Publisher methodology / caveats</x:v>
      </x:c>
      <x:c r="K100" s="61" t="str">
        <x:v>S065</x:v>
      </x:c>
      <x:c r="L100" s="70" t="str">
        <x:v>https://fatalencounters.org/people-search/</x:v>
      </x:c>
      <x:c r="M100" s="70" t="str">
        <x:v>https://fatalencounters.org/people-search/</x:v>
      </x:c>
      <x:c r="N100" s="61" t="str">
        <x:v>268390151</x:v>
      </x:c>
      <x:c r="O100" s="61" t="n">
        <x:v>1051</x:v>
      </x:c>
      <x:c r="P100" s="61" t="n">
        <x:v>23</x:v>
      </x:c>
      <x:c r="Q100" s="61" t="str">
        <x:v>2026-09-15</x:v>
      </x:c>
      <x:c r="R100" s="61" t="n">
        <x:v>1</x:v>
      </x:c>
      <x:c r="S100" s="61" t="str">
        <x:v>Contacts / records</x:v>
      </x:c>
      <x:c r="T100" s="61" t="str">
        <x:v>Scoped desk assessment</x:v>
      </x:c>
    </x:row>
    <x:row r="101" ht="105" customHeight="1">
      <x:c r="A101" s="61" t="n">
        <x:v>1130</x:v>
      </x:c>
      <x:c r="B101" s="61" t="str">
        <x:v>The NYPD Files</x:v>
      </x:c>
      <x:c r="C101" s="61" t="str">
        <x:v>B</x:v>
      </x:c>
      <x:c r="D101" s="61" t="str">
        <x:v>Documented</x:v>
      </x:c>
      <x:c r="E101" s="61" t="str">
        <x:v>POLICE / LE / FED</x:v>
      </x:c>
      <x:c r="F101" s="61" t="str">
        <x:v>Historical NYPD complaint archive only</x:v>
      </x:c>
      <x:c r="G101" s="61" t="str">
        <x:v>Publisher says last updated July 2020 and no longer updated. Records cover a defined historical subset; allegations differ from substantiated findings.</x:v>
      </x:c>
      <x:c r="H101" s="61" t="str">
        <x:v>Historical only; use current official records for present status</x:v>
      </x:c>
      <x:c r="I101" s="61" t="str">
        <x:v>Archived: no longer updated after July 2020</x:v>
      </x:c>
      <x:c r="J101" s="61" t="str">
        <x:v>Publisher update and methodology notice</x:v>
      </x:c>
      <x:c r="K101" s="61" t="str">
        <x:v>S066</x:v>
      </x:c>
      <x:c r="L101" s="70" t="str">
        <x:v>https://projects.propublica.org/nypd-ccrb/</x:v>
      </x:c>
      <x:c r="M101" s="70" t="str">
        <x:v>https://projects.propublica.org/nypd-ccrb/</x:v>
      </x:c>
      <x:c r="N101" s="61" t="str">
        <x:v>268390161</x:v>
      </x:c>
      <x:c r="O101" s="61" t="n">
        <x:v>1051</x:v>
      </x:c>
      <x:c r="P101" s="61" t="n">
        <x:v>24</x:v>
      </x:c>
      <x:c r="Q101" s="61" t="str">
        <x:v>2026-09-15</x:v>
      </x:c>
      <x:c r="R101" s="61" t="n">
        <x:v>1</x:v>
      </x:c>
      <x:c r="S101" s="61" t="str">
        <x:v>Contacts / records</x:v>
      </x:c>
      <x:c r="T101" s="61" t="str">
        <x:v>Scoped desk assessment</x:v>
      </x:c>
    </x:row>
    <x:row r="102" ht="105" customHeight="1">
      <x:c r="A102" s="61" t="n">
        <x:v>1133</x:v>
      </x:c>
      <x:c r="B102" s="61" t="str">
        <x:v>Mappingpoliceviolence.org</x:v>
      </x:c>
      <x:c r="C102" s="61" t="str">
        <x:v>B</x:v>
      </x:c>
      <x:c r="D102" s="61" t="str">
        <x:v>Documented</x:v>
      </x:c>
      <x:c r="E102" s="61" t="str">
        <x:v>POLICE / LE / FED</x:v>
      </x:c>
      <x:c r="F102" s="61" t="str">
        <x:v>Defined fatal-encounter dataset</x:v>
      </x:c>
      <x:c r="G102" s="61" t="str">
        <x:v>Published coding and review process. Definition includes legally justified and unjustified encounters; coding changes and data dates matter.</x:v>
      </x:c>
      <x:c r="H102" s="61" t="str">
        <x:v>Corroborate before attribution</x:v>
      </x:c>
      <x:c r="I102" s="61" t="str">
        <x:v>Methodology readable; data marked updated August 31, 2026</x:v>
      </x:c>
      <x:c r="J102" s="61" t="str">
        <x:v>Publisher methodology</x:v>
      </x:c>
      <x:c r="K102" s="61" t="str">
        <x:v>S077</x:v>
      </x:c>
      <x:c r="L102" s="70" t="str">
        <x:v>https://mappingpoliceviolence.org/methodology</x:v>
      </x:c>
      <x:c r="M102" s="70" t="str">
        <x:v>https://mappingpoliceviolence.org/</x:v>
      </x:c>
      <x:c r="N102" s="61" t="str">
        <x:v>268401482</x:v>
      </x:c>
      <x:c r="O102" s="61" t="n">
        <x:v>1051</x:v>
      </x:c>
      <x:c r="P102" s="61" t="n">
        <x:v>27</x:v>
      </x:c>
      <x:c r="Q102" s="61" t="str">
        <x:v>2026-09-15</x:v>
      </x:c>
      <x:c r="R102" s="61" t="n">
        <x:v>1</x:v>
      </x:c>
      <x:c r="S102" s="61" t="str">
        <x:v>Contacts / records</x:v>
      </x:c>
      <x:c r="T102" s="61" t="str">
        <x:v>Scoped desk assessment</x:v>
      </x:c>
    </x:row>
    <x:row r="103" ht="105" customHeight="1">
      <x:c r="A103" s="61" t="n">
        <x:v>1136</x:v>
      </x:c>
      <x:c r="B103" s="61" t="str">
        <x:v>Police Body-Worn Camera Footage Access Map</x:v>
      </x:c>
      <x:c r="C103" s="61" t="str">
        <x:v>N/A</x:v>
      </x:c>
      <x:c r="D103" s="61" t="str">
        <x:v>Documented</x:v>
      </x:c>
      <x:c r="E103" s="61" t="str">
        <x:v>POLICE / LE / FED</x:v>
      </x:c>
      <x:c r="F103" s="61" t="str">
        <x:v>Body-camera access reference</x:v>
      </x:c>
      <x:c r="G103" s="61" t="str">
        <x:v>Information about records-access rules, not a database establishing individual conduct. Check the applicable current rule before a records request.</x:v>
      </x:c>
      <x:c r="H103" s="61" t="str">
        <x:v>Reference only; verify applicable current rule</x:v>
      </x:c>
      <x:c r="I103" s="61" t="str">
        <x:v>Content readable; lookup not tested</x:v>
      </x:c>
      <x:c r="J103" s="61" t="str">
        <x:v>Publisher reference guide</x:v>
      </x:c>
      <x:c r="K103" s="61" t="str">
        <x:v>S054</x:v>
      </x:c>
      <x:c r="L103" s="70" t="str">
        <x:v>https://www.rcfp.org/resources/bodycams/</x:v>
      </x:c>
      <x:c r="M103" s="70" t="str">
        <x:v>https://www.rcfp.org/resources/bodycams/</x:v>
      </x:c>
      <x:c r="N103" s="61" t="str">
        <x:v>268401534</x:v>
      </x:c>
      <x:c r="O103" s="61" t="n">
        <x:v>1051</x:v>
      </x:c>
      <x:c r="P103" s="61" t="n">
        <x:v>30</x:v>
      </x:c>
      <x:c r="Q103" s="61" t="str">
        <x:v>2026-09-15</x:v>
      </x:c>
      <x:c r="R103" s="61" t="n">
        <x:v>1</x:v>
      </x:c>
      <x:c r="S103" s="61" t="str">
        <x:v>Contacts / records</x:v>
      </x:c>
      <x:c r="T103" s="61" t="str">
        <x:v>Scoped desk assessment</x:v>
      </x:c>
    </x:row>
    <x:row r="104" ht="105" customHeight="1">
      <x:c r="A104" s="61" t="n">
        <x:v>1138</x:v>
      </x:c>
      <x:c r="B104" s="61" t="str">
        <x:v>Civilian Office of Police Accountability</x:v>
      </x:c>
      <x:c r="C104" s="61" t="str">
        <x:v>A</x:v>
      </x:c>
      <x:c r="D104" s="61" t="str">
        <x:v>Documented</x:v>
      </x:c>
      <x:c r="E104" s="61" t="str">
        <x:v>POLICE / LE / FED</x:v>
      </x:c>
      <x:c r="F104" s="61" t="str">
        <x:v>Official Chicago COPA case reports</x:v>
      </x:c>
      <x:c r="G104" s="61" t="str">
        <x:v>Official investigative reports cover differing findings and outcomes. Read the final finding, not just the existence of a case.</x:v>
      </x:c>
      <x:c r="H104" s="61" t="str">
        <x:v>Verify exact official record</x:v>
      </x:c>
      <x:c r="I104" s="61" t="str">
        <x:v>Content readable; lookup not tested</x:v>
      </x:c>
      <x:c r="J104" s="61" t="str">
        <x:v>Official case-portal methodology</x:v>
      </x:c>
      <x:c r="K104" s="61" t="str">
        <x:v>S052</x:v>
      </x:c>
      <x:c r="L104" s="70" t="str">
        <x:v>https://www.chicagocopa.org/data-cases/case-portal/</x:v>
      </x:c>
      <x:c r="M104" s="70" t="str">
        <x:v>https://www.chicagocopa.org/data-cases/case-portal/</x:v>
      </x:c>
      <x:c r="N104" s="61" t="str">
        <x:v>268470018</x:v>
      </x:c>
      <x:c r="O104" s="61" t="n">
        <x:v>1051</x:v>
      </x:c>
      <x:c r="P104" s="61" t="n">
        <x:v>32</x:v>
      </x:c>
      <x:c r="Q104" s="61" t="str">
        <x:v>2026-09-15</x:v>
      </x:c>
      <x:c r="R104" s="61" t="n">
        <x:v>1</x:v>
      </x:c>
      <x:c r="S104" s="61" t="str">
        <x:v>Contacts / records</x:v>
      </x:c>
      <x:c r="T104" s="61" t="str">
        <x:v>Scoped desk assessment</x:v>
      </x:c>
    </x:row>
    <x:row r="105" ht="105" customHeight="1">
      <x:c r="A105" s="61" t="n">
        <x:v>1158</x:v>
      </x:c>
      <x:c r="B105" s="61" t="str">
        <x:v>NSOPW</x:v>
      </x:c>
      <x:c r="C105" s="61" t="str">
        <x:v>A</x:v>
      </x:c>
      <x:c r="D105" s="61" t="str">
        <x:v>Documented</x:v>
      </x:c>
      <x:c r="E105" s="61" t="str">
        <x:v>SEX OFFENDER</x:v>
      </x:c>
      <x:c r="F105" s="61" t="str">
        <x:v>Official U.S. registry-source portal</x:v>
      </x:c>
      <x:c r="G105" s="61" t="str">
        <x:v>DOJ-linked jurisdictional registry search. Check the originating registry, identifiers and dates; it is not a general criminal-record clearance.</x:v>
      </x:c>
      <x:c r="H105" s="61" t="str">
        <x:v>Verify exact official record</x:v>
      </x:c>
      <x:c r="I105" s="61" t="str">
        <x:v>Official portal readable; no person query</x:v>
      </x:c>
      <x:c r="J105" s="61" t="str">
        <x:v>Official portal</x:v>
      </x:c>
      <x:c r="K105" s="61" t="str">
        <x:v>S048</x:v>
      </x:c>
      <x:c r="L105" s="70" t="str">
        <x:v>https://www.nsopw.gov/?home=</x:v>
      </x:c>
      <x:c r="M105" s="70" t="str">
        <x:v>https://www.nsopw.gov/</x:v>
      </x:c>
      <x:c r="N105" s="61" t="str">
        <x:v>290985455</x:v>
      </x:c>
      <x:c r="O105" s="61" t="n">
        <x:v>1051</x:v>
      </x:c>
      <x:c r="P105" s="61" t="n">
        <x:v>2</x:v>
      </x:c>
      <x:c r="Q105" s="61" t="str">
        <x:v>2026-09-15</x:v>
      </x:c>
      <x:c r="R105" s="61" t="n">
        <x:v>1</x:v>
      </x:c>
      <x:c r="S105" s="61" t="str">
        <x:v>Contacts / records</x:v>
      </x:c>
      <x:c r="T105" s="61" t="str">
        <x:v>Scoped desk assessment</x:v>
      </x:c>
    </x:row>
    <x:row r="106" ht="105" customHeight="1">
      <x:c r="A106" s="61" t="n">
        <x:v>1159</x:v>
      </x:c>
      <x:c r="B106" s="61" t="str">
        <x:v>Sex Offender Registry Websites</x:v>
      </x:c>
      <x:c r="C106" s="61" t="str">
        <x:v>A</x:v>
      </x:c>
      <x:c r="D106" s="61" t="str">
        <x:v>Documented</x:v>
      </x:c>
      <x:c r="E106" s="61" t="str">
        <x:v>SEX OFFENDER</x:v>
      </x:c>
      <x:c r="F106" s="61" t="str">
        <x:v>Official directory of registry links</x:v>
      </x:c>
      <x:c r="G106" s="61" t="str">
        <x:v>FBI links to jurisdictional resources. This is a directory, not a second independently corroborating offender record.</x:v>
      </x:c>
      <x:c r="H106" s="61" t="str">
        <x:v>Follow the original jurisdiction's record</x:v>
      </x:c>
      <x:c r="I106" s="61" t="str">
        <x:v>Old bookmark redirects to official directory</x:v>
      </x:c>
      <x:c r="J106" s="61" t="str">
        <x:v>Official agency directory</x:v>
      </x:c>
      <x:c r="K106" s="61" t="str">
        <x:v>S049</x:v>
      </x:c>
      <x:c r="L106" s="70" t="str">
        <x:v>https://www.fbi.gov/how-we-can-help-you/online-safety/sex-offender-registry</x:v>
      </x:c>
      <x:c r="M106" s="70" t="str">
        <x:v>https://www.fbi.gov/scams-and-safety/sex-offender-registry</x:v>
      </x:c>
      <x:c r="N106" s="61" t="str">
        <x:v>290985457</x:v>
      </x:c>
      <x:c r="O106" s="61" t="n">
        <x:v>1051</x:v>
      </x:c>
      <x:c r="P106" s="61" t="n">
        <x:v>3</x:v>
      </x:c>
      <x:c r="Q106" s="61" t="str">
        <x:v>2026-09-15</x:v>
      </x:c>
      <x:c r="R106" s="61" t="n">
        <x:v>1</x:v>
      </x:c>
      <x:c r="S106" s="61" t="str">
        <x:v>Contacts / records</x:v>
      </x:c>
      <x:c r="T106" s="61" t="str">
        <x:v>Scoped desk assessment</x:v>
      </x:c>
    </x:row>
    <x:row r="107" ht="105" customHeight="1">
      <x:c r="A107" s="61" t="n">
        <x:v>1161</x:v>
      </x:c>
      <x:c r="B107" s="61" t="str">
        <x:v>Manitoba Sex Offender</x:v>
      </x:c>
      <x:c r="C107" s="61" t="str">
        <x:v>A</x:v>
      </x:c>
      <x:c r="D107" s="61" t="str">
        <x:v>Documented</x:v>
      </x:c>
      <x:c r="E107" s="61" t="str">
        <x:v>SEX OFFENDER</x:v>
      </x:c>
      <x:c r="F107" s="61" t="str">
        <x:v>Official Manitoba public notices</x:v>
      </x:c>
      <x:c r="G107" s="61" t="str">
        <x:v>Official public-notification page. Its scope is specific notices, not a complete Canada-wide list or a general background check.</x:v>
      </x:c>
      <x:c r="H107" s="61" t="str">
        <x:v>Verify exact official record</x:v>
      </x:c>
      <x:c r="I107" s="61" t="str">
        <x:v>Agency page readable; no person query</x:v>
      </x:c>
      <x:c r="J107" s="61" t="str">
        <x:v>Official agency page</x:v>
      </x:c>
      <x:c r="K107" s="61" t="str">
        <x:v>S050</x:v>
      </x:c>
      <x:c r="L107" s="70" t="str">
        <x:v>https://www.gov.mb.ca/justice/commsafe/notification/index.html</x:v>
      </x:c>
      <x:c r="M107" s="70" t="str">
        <x:v>https://www.gov.mb.ca/justice/commsafe/notification/index.html</x:v>
      </x:c>
      <x:c r="N107" s="61" t="str">
        <x:v>290985470</x:v>
      </x:c>
      <x:c r="O107" s="61" t="n">
        <x:v>1051</x:v>
      </x:c>
      <x:c r="P107" s="61" t="n">
        <x:v>5</x:v>
      </x:c>
      <x:c r="Q107" s="61" t="str">
        <x:v>2026-09-15</x:v>
      </x:c>
      <x:c r="R107" s="61" t="n">
        <x:v>1</x:v>
      </x:c>
      <x:c r="S107" s="61" t="str">
        <x:v>Contacts / records</x:v>
      </x:c>
      <x:c r="T107" s="61" t="str">
        <x:v>Scoped desk assessment</x:v>
      </x:c>
    </x:row>
  </x:sheetData>
  <x:mergeCells>
    <x:mergeCell ref="A1:J1"/>
    <x:mergeCell ref="A2:J3"/>
  </x:mergeCells>
  <x:conditionalFormatting sqref="C6:C107">
    <x:cfRule type="expression" dxfId="0" priority="1">
      <x:formula>C6="A"</x:formula>
    </x:cfRule>
    <x:cfRule type="expression" dxfId="1" priority="2">
      <x:formula>C6="B"</x:formula>
    </x:cfRule>
    <x:cfRule type="expression" dxfId="2" priority="3">
      <x:formula>C6="C"</x:formula>
    </x:cfRule>
    <x:cfRule type="expression" dxfId="3" priority="4">
      <x:formula>C6="D"</x:formula>
    </x:cfRule>
    <x:cfRule type="expression" dxfId="4" priority="5">
      <x:formula>C6="C-P"</x:formula>
    </x:cfRule>
    <x:cfRule type="expression" dxfId="5" priority="6">
      <x:formula>C6="U"</x:formula>
    </x:cfRule>
    <x:cfRule type="expression" dxfId="6" priority="7">
      <x:formula>C6="N/A"</x:formula>
    </x:cfRule>
  </x:conditionalFormatting>
  <x:pageMargins left="0.7" right="0.7" top="0.75" bottom="0.75" header="0.3" footer="0.3"/>
  <x:tableParts count="1">
    <x:tablePart xmlns:r="http://schemas.openxmlformats.org/officeDocument/2006/relationships" r:id="R34e7131e3ce149a0"/>
  </x:tableParts>
</x:worksheet>
</file>

<file path=xl/worksheets/sheet5.xml><?xml version="1.0" encoding="utf-8"?>
<x:worksheet xmlns:x="http://schemas.openxmlformats.org/spreadsheetml/2006/main">
  <x:sheetFormatPr defaultRowHeight="15"/>
  <x:cols>
    <x:col min="1" max="1" width="7" hidden="0" customWidth="1"/>
    <x:col min="2" max="2" width="33" hidden="0" customWidth="1"/>
    <x:col min="3" max="3" width="10" hidden="0" customWidth="1"/>
    <x:col min="4" max="4" width="22" hidden="0" customWidth="1"/>
    <x:col min="5" max="5" width="26" hidden="0" customWidth="1"/>
    <x:col min="6" max="6" width="35" hidden="0" customWidth="1"/>
    <x:col min="7" max="7" width="68" hidden="0" customWidth="1"/>
    <x:col min="8" max="8" width="42" hidden="0" customWidth="1"/>
    <x:col min="9" max="9" width="45" hidden="0" customWidth="1"/>
    <x:col min="10" max="10" width="38" hidden="0" customWidth="1"/>
    <x:col min="11" max="11" width="15" hidden="0" customWidth="1"/>
    <x:col min="12" max="12" width="58" hidden="0" customWidth="1"/>
    <x:col min="13" max="13" width="56" hidden="0" customWidth="1"/>
    <x:col min="14" max="14" width="18" hidden="0" customWidth="1"/>
    <x:col min="15" max="15" width="11" hidden="0" customWidth="1"/>
    <x:col min="16" max="16" width="13" hidden="0" customWidth="1"/>
    <x:col min="17" max="17" width="14" hidden="0" customWidth="1"/>
    <x:col min="18" max="18" width="13" hidden="0" customWidth="1"/>
    <x:col min="19" max="19" width="23" hidden="0" customWidth="1"/>
    <x:col min="20" max="20" width="24" hidden="0" customWidth="1"/>
  </x:cols>
  <x:sheetData>
    <x:row r="1" ht="38" customHeight="1">
      <x:c r="A1" s="6" t="str">
        <x:v>CONTACTS &amp; RECORDS | focused inventory</x:v>
      </x:c>
      <x:c r="B1" s="6"/>
      <x:c r="C1" s="6"/>
      <x:c r="D1" s="6"/>
      <x:c r="E1" s="6"/>
      <x:c r="F1" s="6"/>
      <x:c r="G1" s="6"/>
      <x:c r="H1" s="6"/>
      <x:c r="I1" s="6"/>
      <x:c r="J1" s="6"/>
      <x:c r="K1" s="6"/>
      <x:c r="L1" s="6"/>
      <x:c r="M1" s="6"/>
      <x:c r="N1" s="6"/>
      <x:c r="O1" s="6"/>
      <x:c r="P1" s="6"/>
      <x:c r="Q1" s="6"/>
      <x:c r="R1" s="6"/>
      <x:c r="S1" s="6"/>
      <x:c r="T1" s="6"/>
    </x:row>
    <x:row r="2">
      <x:c r="A2" s="58" t="str">
        <x:v>220 bookmarks relevant to contact or record research. This view includes Documented, Provisional, Access unresolved, Unassessed and Utility entries; read Grade together with Review basis.</x:v>
      </x:c>
      <x:c r="B2" s="58"/>
      <x:c r="C2" s="58"/>
      <x:c r="D2" s="58"/>
      <x:c r="E2" s="58"/>
      <x:c r="F2" s="58"/>
      <x:c r="G2" s="58"/>
      <x:c r="H2" s="58"/>
      <x:c r="I2" s="58"/>
      <x:c r="J2" s="58"/>
    </x:row>
    <x:row r="3">
      <x:c r="A3" s="58"/>
      <x:c r="B3" s="58"/>
      <x:c r="C3" s="58"/>
      <x:c r="D3" s="58"/>
      <x:c r="E3" s="58"/>
      <x:c r="F3" s="58"/>
      <x:c r="G3" s="58"/>
      <x:c r="H3" s="58"/>
      <x:c r="I3" s="58"/>
      <x:c r="J3" s="58"/>
    </x:row>
    <x:row r="5" ht="32" customHeight="1">
      <x:c r="A5" s="66" t="str">
        <x:v>ID</x:v>
      </x:c>
      <x:c r="B5" s="66" t="str">
        <x:v>Resource (original label)</x:v>
      </x:c>
      <x:c r="C5" s="66" t="str">
        <x:v>Grade</x:v>
      </x:c>
      <x:c r="D5" s="66" t="str">
        <x:v>Review basis</x:v>
      </x:c>
      <x:c r="E5" s="66" t="str">
        <x:v>Original section</x:v>
      </x:c>
      <x:c r="F5" s="66" t="str">
        <x:v>Scope of rating</x:v>
      </x:c>
      <x:c r="G5" s="66" t="str">
        <x:v>Main limitation</x:v>
      </x:c>
      <x:c r="H5" s="66" t="str">
        <x:v>Recommended use</x:v>
      </x:c>
      <x:c r="I5" s="66" t="str">
        <x:v>Availability / maintenance</x:v>
      </x:c>
      <x:c r="J5" s="66" t="str">
        <x:v>Review method</x:v>
      </x:c>
      <x:c r="K5" s="66" t="str">
        <x:v>Source IDs</x:v>
      </x:c>
      <x:c r="L5" s="66" t="str">
        <x:v>Evidence URLs</x:v>
      </x:c>
      <x:c r="M5" s="66" t="str">
        <x:v>Original bookmark URL</x:v>
      </x:c>
      <x:c r="N5" s="66" t="str">
        <x:v>Bookmark ID</x:v>
      </x:c>
      <x:c r="O5" s="66" t="str">
        <x:v>HTML line</x:v>
      </x:c>
      <x:c r="P5" s="66" t="str">
        <x:v>Order in section</x:v>
      </x:c>
      <x:c r="Q5" s="66" t="str">
        <x:v>Checked on</x:v>
      </x:c>
      <x:c r="R5" s="66" t="str">
        <x:v>Exact URL occurrences</x:v>
      </x:c>
      <x:c r="S5" s="66" t="str">
        <x:v>Priority</x:v>
      </x:c>
      <x:c r="T5" s="66" t="str">
        <x:v>Assessment confidence</x:v>
      </x:c>
    </x:row>
    <x:row r="6" ht="105" customHeight="1">
      <x:c r="A6" s="61" t="n">
        <x:v>79</x:v>
      </x:c>
      <x:c r="B6" s="61" t="str">
        <x:v>Wayback Machine</x:v>
      </x:c>
      <x:c r="C6" s="61" t="str">
        <x:v>B</x:v>
      </x:c>
      <x:c r="D6" s="61" t="str">
        <x:v>Documented</x:v>
      </x:c>
      <x:c r="E6" s="61" t="str">
        <x:v>PRODUCTIVITY</x:v>
      </x:c>
      <x:c r="F6" s="61" t="str">
        <x:v>Dated web-capture evidence</x:v>
      </x:c>
      <x:c r="G6" s="61" t="str">
        <x:v>Useful for what a captured page displayed. Captures can be incomplete and links can move between dates; an archived claim is not independently authenticated truth.</x:v>
      </x:c>
      <x:c r="H6" s="61" t="str">
        <x:v>Corroborate before attribution</x:v>
      </x:c>
      <x:c r="I6" s="61" t="str">
        <x:v>Help readable; individual captures not inspected</x:v>
      </x:c>
      <x:c r="J6" s="61" t="str">
        <x:v>Archive documentation</x:v>
      </x:c>
      <x:c r="K6" s="61" t="str">
        <x:v>S074</x:v>
      </x:c>
      <x:c r="L6" s="70" t="str">
        <x:v>https://help.archive.org/help/using-the-wayback-machine/</x:v>
      </x:c>
      <x:c r="M6" s="70" t="str">
        <x:v>https://web.archive.org/</x:v>
      </x:c>
      <x:c r="N6" s="61" t="str">
        <x:v>268408887</x:v>
      </x:c>
      <x:c r="O6" s="61" t="n">
        <x:v>994</x:v>
      </x:c>
      <x:c r="P6" s="61" t="n">
        <x:v>21</x:v>
      </x:c>
      <x:c r="Q6" s="61" t="str">
        <x:v>2026-09-15</x:v>
      </x:c>
      <x:c r="R6" s="61" t="n">
        <x:v>1</x:v>
      </x:c>
      <x:c r="S6" s="61" t="str">
        <x:v>Contacts / records</x:v>
      </x:c>
      <x:c r="T6" s="61" t="str">
        <x:v>Scoped desk assessment</x:v>
      </x:c>
    </x:row>
    <x:row r="7" ht="105" customHeight="1">
      <x:c r="A7" s="61" t="n">
        <x:v>293</x:v>
      </x:c>
      <x:c r="B7" s="61" t="str">
        <x:v>IntelTechniques OSINT</x:v>
      </x:c>
      <x:c r="C7" s="61" t="str">
        <x:v>C</x:v>
      </x:c>
      <x:c r="D7" s="61" t="str">
        <x:v>Documented</x:v>
      </x:c>
      <x:c r="E7" s="61" t="str">
        <x:v>UNIFIED SEARCH</x:v>
      </x:c>
      <x:c r="F7" s="61" t="str">
        <x:v>Search launcher / investigation utilities</x:v>
      </x:c>
      <x:c r="G7" s="61" t="str">
        <x:v>The tools page explicitly retains some nonfunctional tools. Its update date does not validate every module or external result.</x:v>
      </x:c>
      <x:c r="H7" s="61" t="str">
        <x:v>Corroborate before attribution</x:v>
      </x:c>
      <x:c r="I7" s="61" t="str">
        <x:v>Tools page readable; individual modules not run</x:v>
      </x:c>
      <x:c r="J7" s="61" t="str">
        <x:v>Provider documentation</x:v>
      </x:c>
      <x:c r="K7" s="61" t="str">
        <x:v>S055</x:v>
      </x:c>
      <x:c r="L7" s="70" t="str">
        <x:v>https://inteltechniques.com/tools/</x:v>
      </x:c>
      <x:c r="M7" s="70" t="str">
        <x:v>https://inteltechniques.com/tools/</x:v>
      </x:c>
      <x:c r="N7" s="61" t="str">
        <x:v>314726027</x:v>
      </x:c>
      <x:c r="O7" s="61" t="n">
        <x:v>1003</x:v>
      </x:c>
      <x:c r="P7" s="61" t="n">
        <x:v>1</x:v>
      </x:c>
      <x:c r="Q7" s="61" t="str">
        <x:v>2026-09-15</x:v>
      </x:c>
      <x:c r="R7" s="61" t="n">
        <x:v>1</x:v>
      </x:c>
      <x:c r="S7" s="61" t="str">
        <x:v>Contacts / records</x:v>
      </x:c>
      <x:c r="T7" s="61" t="str">
        <x:v>Scoped desk assessment</x:v>
      </x:c>
    </x:row>
    <x:row r="8" ht="105" customHeight="1">
      <x:c r="A8" s="61" t="n">
        <x:v>294</x:v>
      </x:c>
      <x:c r="B8" s="61" t="str">
        <x:v>SynapsInt</x:v>
      </x:c>
      <x:c r="C8" s="61" t="str">
        <x:v>C</x:v>
      </x:c>
      <x:c r="D8" s="61" t="str">
        <x:v>Documented</x:v>
      </x:c>
      <x:c r="E8" s="61" t="str">
        <x:v>UNIFIED SEARCH</x:v>
      </x:c>
      <x:c r="F8" s="61" t="str">
        <x:v>Multi-field discovery search</x:v>
      </x:c>
      <x:c r="G8" s="61" t="str">
        <x:v>Search interface for several identifier types. No independently tested matching accuracy or complete data provenance established in this review.</x:v>
      </x:c>
      <x:c r="H8" s="61" t="str">
        <x:v>Corroborate before attribution</x:v>
      </x:c>
      <x:c r="I8" s="61" t="str">
        <x:v>Content readable; lookup not tested</x:v>
      </x:c>
      <x:c r="J8" s="61" t="str">
        <x:v>Provider landing page</x:v>
      </x:c>
      <x:c r="K8" s="61" t="str">
        <x:v>S056</x:v>
      </x:c>
      <x:c r="L8" s="70" t="str">
        <x:v>https://synapsint.com/</x:v>
      </x:c>
      <x:c r="M8" s="70" t="str">
        <x:v>https://synapsint.com/</x:v>
      </x:c>
      <x:c r="N8" s="61" t="str">
        <x:v>268507161</x:v>
      </x:c>
      <x:c r="O8" s="61" t="n">
        <x:v>1003</x:v>
      </x:c>
      <x:c r="P8" s="61" t="n">
        <x:v>2</x:v>
      </x:c>
      <x:c r="Q8" s="61" t="str">
        <x:v>2026-09-15</x:v>
      </x:c>
      <x:c r="R8" s="61" t="n">
        <x:v>1</x:v>
      </x:c>
      <x:c r="S8" s="61" t="str">
        <x:v>Contacts / records</x:v>
      </x:c>
      <x:c r="T8" s="61" t="str">
        <x:v>Scoped desk assessment</x:v>
      </x:c>
    </x:row>
    <x:row r="9" ht="105" customHeight="1">
      <x:c r="A9" s="61" t="n">
        <x:v>295</x:v>
      </x:c>
      <x:c r="B9" s="61" t="str">
        <x:v>InfoTracer</x:v>
      </x:c>
      <x:c r="C9" s="61" t="str">
        <x:v>U</x:v>
      </x:c>
      <x:c r="D9" s="61" t="str">
        <x:v>Access unresolved</x:v>
      </x:c>
      <x:c r="E9" s="61" t="str">
        <x:v>UNIFIED SEARCH</x:v>
      </x:c>
      <x:c r="F9" s="61" t="str">
        <x:v>Multi-source discovery</x:v>
      </x:c>
      <x:c r="G9" s="61" t="str">
        <x:v>Several returned websites may share one underlying source. Verify the original record.</x:v>
      </x:c>
      <x:c r="H9" s="61" t="str">
        <x:v>Check manually; retrieval failure is not evidence the service is unreliable</x:v>
      </x:c>
      <x:c r="I9" s="61" t="str">
        <x:v>Unresolved reader access; website status unknown</x:v>
      </x:c>
      <x:c r="J9" s="61" t="str">
        <x:v>Fetch attempted; no usable substantive content</x:v>
      </x:c>
      <x:c r="K9" s="61" t="str"/>
      <x:c r="L9" s="70" t="str"/>
      <x:c r="M9" s="70" t="str">
        <x:v>https://infotracer.com/</x:v>
      </x:c>
      <x:c r="N9" s="61" t="str">
        <x:v>290381874</x:v>
      </x:c>
      <x:c r="O9" s="61" t="n">
        <x:v>1003</x:v>
      </x:c>
      <x:c r="P9" s="61" t="n">
        <x:v>3</x:v>
      </x:c>
      <x:c r="Q9" s="61" t="str">
        <x:v>2026-09-15</x:v>
      </x:c>
      <x:c r="R9" s="61" t="n">
        <x:v>1</x:v>
      </x:c>
      <x:c r="S9" s="61" t="str">
        <x:v>Contacts / records</x:v>
      </x:c>
      <x:c r="T9" s="61" t="str">
        <x:v>Not established</x:v>
      </x:c>
    </x:row>
    <x:row r="10" ht="105" customHeight="1">
      <x:c r="A10" s="61" t="n">
        <x:v>296</x:v>
      </x:c>
      <x:c r="B10" s="61" t="str">
        <x:v>MetaDefender</x:v>
      </x:c>
      <x:c r="C10" s="61" t="str">
        <x:v>B</x:v>
      </x:c>
      <x:c r="D10" s="61" t="str">
        <x:v>Documented</x:v>
      </x:c>
      <x:c r="E10" s="61" t="str">
        <x:v>UNIFIED SEARCH</x:v>
      </x:c>
      <x:c r="F10" s="61" t="str">
        <x:v>File and domain security analysis</x:v>
      </x:c>
      <x:c r="G10" s="61" t="str">
        <x:v>OPSWAT describes malware and threat-intelligence analysis. This is not a people-search database; scanner verdicts are not proof about a person.</x:v>
      </x:c>
      <x:c r="H10" s="61" t="str">
        <x:v>Corroborate before attribution</x:v>
      </x:c>
      <x:c r="I10" s="61" t="str">
        <x:v>Provider documentation readable; old bookmark redirects; nothing submitted</x:v>
      </x:c>
      <x:c r="J10" s="61" t="str">
        <x:v>Provider product documentation</x:v>
      </x:c>
      <x:c r="K10" s="61" t="str">
        <x:v>S094</x:v>
      </x:c>
      <x:c r="L10" s="70" t="str">
        <x:v>https://www.opswat.com/products/metadefender/cloud</x:v>
      </x:c>
      <x:c r="M10" s="70" t="str">
        <x:v>https://metadefender.opswat.com/</x:v>
      </x:c>
      <x:c r="N10" s="61" t="str">
        <x:v>286997900</x:v>
      </x:c>
      <x:c r="O10" s="61" t="n">
        <x:v>1003</x:v>
      </x:c>
      <x:c r="P10" s="61" t="n">
        <x:v>4</x:v>
      </x:c>
      <x:c r="Q10" s="61" t="str">
        <x:v>2026-09-15</x:v>
      </x:c>
      <x:c r="R10" s="61" t="n">
        <x:v>1</x:v>
      </x:c>
      <x:c r="S10" s="61" t="str">
        <x:v>Contacts / records</x:v>
      </x:c>
      <x:c r="T10" s="61" t="str">
        <x:v>Scoped desk assessment</x:v>
      </x:c>
    </x:row>
    <x:row r="11" ht="105" customHeight="1">
      <x:c r="A11" s="61" t="n">
        <x:v>297</x:v>
      </x:c>
      <x:c r="B11" s="61" t="str">
        <x:v>Username Search</x:v>
      </x:c>
      <x:c r="C11" s="61" t="str">
        <x:v>C</x:v>
      </x:c>
      <x:c r="D11" s="61" t="str">
        <x:v>Documented</x:v>
      </x:c>
      <x:c r="E11" s="61" t="str">
        <x:v>UNIFIED SEARCH</x:v>
      </x:c>
      <x:c r="F11" s="61" t="str">
        <x:v>Username-profile discovery</x:v>
      </x:c>
      <x:c r="G11" s="61" t="str">
        <x:v>The .org service describes username-only search; email search is directed elsewhere. Candidate profiles are not verified personal associations.</x:v>
      </x:c>
      <x:c r="H11" s="61" t="str">
        <x:v>Corroborate before attribution</x:v>
      </x:c>
      <x:c r="I11" s="61" t="str">
        <x:v>Content readable; lookup not tested</x:v>
      </x:c>
      <x:c r="J11" s="61" t="str">
        <x:v>Provider landing page</x:v>
      </x:c>
      <x:c r="K11" s="61" t="str">
        <x:v>S057</x:v>
      </x:c>
      <x:c r="L11" s="70" t="str">
        <x:v>https://usersearch.org/</x:v>
      </x:c>
      <x:c r="M11" s="70" t="str">
        <x:v>https://usersearch.org/</x:v>
      </x:c>
      <x:c r="N11" s="61" t="str">
        <x:v>268374426</x:v>
      </x:c>
      <x:c r="O11" s="61" t="n">
        <x:v>1003</x:v>
      </x:c>
      <x:c r="P11" s="61" t="n">
        <x:v>5</x:v>
      </x:c>
      <x:c r="Q11" s="61" t="str">
        <x:v>2026-09-15</x:v>
      </x:c>
      <x:c r="R11" s="61" t="n">
        <x:v>1</x:v>
      </x:c>
      <x:c r="S11" s="61" t="str">
        <x:v>Contacts / records</x:v>
      </x:c>
      <x:c r="T11" s="61" t="str">
        <x:v>Scoped desk assessment</x:v>
      </x:c>
    </x:row>
    <x:row r="12" ht="105" customHeight="1">
      <x:c r="A12" s="61" t="n">
        <x:v>298</x:v>
      </x:c>
      <x:c r="B12" s="61" t="str">
        <x:v>SpyTox</x:v>
      </x:c>
      <x:c r="C12" s="61" t="str">
        <x:v>U</x:v>
      </x:c>
      <x:c r="D12" s="61" t="str">
        <x:v>Access unresolved</x:v>
      </x:c>
      <x:c r="E12" s="61" t="str">
        <x:v>UNIFIED SEARCH</x:v>
      </x:c>
      <x:c r="F12" s="61" t="str">
        <x:v>Multi-source discovery</x:v>
      </x:c>
      <x:c r="G12" s="61" t="str">
        <x:v>Several returned websites may share one underlying source. Verify the original record.</x:v>
      </x:c>
      <x:c r="H12" s="61" t="str">
        <x:v>Check manually; retrieval failure is not evidence the service is unreliable</x:v>
      </x:c>
      <x:c r="I12" s="61" t="str">
        <x:v>Unresolved reader access; website status unknown</x:v>
      </x:c>
      <x:c r="J12" s="61" t="str">
        <x:v>Fetch attempted; no usable substantive content</x:v>
      </x:c>
      <x:c r="K12" s="61" t="str"/>
      <x:c r="L12" s="70" t="str"/>
      <x:c r="M12" s="70" t="str">
        <x:v>https://www.spytox.com/</x:v>
      </x:c>
      <x:c r="N12" s="61" t="str">
        <x:v>297339909</x:v>
      </x:c>
      <x:c r="O12" s="61" t="n">
        <x:v>1003</x:v>
      </x:c>
      <x:c r="P12" s="61" t="n">
        <x:v>6</x:v>
      </x:c>
      <x:c r="Q12" s="61" t="str">
        <x:v>2026-09-15</x:v>
      </x:c>
      <x:c r="R12" s="61" t="n">
        <x:v>1</x:v>
      </x:c>
      <x:c r="S12" s="61" t="str">
        <x:v>Contacts / records</x:v>
      </x:c>
      <x:c r="T12" s="61" t="str">
        <x:v>Not established</x:v>
      </x:c>
    </x:row>
    <x:row r="13" ht="105" customHeight="1">
      <x:c r="A13" s="61" t="n">
        <x:v>299</x:v>
      </x:c>
      <x:c r="B13" s="61" t="str">
        <x:v>Effect Group</x:v>
      </x:c>
      <x:c r="C13" s="61" t="str">
        <x:v>C</x:v>
      </x:c>
      <x:c r="D13" s="61" t="str">
        <x:v>Documented</x:v>
      </x:c>
      <x:c r="E13" s="61" t="str">
        <x:v>UNIFIED SEARCH</x:v>
      </x:c>
      <x:c r="F13" s="61" t="str">
        <x:v>Aggregated relationship leads</x:v>
      </x:c>
      <x:c r="G13" s="61" t="str">
        <x:v>Marketing examples are not evidence of real accuracy. Verify original sources for any returned identity, relative or contact connection.</x:v>
      </x:c>
      <x:c r="H13" s="61" t="str">
        <x:v>Corroborate before attribution</x:v>
      </x:c>
      <x:c r="I13" s="61" t="str">
        <x:v>Content readable; lookup not tested</x:v>
      </x:c>
      <x:c r="J13" s="61" t="str">
        <x:v>Provider landing page</x:v>
      </x:c>
      <x:c r="K13" s="61" t="str">
        <x:v>S058</x:v>
      </x:c>
      <x:c r="L13" s="70" t="str">
        <x:v>https://www.effectgroup.io/</x:v>
      </x:c>
      <x:c r="M13" s="70" t="str">
        <x:v>https://effectgroup.io/</x:v>
      </x:c>
      <x:c r="N13" s="61" t="str">
        <x:v>290063430</x:v>
      </x:c>
      <x:c r="O13" s="61" t="n">
        <x:v>1003</x:v>
      </x:c>
      <x:c r="P13" s="61" t="n">
        <x:v>7</x:v>
      </x:c>
      <x:c r="Q13" s="61" t="str">
        <x:v>2026-09-15</x:v>
      </x:c>
      <x:c r="R13" s="61" t="n">
        <x:v>1</x:v>
      </x:c>
      <x:c r="S13" s="61" t="str">
        <x:v>Contacts / records</x:v>
      </x:c>
      <x:c r="T13" s="61" t="str">
        <x:v>Scoped desk assessment</x:v>
      </x:c>
    </x:row>
    <x:row r="14" ht="105" customHeight="1">
      <x:c r="A14" s="61" t="n">
        <x:v>300</x:v>
      </x:c>
      <x:c r="B14" s="61" t="str">
        <x:v>osrframework</x:v>
      </x:c>
      <x:c r="C14" s="61" t="str">
        <x:v>C</x:v>
      </x:c>
      <x:c r="D14" s="61" t="str">
        <x:v>Documented</x:v>
      </x:c>
      <x:c r="E14" s="61" t="str">
        <x:v>UNIFIED SEARCH</x:v>
      </x:c>
      <x:c r="F14" s="61" t="str">
        <x:v>Software-assisted identifier discovery</x:v>
      </x:c>
      <x:c r="G14" s="61" t="str">
        <x:v>The linked PyPI release history stops at November 2021. Package age is a compatibility caution, not proof that every module is broken.</x:v>
      </x:c>
      <x:c r="H14" s="61" t="str">
        <x:v>Corroborate before attribution</x:v>
      </x:c>
      <x:c r="I14" s="61" t="str">
        <x:v>Package page readable; software not installed or run</x:v>
      </x:c>
      <x:c r="J14" s="61" t="str">
        <x:v>Maintainer package metadata</x:v>
      </x:c>
      <x:c r="K14" s="61" t="str">
        <x:v>S059</x:v>
      </x:c>
      <x:c r="L14" s="70" t="str">
        <x:v>https://pypi.org/project/osrframework/</x:v>
      </x:c>
      <x:c r="M14" s="70" t="str">
        <x:v>https://pypi.org/project/osrframework/</x:v>
      </x:c>
      <x:c r="N14" s="61" t="str">
        <x:v>286870545</x:v>
      </x:c>
      <x:c r="O14" s="61" t="n">
        <x:v>1003</x:v>
      </x:c>
      <x:c r="P14" s="61" t="n">
        <x:v>8</x:v>
      </x:c>
      <x:c r="Q14" s="61" t="str">
        <x:v>2026-09-15</x:v>
      </x:c>
      <x:c r="R14" s="61" t="n">
        <x:v>1</x:v>
      </x:c>
      <x:c r="S14" s="61" t="str">
        <x:v>Contacts / records</x:v>
      </x:c>
      <x:c r="T14" s="61" t="str">
        <x:v>Scoped desk assessment</x:v>
      </x:c>
    </x:row>
    <x:row r="15" ht="105" customHeight="1">
      <x:c r="A15" s="61" t="n">
        <x:v>301</x:v>
      </x:c>
      <x:c r="B15" s="61" t="str">
        <x:v>Google Custom Search</x:v>
      </x:c>
      <x:c r="C15" s="61" t="str">
        <x:v>C-P</x:v>
      </x:c>
      <x:c r="D15" s="61" t="str">
        <x:v>Provisional</x:v>
      </x:c>
      <x:c r="E15" s="61" t="str">
        <x:v>UNIFIED SEARCH</x:v>
      </x:c>
      <x:c r="F15" s="61" t="str">
        <x:v>Custom-search discovery only</x:v>
      </x:c>
      <x:c r="G15" s="61" t="str">
        <x:v>The saved URL identifies a custom search. This engine's configuration, coverage and query results were not tested.</x:v>
      </x:c>
      <x:c r="H15" s="61" t="str">
        <x:v>Open and verify the original result; do not count the search as corroboration</x:v>
      </x:c>
      <x:c r="I15" s="61" t="str">
        <x:v>Not checked</x:v>
      </x:c>
      <x:c r="J15" s="61" t="str">
        <x:v>Saved bookmark metadata only</x:v>
      </x:c>
      <x:c r="K15" s="61" t="str"/>
      <x:c r="L15" s="70" t="str"/>
      <x:c r="M15" s="70" t="str">
        <x:v>https://cse.google.com/cse?cx=017648920863780530960:lddgpbzqgoi</x:v>
      </x:c>
      <x:c r="N15" s="61" t="str">
        <x:v>290064970</x:v>
      </x:c>
      <x:c r="O15" s="61" t="n">
        <x:v>1003</x:v>
      </x:c>
      <x:c r="P15" s="61" t="n">
        <x:v>9</x:v>
      </x:c>
      <x:c r="Q15" s="61" t="str"/>
      <x:c r="R15" s="61" t="n">
        <x:v>1</x:v>
      </x:c>
      <x:c r="S15" s="61" t="str">
        <x:v>Contacts / records</x:v>
      </x:c>
      <x:c r="T15" s="61" t="str">
        <x:v>Low</x:v>
      </x:c>
    </x:row>
    <x:row r="16" ht="105" customHeight="1">
      <x:c r="A16" s="61" t="n">
        <x:v>302</x:v>
      </x:c>
      <x:c r="B16" s="61" t="str">
        <x:v>OSINT Search Engine</x:v>
      </x:c>
      <x:c r="C16" s="61" t="str">
        <x:v>C-P</x:v>
      </x:c>
      <x:c r="D16" s="61" t="str">
        <x:v>Provisional</x:v>
      </x:c>
      <x:c r="E16" s="61" t="str">
        <x:v>UNIFIED SEARCH</x:v>
      </x:c>
      <x:c r="F16" s="61" t="str">
        <x:v>Custom-search discovery only</x:v>
      </x:c>
      <x:c r="G16" s="61" t="str">
        <x:v>The saved URL identifies a custom search. This engine's configuration, coverage and query results were not tested.</x:v>
      </x:c>
      <x:c r="H16" s="61" t="str">
        <x:v>Open and verify the original result; do not count the search as corroboration</x:v>
      </x:c>
      <x:c r="I16" s="61" t="str">
        <x:v>Not checked</x:v>
      </x:c>
      <x:c r="J16" s="61" t="str">
        <x:v>Saved bookmark metadata only</x:v>
      </x:c>
      <x:c r="K16" s="61" t="str"/>
      <x:c r="L16" s="70" t="str"/>
      <x:c r="M16" s="70" t="str">
        <x:v>https://cse.google.com/cse/publicurl?cx=006290531980334157382:qcaf4enph7i</x:v>
      </x:c>
      <x:c r="N16" s="61" t="str">
        <x:v>290065381</x:v>
      </x:c>
      <x:c r="O16" s="61" t="n">
        <x:v>1003</x:v>
      </x:c>
      <x:c r="P16" s="61" t="n">
        <x:v>10</x:v>
      </x:c>
      <x:c r="Q16" s="61" t="str"/>
      <x:c r="R16" s="61" t="n">
        <x:v>1</x:v>
      </x:c>
      <x:c r="S16" s="61" t="str">
        <x:v>Contacts / records</x:v>
      </x:c>
      <x:c r="T16" s="61" t="str">
        <x:v>Low</x:v>
      </x:c>
    </x:row>
    <x:row r="17" ht="105" customHeight="1">
      <x:c r="A17" s="61" t="n">
        <x:v>303</x:v>
      </x:c>
      <x:c r="B17" s="61" t="str">
        <x:v>LinkScope</x:v>
      </x:c>
      <x:c r="C17" s="61" t="str">
        <x:v>N/A</x:v>
      </x:c>
      <x:c r="D17" s="61" t="str">
        <x:v>Documented</x:v>
      </x:c>
      <x:c r="E17" s="61" t="str">
        <x:v>UNIFIED SEARCH</x:v>
      </x:c>
      <x:c r="F17" s="61" t="str">
        <x:v>Graph-analysis software</x:v>
      </x:c>
      <x:c r="G17" s="61" t="str">
        <x:v>A graph represents imported or derived relationships; the visualization does not independently validate its edges.</x:v>
      </x:c>
      <x:c r="H17" s="61" t="str">
        <x:v>Attach evidence to each graph edge</x:v>
      </x:c>
      <x:c r="I17" s="61" t="str">
        <x:v>Repository documentation readable; software not run</x:v>
      </x:c>
      <x:c r="J17" s="61" t="str">
        <x:v>Maintainer documentation</x:v>
      </x:c>
      <x:c r="K17" s="61" t="str">
        <x:v>S060</x:v>
      </x:c>
      <x:c r="L17" s="70" t="str">
        <x:v>https://github.com/AccentuSoft/LinkScope_Client</x:v>
      </x:c>
      <x:c r="M17" s="70" t="str">
        <x:v>https://github.com/AccentuSoft/LinkScope_Client</x:v>
      </x:c>
      <x:c r="N17" s="61" t="str">
        <x:v>296690797</x:v>
      </x:c>
      <x:c r="O17" s="61" t="n">
        <x:v>1003</x:v>
      </x:c>
      <x:c r="P17" s="61" t="n">
        <x:v>11</x:v>
      </x:c>
      <x:c r="Q17" s="61" t="str">
        <x:v>2026-09-15</x:v>
      </x:c>
      <x:c r="R17" s="61" t="n">
        <x:v>1</x:v>
      </x:c>
      <x:c r="S17" s="61" t="str">
        <x:v>Contacts / records</x:v>
      </x:c>
      <x:c r="T17" s="61" t="str">
        <x:v>Scoped desk assessment</x:v>
      </x:c>
    </x:row>
    <x:row r="18" ht="105" customHeight="1">
      <x:c r="A18" s="61" t="n">
        <x:v>304</x:v>
      </x:c>
      <x:c r="B18" s="61" t="str">
        <x:v>IOA</x:v>
      </x:c>
      <x:c r="C18" s="61" t="str">
        <x:v>U</x:v>
      </x:c>
      <x:c r="D18" s="61" t="str">
        <x:v>Access unresolved</x:v>
      </x:c>
      <x:c r="E18" s="61" t="str">
        <x:v>UNIFIED SEARCH</x:v>
      </x:c>
      <x:c r="F18" s="61" t="str">
        <x:v>Multi-source discovery</x:v>
      </x:c>
      <x:c r="G18" s="61" t="str">
        <x:v>Several returned websites may share one underlying source. Verify the original record.</x:v>
      </x:c>
      <x:c r="H18" s="61" t="str">
        <x:v>Check manually; retrieval failure is not evidence the service is unreliable</x:v>
      </x:c>
      <x:c r="I18" s="61" t="str">
        <x:v>Unresolved reader access; website status unknown</x:v>
      </x:c>
      <x:c r="J18" s="61" t="str">
        <x:v>Fetch attempted; no usable substantive content</x:v>
      </x:c>
      <x:c r="K18" s="61" t="str"/>
      <x:c r="L18" s="70" t="str"/>
      <x:c r="M18" s="70" t="str">
        <x:v>https://www.io-archive.org/</x:v>
      </x:c>
      <x:c r="N18" s="61" t="str">
        <x:v>297339786</x:v>
      </x:c>
      <x:c r="O18" s="61" t="n">
        <x:v>1004</x:v>
      </x:c>
      <x:c r="P18" s="61" t="n">
        <x:v>12</x:v>
      </x:c>
      <x:c r="Q18" s="61" t="str">
        <x:v>2026-09-15</x:v>
      </x:c>
      <x:c r="R18" s="61" t="n">
        <x:v>1</x:v>
      </x:c>
      <x:c r="S18" s="61" t="str">
        <x:v>Contacts / records</x:v>
      </x:c>
      <x:c r="T18" s="61" t="str">
        <x:v>Not established</x:v>
      </x:c>
    </x:row>
    <x:row r="19" ht="105" customHeight="1">
      <x:c r="A19" s="61" t="n">
        <x:v>305</x:v>
      </x:c>
      <x:c r="B19" s="61" t="str">
        <x:v>Criminal IP</x:v>
      </x:c>
      <x:c r="C19" s="61" t="str">
        <x:v>B</x:v>
      </x:c>
      <x:c r="D19" s="61" t="str">
        <x:v>Documented</x:v>
      </x:c>
      <x:c r="E19" s="61" t="str">
        <x:v>UNIFIED SEARCH</x:v>
      </x:c>
      <x:c r="F19" s="61" t="str">
        <x:v>IP/domain threat-intelligence observations</x:v>
      </x:c>
      <x:c r="G19" s="61" t="str">
        <x:v>Technical security intelligence, not a person's criminal-history service. Preserve the observation date; network association is not human attribution.</x:v>
      </x:c>
      <x:c r="H19" s="61" t="str">
        <x:v>Corroborate before attribution</x:v>
      </x:c>
      <x:c r="I19" s="61" t="str">
        <x:v>Content readable; lookup not tested</x:v>
      </x:c>
      <x:c r="J19" s="61" t="str">
        <x:v>Provider product documentation</x:v>
      </x:c>
      <x:c r="K19" s="61" t="str">
        <x:v>S061</x:v>
      </x:c>
      <x:c r="L19" s="70" t="str">
        <x:v>https://www.criminalip.io/</x:v>
      </x:c>
      <x:c r="M19" s="70" t="str">
        <x:v>https://www.criminalip.io/</x:v>
      </x:c>
      <x:c r="N19" s="61" t="str">
        <x:v>309551357</x:v>
      </x:c>
      <x:c r="O19" s="61" t="n">
        <x:v>1004</x:v>
      </x:c>
      <x:c r="P19" s="61" t="n">
        <x:v>13</x:v>
      </x:c>
      <x:c r="Q19" s="61" t="str">
        <x:v>2026-09-15</x:v>
      </x:c>
      <x:c r="R19" s="61" t="n">
        <x:v>1</x:v>
      </x:c>
      <x:c r="S19" s="61" t="str">
        <x:v>Contacts / records</x:v>
      </x:c>
      <x:c r="T19" s="61" t="str">
        <x:v>Scoped desk assessment</x:v>
      </x:c>
    </x:row>
    <x:row r="20" ht="105" customHeight="1">
      <x:c r="A20" s="61" t="n">
        <x:v>306</x:v>
      </x:c>
      <x:c r="B20" s="61" t="str">
        <x:v>IDCrawl</x:v>
      </x:c>
      <x:c r="C20" s="61" t="str">
        <x:v>C</x:v>
      </x:c>
      <x:c r="D20" s="61" t="str">
        <x:v>Documented</x:v>
      </x:c>
      <x:c r="E20" s="61" t="str">
        <x:v>PEOPLE</x:v>
      </x:c>
      <x:c r="F20" s="61" t="str">
        <x:v>Public profile and contact discovery</x:v>
      </x:c>
      <x:c r="G20" s="61" t="str">
        <x:v>Aggregates profiles and public-record leads. Marketing claims were not independently validated; resolve identity at the original page.</x:v>
      </x:c>
      <x:c r="H20" s="61" t="str">
        <x:v>Corroborate before attribution</x:v>
      </x:c>
      <x:c r="I20" s="61" t="str">
        <x:v>Content readable; lookup not tested</x:v>
      </x:c>
      <x:c r="J20" s="61" t="str">
        <x:v>Provider landing page</x:v>
      </x:c>
      <x:c r="K20" s="61" t="str">
        <x:v>S001</x:v>
      </x:c>
      <x:c r="L20" s="70" t="str">
        <x:v>https://www.idcrawl.com/</x:v>
      </x:c>
      <x:c r="M20" s="70" t="str">
        <x:v>https://www.idcrawl.com/</x:v>
      </x:c>
      <x:c r="N20" s="61" t="str">
        <x:v>286823760</x:v>
      </x:c>
      <x:c r="O20" s="61" t="n">
        <x:v>1004</x:v>
      </x:c>
      <x:c r="P20" s="61" t="n">
        <x:v>1</x:v>
      </x:c>
      <x:c r="Q20" s="61" t="str">
        <x:v>2026-09-15</x:v>
      </x:c>
      <x:c r="R20" s="61" t="n">
        <x:v>1</x:v>
      </x:c>
      <x:c r="S20" s="61" t="str">
        <x:v>Contacts / records</x:v>
      </x:c>
      <x:c r="T20" s="61" t="str">
        <x:v>Scoped desk assessment</x:v>
      </x:c>
    </x:row>
    <x:row r="21" ht="105" customHeight="1">
      <x:c r="A21" s="61" t="n">
        <x:v>307</x:v>
      </x:c>
      <x:c r="B21" s="61" t="str">
        <x:v>WebMii</x:v>
      </x:c>
      <x:c r="C21" s="61" t="str">
        <x:v>C</x:v>
      </x:c>
      <x:c r="D21" s="61" t="str">
        <x:v>Documented</x:v>
      </x:c>
      <x:c r="E21" s="61" t="str">
        <x:v>PEOPLE</x:v>
      </x:c>
      <x:c r="F21" s="61" t="str">
        <x:v>Public-web name discovery</x:v>
      </x:c>
      <x:c r="G21" s="61" t="str">
        <x:v>Searches public-web information and offers keyword filtering for homonyms; not an identity-verification record.</x:v>
      </x:c>
      <x:c r="H21" s="61" t="str">
        <x:v>Corroborate before attribution</x:v>
      </x:c>
      <x:c r="I21" s="61" t="str">
        <x:v>Content readable; lookup not tested</x:v>
      </x:c>
      <x:c r="J21" s="61" t="str">
        <x:v>Provider landing page</x:v>
      </x:c>
      <x:c r="K21" s="61" t="str">
        <x:v>S002</x:v>
      </x:c>
      <x:c r="L21" s="70" t="str">
        <x:v>https://webmii.com/</x:v>
      </x:c>
      <x:c r="M21" s="70" t="str">
        <x:v>https://webmii.com/</x:v>
      </x:c>
      <x:c r="N21" s="61" t="str">
        <x:v>286686924</x:v>
      </x:c>
      <x:c r="O21" s="61" t="n">
        <x:v>1004</x:v>
      </x:c>
      <x:c r="P21" s="61" t="n">
        <x:v>2</x:v>
      </x:c>
      <x:c r="Q21" s="61" t="str">
        <x:v>2026-09-15</x:v>
      </x:c>
      <x:c r="R21" s="61" t="n">
        <x:v>1</x:v>
      </x:c>
      <x:c r="S21" s="61" t="str">
        <x:v>Contacts / records</x:v>
      </x:c>
      <x:c r="T21" s="61" t="str">
        <x:v>Scoped desk assessment</x:v>
      </x:c>
    </x:row>
    <x:row r="22" ht="105" customHeight="1">
      <x:c r="A22" s="61" t="n">
        <x:v>308</x:v>
      </x:c>
      <x:c r="B22" s="61" t="str">
        <x:v>Tools</x:v>
      </x:c>
      <x:c r="C22" s="61" t="str">
        <x:v>C</x:v>
      </x:c>
      <x:c r="D22" s="61" t="str">
        <x:v>Documented</x:v>
      </x:c>
      <x:c r="E22" s="61" t="str">
        <x:v>PEOPLE</x:v>
      </x:c>
      <x:c r="F22" s="61" t="str">
        <x:v>Third-party search launcher</x:v>
      </x:c>
      <x:c r="G22" s="61" t="str">
        <x:v>Routes searches to other services and disclaims their results. Multiple routed results are not automatically independent evidence.</x:v>
      </x:c>
      <x:c r="H22" s="61" t="str">
        <x:v>Corroborate before attribution</x:v>
      </x:c>
      <x:c r="I22" s="61" t="str">
        <x:v>Content readable; lookup not tested</x:v>
      </x:c>
      <x:c r="J22" s="61" t="str">
        <x:v>Provider documentation</x:v>
      </x:c>
      <x:c r="K22" s="61" t="str">
        <x:v>S003</x:v>
      </x:c>
      <x:c r="L22" s="70" t="str">
        <x:v>https://intelx.io/tools</x:v>
      </x:c>
      <x:c r="M22" s="70" t="str">
        <x:v>https://intelx.io/tools?tab=person</x:v>
      </x:c>
      <x:c r="N22" s="61" t="str">
        <x:v>311645321</x:v>
      </x:c>
      <x:c r="O22" s="61" t="n">
        <x:v>1004</x:v>
      </x:c>
      <x:c r="P22" s="61" t="n">
        <x:v>3</x:v>
      </x:c>
      <x:c r="Q22" s="61" t="str">
        <x:v>2026-09-15</x:v>
      </x:c>
      <x:c r="R22" s="61" t="n">
        <x:v>1</x:v>
      </x:c>
      <x:c r="S22" s="61" t="str">
        <x:v>Contacts / records</x:v>
      </x:c>
      <x:c r="T22" s="61" t="str">
        <x:v>Scoped desk assessment</x:v>
      </x:c>
    </x:row>
    <x:row r="23" ht="105" customHeight="1">
      <x:c r="A23" s="61" t="n">
        <x:v>309</x:v>
      </x:c>
      <x:c r="B23" s="61" t="str">
        <x:v>TruePeopleSearch</x:v>
      </x:c>
      <x:c r="C23" s="61" t="str">
        <x:v>U</x:v>
      </x:c>
      <x:c r="D23" s="61" t="str">
        <x:v>Access unresolved</x:v>
      </x:c>
      <x:c r="E23" s="61" t="str">
        <x:v>PEOPLE</x:v>
      </x:c>
      <x:c r="F23" s="61" t="str">
        <x:v>Identity / contact / relationship leads</x:v>
      </x:c>
      <x:c r="G23" s="61" t="str">
        <x:v>Do not turn a name, old address or suggested relative into a verified identity or relationship.</x:v>
      </x:c>
      <x:c r="H23" s="61" t="str">
        <x:v>Check manually; retrieval failure is not evidence the service is unreliable</x:v>
      </x:c>
      <x:c r="I23" s="61" t="str">
        <x:v>Unresolved reader access; website status unknown</x:v>
      </x:c>
      <x:c r="J23" s="61" t="str">
        <x:v>Fetch attempted; no usable substantive content</x:v>
      </x:c>
      <x:c r="K23" s="61" t="str"/>
      <x:c r="L23" s="70" t="str"/>
      <x:c r="M23" s="70" t="str">
        <x:v>https://www.truepeoplesearch.com/</x:v>
      </x:c>
      <x:c r="N23" s="61" t="str">
        <x:v>291767500</x:v>
      </x:c>
      <x:c r="O23" s="61" t="n">
        <x:v>1004</x:v>
      </x:c>
      <x:c r="P23" s="61" t="n">
        <x:v>4</x:v>
      </x:c>
      <x:c r="Q23" s="61" t="str">
        <x:v>2026-09-15</x:v>
      </x:c>
      <x:c r="R23" s="61" t="n">
        <x:v>1</x:v>
      </x:c>
      <x:c r="S23" s="61" t="str">
        <x:v>Contacts / records</x:v>
      </x:c>
      <x:c r="T23" s="61" t="str">
        <x:v>Not established</x:v>
      </x:c>
    </x:row>
    <x:row r="24" ht="105" customHeight="1">
      <x:c r="A24" s="61" t="n">
        <x:v>310</x:v>
      </x:c>
      <x:c r="B24" s="61" t="str">
        <x:v>Free People Search</x:v>
      </x:c>
      <x:c r="C24" s="61" t="str">
        <x:v>C</x:v>
      </x:c>
      <x:c r="D24" s="61" t="str">
        <x:v>Documented</x:v>
      </x:c>
      <x:c r="E24" s="61" t="str">
        <x:v>PEOPLE</x:v>
      </x:c>
      <x:c r="F24" s="61" t="str">
        <x:v>Aggregated people-search leads</x:v>
      </x:c>
      <x:c r="G24" s="61" t="str">
        <x:v>The page identifies Intelius as provider. Treat relationship/background claims as leads, not original records; listed FCRA uses are prohibited by its terms notice.</x:v>
      </x:c>
      <x:c r="H24" s="61" t="str">
        <x:v>Corroborate before attribution</x:v>
      </x:c>
      <x:c r="I24" s="61" t="str">
        <x:v>Content readable; lookup not tested</x:v>
      </x:c>
      <x:c r="J24" s="61" t="str">
        <x:v>Provider landing page</x:v>
      </x:c>
      <x:c r="K24" s="61" t="str">
        <x:v>S004</x:v>
      </x:c>
      <x:c r="L24" s="70" t="str">
        <x:v>https://www.peoplefinder.com/</x:v>
      </x:c>
      <x:c r="M24" s="70" t="str">
        <x:v>https://www.peoplefinder.com/</x:v>
      </x:c>
      <x:c r="N24" s="61" t="str">
        <x:v>291767493</x:v>
      </x:c>
      <x:c r="O24" s="61" t="n">
        <x:v>1004</x:v>
      </x:c>
      <x:c r="P24" s="61" t="n">
        <x:v>5</x:v>
      </x:c>
      <x:c r="Q24" s="61" t="str">
        <x:v>2026-09-15</x:v>
      </x:c>
      <x:c r="R24" s="61" t="n">
        <x:v>1</x:v>
      </x:c>
      <x:c r="S24" s="61" t="str">
        <x:v>Contacts / records</x:v>
      </x:c>
      <x:c r="T24" s="61" t="str">
        <x:v>Scoped desk assessment</x:v>
      </x:c>
    </x:row>
    <x:row r="25" ht="105" customHeight="1">
      <x:c r="A25" s="61" t="n">
        <x:v>311</x:v>
      </x:c>
      <x:c r="B25" s="61" t="str">
        <x:v>fastpeoplesearch</x:v>
      </x:c>
      <x:c r="C25" s="61" t="str">
        <x:v>U</x:v>
      </x:c>
      <x:c r="D25" s="61" t="str">
        <x:v>Access unresolved</x:v>
      </x:c>
      <x:c r="E25" s="61" t="str">
        <x:v>PEOPLE</x:v>
      </x:c>
      <x:c r="F25" s="61" t="str">
        <x:v>Identity / contact / relationship leads</x:v>
      </x:c>
      <x:c r="G25" s="61" t="str">
        <x:v>Do not turn a name, old address or suggested relative into a verified identity or relationship.</x:v>
      </x:c>
      <x:c r="H25" s="61" t="str">
        <x:v>Check manually; retrieval failure is not evidence the service is unreliable</x:v>
      </x:c>
      <x:c r="I25" s="61" t="str">
        <x:v>Unresolved reader access; website status unknown</x:v>
      </x:c>
      <x:c r="J25" s="61" t="str">
        <x:v>Fetch attempted; no usable substantive content</x:v>
      </x:c>
      <x:c r="K25" s="61" t="str"/>
      <x:c r="L25" s="70" t="str"/>
      <x:c r="M25" s="70" t="str">
        <x:v>https://fastpeoplesearch.com/</x:v>
      </x:c>
      <x:c r="N25" s="61" t="str">
        <x:v>297337659</x:v>
      </x:c>
      <x:c r="O25" s="61" t="n">
        <x:v>1004</x:v>
      </x:c>
      <x:c r="P25" s="61" t="n">
        <x:v>6</x:v>
      </x:c>
      <x:c r="Q25" s="61" t="str">
        <x:v>2026-09-15</x:v>
      </x:c>
      <x:c r="R25" s="61" t="n">
        <x:v>1</x:v>
      </x:c>
      <x:c r="S25" s="61" t="str">
        <x:v>Contacts / records</x:v>
      </x:c>
      <x:c r="T25" s="61" t="str">
        <x:v>Not established</x:v>
      </x:c>
    </x:row>
    <x:row r="26" ht="105" customHeight="1">
      <x:c r="A26" s="61" t="n">
        <x:v>312</x:v>
      </x:c>
      <x:c r="B26" s="61" t="str">
        <x:v>Yandex People Search</x:v>
      </x:c>
      <x:c r="C26" s="61" t="str">
        <x:v>U</x:v>
      </x:c>
      <x:c r="D26" s="61" t="str">
        <x:v>Access unresolved</x:v>
      </x:c>
      <x:c r="E26" s="61" t="str">
        <x:v>PEOPLE</x:v>
      </x:c>
      <x:c r="F26" s="61" t="str">
        <x:v>Identity / contact / relationship leads</x:v>
      </x:c>
      <x:c r="G26" s="61" t="str">
        <x:v>Do not turn a name, old address or suggested relative into a verified identity or relationship.</x:v>
      </x:c>
      <x:c r="H26" s="61" t="str">
        <x:v>Check manually; retrieval failure is not evidence the service is unreliable</x:v>
      </x:c>
      <x:c r="I26" s="61" t="str">
        <x:v>Unresolved reader access; website status unknown</x:v>
      </x:c>
      <x:c r="J26" s="61" t="str">
        <x:v>Fetch attempted; no usable substantive content</x:v>
      </x:c>
      <x:c r="K26" s="61" t="str"/>
      <x:c r="L26" s="70" t="str"/>
      <x:c r="M26" s="70" t="str">
        <x:v>https://yandex.ru/people</x:v>
      </x:c>
      <x:c r="N26" s="61" t="str">
        <x:v>291767509</x:v>
      </x:c>
      <x:c r="O26" s="61" t="n">
        <x:v>1004</x:v>
      </x:c>
      <x:c r="P26" s="61" t="n">
        <x:v>7</x:v>
      </x:c>
      <x:c r="Q26" s="61" t="str">
        <x:v>2026-09-15</x:v>
      </x:c>
      <x:c r="R26" s="61" t="n">
        <x:v>1</x:v>
      </x:c>
      <x:c r="S26" s="61" t="str">
        <x:v>Contacts / records</x:v>
      </x:c>
      <x:c r="T26" s="61" t="str">
        <x:v>Not established</x:v>
      </x:c>
    </x:row>
    <x:row r="27" ht="105" customHeight="1">
      <x:c r="A27" s="61" t="n">
        <x:v>313</x:v>
      </x:c>
      <x:c r="B27" s="61" t="str">
        <x:v>FamilyTree</x:v>
      </x:c>
      <x:c r="C27" s="61" t="str">
        <x:v>U</x:v>
      </x:c>
      <x:c r="D27" s="61" t="str">
        <x:v>Access unresolved</x:v>
      </x:c>
      <x:c r="E27" s="61" t="str">
        <x:v>PEOPLE</x:v>
      </x:c>
      <x:c r="F27" s="61" t="str">
        <x:v>Identity / contact / relationship leads</x:v>
      </x:c>
      <x:c r="G27" s="61" t="str">
        <x:v>Do not turn a name, old address or suggested relative into a verified identity or relationship.</x:v>
      </x:c>
      <x:c r="H27" s="61" t="str">
        <x:v>Check manually; retrieval failure is not evidence the service is unreliable</x:v>
      </x:c>
      <x:c r="I27" s="61" t="str">
        <x:v>Unresolved reader access; website status unknown</x:v>
      </x:c>
      <x:c r="J27" s="61" t="str">
        <x:v>Fetch attempted; no usable substantive content</x:v>
      </x:c>
      <x:c r="K27" s="61" t="str"/>
      <x:c r="L27" s="70" t="str"/>
      <x:c r="M27" s="70" t="str">
        <x:v>https://www.familytreenow.com/</x:v>
      </x:c>
      <x:c r="N27" s="61" t="str">
        <x:v>291767503</x:v>
      </x:c>
      <x:c r="O27" s="61" t="n">
        <x:v>1004</x:v>
      </x:c>
      <x:c r="P27" s="61" t="n">
        <x:v>8</x:v>
      </x:c>
      <x:c r="Q27" s="61" t="str">
        <x:v>2026-09-15</x:v>
      </x:c>
      <x:c r="R27" s="61" t="n">
        <x:v>1</x:v>
      </x:c>
      <x:c r="S27" s="61" t="str">
        <x:v>Contacts / records</x:v>
      </x:c>
      <x:c r="T27" s="61" t="str">
        <x:v>Not established</x:v>
      </x:c>
    </x:row>
    <x:row r="28" ht="105" customHeight="1">
      <x:c r="A28" s="61" t="n">
        <x:v>314</x:v>
      </x:c>
      <x:c r="B28" s="61" t="str">
        <x:v>People Search</x:v>
      </x:c>
      <x:c r="C28" s="61" t="str">
        <x:v>U</x:v>
      </x:c>
      <x:c r="D28" s="61" t="str">
        <x:v>Access unresolved</x:v>
      </x:c>
      <x:c r="E28" s="61" t="str">
        <x:v>PEOPLE</x:v>
      </x:c>
      <x:c r="F28" s="61" t="str">
        <x:v>Identity / contact / relationship leads</x:v>
      </x:c>
      <x:c r="G28" s="61" t="str">
        <x:v>Do not turn a name, old address or suggested relative into a verified identity or relationship.</x:v>
      </x:c>
      <x:c r="H28" s="61" t="str">
        <x:v>Check manually; retrieval failure is not evidence the service is unreliable</x:v>
      </x:c>
      <x:c r="I28" s="61" t="str">
        <x:v>Unresolved reader access; website status unknown</x:v>
      </x:c>
      <x:c r="J28" s="61" t="str">
        <x:v>Fetch attempted; no usable substantive content</x:v>
      </x:c>
      <x:c r="K28" s="61" t="str"/>
      <x:c r="L28" s="70" t="str"/>
      <x:c r="M28" s="70" t="str">
        <x:v>http://itools.com/search/people-search</x:v>
      </x:c>
      <x:c r="N28" s="61" t="str">
        <x:v>268408399</x:v>
      </x:c>
      <x:c r="O28" s="61" t="n">
        <x:v>1004</x:v>
      </x:c>
      <x:c r="P28" s="61" t="n">
        <x:v>9</x:v>
      </x:c>
      <x:c r="Q28" s="61" t="str">
        <x:v>2026-09-15</x:v>
      </x:c>
      <x:c r="R28" s="61" t="n">
        <x:v>1</x:v>
      </x:c>
      <x:c r="S28" s="61" t="str">
        <x:v>Contacts / records</x:v>
      </x:c>
      <x:c r="T28" s="61" t="str">
        <x:v>Not established</x:v>
      </x:c>
    </x:row>
    <x:row r="29" ht="105" customHeight="1">
      <x:c r="A29" s="61" t="n">
        <x:v>315</x:v>
      </x:c>
      <x:c r="B29" s="61" t="str">
        <x:v>People Search Engine</x:v>
      </x:c>
      <x:c r="C29" s="61" t="str">
        <x:v>C-P</x:v>
      </x:c>
      <x:c r="D29" s="61" t="str">
        <x:v>Provisional</x:v>
      </x:c>
      <x:c r="E29" s="61" t="str">
        <x:v>PEOPLE</x:v>
      </x:c>
      <x:c r="F29" s="61" t="str">
        <x:v>Custom-search discovery only</x:v>
      </x:c>
      <x:c r="G29" s="61" t="str">
        <x:v>The saved URL identifies a custom search. This engine's configuration, coverage and query results were not tested.</x:v>
      </x:c>
      <x:c r="H29" s="61" t="str">
        <x:v>Open and verify the original result; do not count the search as corroboration</x:v>
      </x:c>
      <x:c r="I29" s="61" t="str">
        <x:v>Not checked</x:v>
      </x:c>
      <x:c r="J29" s="61" t="str">
        <x:v>Saved bookmark metadata only</x:v>
      </x:c>
      <x:c r="K29" s="61" t="str"/>
      <x:c r="L29" s="70" t="str"/>
      <x:c r="M29" s="70" t="str">
        <x:v>https://cse.google.com/cse?cx=14db36e158cd791c0</x:v>
      </x:c>
      <x:c r="N29" s="61" t="str">
        <x:v>286819682</x:v>
      </x:c>
      <x:c r="O29" s="61" t="n">
        <x:v>1004</x:v>
      </x:c>
      <x:c r="P29" s="61" t="n">
        <x:v>10</x:v>
      </x:c>
      <x:c r="Q29" s="61" t="str"/>
      <x:c r="R29" s="61" t="n">
        <x:v>1</x:v>
      </x:c>
      <x:c r="S29" s="61" t="str">
        <x:v>Contacts / records</x:v>
      </x:c>
      <x:c r="T29" s="61" t="str">
        <x:v>Low</x:v>
      </x:c>
    </x:row>
    <x:row r="30" ht="105" customHeight="1">
      <x:c r="A30" s="61" t="n">
        <x:v>316</x:v>
      </x:c>
      <x:c r="B30" s="61" t="str">
        <x:v>Dating Sites Search Engine</x:v>
      </x:c>
      <x:c r="C30" s="61" t="str">
        <x:v>C-P</x:v>
      </x:c>
      <x:c r="D30" s="61" t="str">
        <x:v>Provisional</x:v>
      </x:c>
      <x:c r="E30" s="61" t="str">
        <x:v>PEOPLE</x:v>
      </x:c>
      <x:c r="F30" s="61" t="str">
        <x:v>Custom-search discovery only</x:v>
      </x:c>
      <x:c r="G30" s="61" t="str">
        <x:v>The saved URL identifies a custom search. This engine's configuration, coverage and query results were not tested.</x:v>
      </x:c>
      <x:c r="H30" s="61" t="str">
        <x:v>Open and verify the original result; do not count the search as corroboration</x:v>
      </x:c>
      <x:c r="I30" s="61" t="str">
        <x:v>Not checked</x:v>
      </x:c>
      <x:c r="J30" s="61" t="str">
        <x:v>Saved bookmark metadata only</x:v>
      </x:c>
      <x:c r="K30" s="61" t="str"/>
      <x:c r="L30" s="70" t="str"/>
      <x:c r="M30" s="70" t="str">
        <x:v>https://cse.google.com/cse?cx=c7b340447e1e12653</x:v>
      </x:c>
      <x:c r="N30" s="61" t="str">
        <x:v>286819707</x:v>
      </x:c>
      <x:c r="O30" s="61" t="n">
        <x:v>1004</x:v>
      </x:c>
      <x:c r="P30" s="61" t="n">
        <x:v>11</x:v>
      </x:c>
      <x:c r="Q30" s="61" t="str"/>
      <x:c r="R30" s="61" t="n">
        <x:v>1</x:v>
      </x:c>
      <x:c r="S30" s="61" t="str">
        <x:v>Contacts / records</x:v>
      </x:c>
      <x:c r="T30" s="61" t="str">
        <x:v>Low</x:v>
      </x:c>
    </x:row>
    <x:row r="31" ht="105" customHeight="1">
      <x:c r="A31" s="61" t="n">
        <x:v>317</x:v>
      </x:c>
      <x:c r="B31" s="61" t="str">
        <x:v>192</x:v>
      </x:c>
      <x:c r="C31" s="61" t="str">
        <x:v>B</x:v>
      </x:c>
      <x:c r="D31" s="61" t="str">
        <x:v>Documented</x:v>
      </x:c>
      <x:c r="E31" s="61" t="str">
        <x:v>PEOPLE</x:v>
      </x:c>
      <x:c r="F31" s="61" t="str">
        <x:v>Dated UK directory records</x:v>
      </x:c>
      <x:c r="G31" s="61" t="str">
        <x:v>Directory/electoral-roll discovery. Preserve the source year and record type; do not infer a current relationship from a shared listing.</x:v>
      </x:c>
      <x:c r="H31" s="61" t="str">
        <x:v>Corroborate before attribution</x:v>
      </x:c>
      <x:c r="I31" s="61" t="str">
        <x:v>Content readable; lookup not tested</x:v>
      </x:c>
      <x:c r="J31" s="61" t="str">
        <x:v>Provider landing page</x:v>
      </x:c>
      <x:c r="K31" s="61" t="str">
        <x:v>S005</x:v>
      </x:c>
      <x:c r="L31" s="70" t="str">
        <x:v>https://www.192.com/</x:v>
      </x:c>
      <x:c r="M31" s="70" t="str">
        <x:v>https://www.192.com/</x:v>
      </x:c>
      <x:c r="N31" s="61" t="str">
        <x:v>268408402</x:v>
      </x:c>
      <x:c r="O31" s="61" t="n">
        <x:v>1004</x:v>
      </x:c>
      <x:c r="P31" s="61" t="n">
        <x:v>12</x:v>
      </x:c>
      <x:c r="Q31" s="61" t="str">
        <x:v>2026-09-15</x:v>
      </x:c>
      <x:c r="R31" s="61" t="n">
        <x:v>1</x:v>
      </x:c>
      <x:c r="S31" s="61" t="str">
        <x:v>Contacts / records</x:v>
      </x:c>
      <x:c r="T31" s="61" t="str">
        <x:v>Scoped desk assessment</x:v>
      </x:c>
    </x:row>
    <x:row r="32" ht="105" customHeight="1">
      <x:c r="A32" s="61" t="n">
        <x:v>318</x:v>
      </x:c>
      <x:c r="B32" s="61" t="str">
        <x:v>International</x:v>
      </x:c>
      <x:c r="C32" s="61" t="str">
        <x:v>C</x:v>
      </x:c>
      <x:c r="D32" s="61" t="str">
        <x:v>Documented</x:v>
      </x:c>
      <x:c r="E32" s="61" t="str">
        <x:v>PEOPLE</x:v>
      </x:c>
      <x:c r="F32" s="61" t="str">
        <x:v>Business directory discovery</x:v>
      </x:c>
      <x:c r="G32" s="61" t="str">
        <x:v>Current landing page is an international business directory; the saved label 'International' is not a promise of complete people coverage.</x:v>
      </x:c>
      <x:c r="H32" s="61" t="str">
        <x:v>Corroborate before attribution</x:v>
      </x:c>
      <x:c r="I32" s="61" t="str">
        <x:v>Content readable; lookup not tested</x:v>
      </x:c>
      <x:c r="J32" s="61" t="str">
        <x:v>Provider landing page</x:v>
      </x:c>
      <x:c r="K32" s="61" t="str">
        <x:v>S006</x:v>
      </x:c>
      <x:c r="L32" s="70" t="str">
        <x:v>https://www.infobel.com/</x:v>
      </x:c>
      <x:c r="M32" s="70" t="str">
        <x:v>https://www.infobel.com/</x:v>
      </x:c>
      <x:c r="N32" s="61" t="str">
        <x:v>297341179</x:v>
      </x:c>
      <x:c r="O32" s="61" t="n">
        <x:v>1005</x:v>
      </x:c>
      <x:c r="P32" s="61" t="n">
        <x:v>13</x:v>
      </x:c>
      <x:c r="Q32" s="61" t="str">
        <x:v>2026-09-15</x:v>
      </x:c>
      <x:c r="R32" s="61" t="n">
        <x:v>1</x:v>
      </x:c>
      <x:c r="S32" s="61" t="str">
        <x:v>Contacts / records</x:v>
      </x:c>
      <x:c r="T32" s="61" t="str">
        <x:v>Scoped desk assessment</x:v>
      </x:c>
    </x:row>
    <x:row r="33" ht="105" customHeight="1">
      <x:c r="A33" s="61" t="n">
        <x:v>319</x:v>
      </x:c>
      <x:c r="B33" s="61" t="str">
        <x:v>People search Tool</x:v>
      </x:c>
      <x:c r="C33" s="61" t="str">
        <x:v>C</x:v>
      </x:c>
      <x:c r="D33" s="61" t="str">
        <x:v>Documented</x:v>
      </x:c>
      <x:c r="E33" s="61" t="str">
        <x:v>PEOPLE</x:v>
      </x:c>
      <x:c r="F33" s="61" t="str">
        <x:v>People query builder</x:v>
      </x:c>
      <x:c r="G33" s="61" t="str">
        <x:v>Generates searches for external engines. Assess the originating result rather than counting this tool as corroboration.</x:v>
      </x:c>
      <x:c r="H33" s="61" t="str">
        <x:v>Corroborate before attribution</x:v>
      </x:c>
      <x:c r="I33" s="61" t="str">
        <x:v>Content readable; lookup not tested</x:v>
      </x:c>
      <x:c r="J33" s="61" t="str">
        <x:v>Provider documentation</x:v>
      </x:c>
      <x:c r="K33" s="61" t="str">
        <x:v>S007</x:v>
      </x:c>
      <x:c r="L33" s="70" t="str">
        <x:v>https://www.aware-online.com/en/osint-tools/people-search-tool/</x:v>
      </x:c>
      <x:c r="M33" s="70" t="str">
        <x:v>https://www.aware-online.com/en/osint-tools/people-search-tool/</x:v>
      </x:c>
      <x:c r="N33" s="61" t="str">
        <x:v>268503236</x:v>
      </x:c>
      <x:c r="O33" s="61" t="n">
        <x:v>1005</x:v>
      </x:c>
      <x:c r="P33" s="61" t="n">
        <x:v>14</x:v>
      </x:c>
      <x:c r="Q33" s="61" t="str">
        <x:v>2026-09-15</x:v>
      </x:c>
      <x:c r="R33" s="61" t="n">
        <x:v>1</x:v>
      </x:c>
      <x:c r="S33" s="61" t="str">
        <x:v>Contacts / records</x:v>
      </x:c>
      <x:c r="T33" s="61" t="str">
        <x:v>Scoped desk assessment</x:v>
      </x:c>
    </x:row>
    <x:row r="34" ht="105" customHeight="1">
      <x:c r="A34" s="61" t="n">
        <x:v>320</x:v>
      </x:c>
      <x:c r="B34" s="61" t="str">
        <x:v>PeekYou</x:v>
      </x:c>
      <x:c r="C34" s="61" t="str">
        <x:v>U</x:v>
      </x:c>
      <x:c r="D34" s="61" t="str">
        <x:v>Access unresolved</x:v>
      </x:c>
      <x:c r="E34" s="61" t="str">
        <x:v>PEOPLE</x:v>
      </x:c>
      <x:c r="F34" s="61" t="str">
        <x:v>Identity / contact / relationship leads</x:v>
      </x:c>
      <x:c r="G34" s="61" t="str">
        <x:v>Do not turn a name, old address or suggested relative into a verified identity or relationship.</x:v>
      </x:c>
      <x:c r="H34" s="61" t="str">
        <x:v>Check manually; retrieval failure is not evidence the service is unreliable</x:v>
      </x:c>
      <x:c r="I34" s="61" t="str">
        <x:v>Unresolved reader access; website status unknown</x:v>
      </x:c>
      <x:c r="J34" s="61" t="str">
        <x:v>Fetch attempted; no usable substantive content</x:v>
      </x:c>
      <x:c r="K34" s="61" t="str"/>
      <x:c r="L34" s="70" t="str"/>
      <x:c r="M34" s="70" t="str">
        <x:v>https://www.peekyou.com/</x:v>
      </x:c>
      <x:c r="N34" s="61" t="str">
        <x:v>268408301</x:v>
      </x:c>
      <x:c r="O34" s="61" t="n">
        <x:v>1005</x:v>
      </x:c>
      <x:c r="P34" s="61" t="n">
        <x:v>15</x:v>
      </x:c>
      <x:c r="Q34" s="61" t="str">
        <x:v>2026-09-15</x:v>
      </x:c>
      <x:c r="R34" s="61" t="n">
        <x:v>1</x:v>
      </x:c>
      <x:c r="S34" s="61" t="str">
        <x:v>Contacts / records</x:v>
      </x:c>
      <x:c r="T34" s="61" t="str">
        <x:v>Not established</x:v>
      </x:c>
    </x:row>
    <x:row r="35" ht="105" customHeight="1">
      <x:c r="A35" s="61" t="n">
        <x:v>321</x:v>
      </x:c>
      <x:c r="B35" s="61" t="str">
        <x:v>White Pages</x:v>
      </x:c>
      <x:c r="C35" s="61" t="str">
        <x:v>U</x:v>
      </x:c>
      <x:c r="D35" s="61" t="str">
        <x:v>Access unresolved</x:v>
      </x:c>
      <x:c r="E35" s="61" t="str">
        <x:v>PEOPLE</x:v>
      </x:c>
      <x:c r="F35" s="61" t="str">
        <x:v>Identity / contact / relationship leads</x:v>
      </x:c>
      <x:c r="G35" s="61" t="str">
        <x:v>Do not turn a name, old address or suggested relative into a verified identity or relationship.</x:v>
      </x:c>
      <x:c r="H35" s="61" t="str">
        <x:v>Check manually; retrieval failure is not evidence the service is unreliable</x:v>
      </x:c>
      <x:c r="I35" s="61" t="str">
        <x:v>Unresolved reader access; website status unknown</x:v>
      </x:c>
      <x:c r="J35" s="61" t="str">
        <x:v>Fetch attempted; no usable substantive content</x:v>
      </x:c>
      <x:c r="K35" s="61" t="str"/>
      <x:c r="L35" s="70" t="str"/>
      <x:c r="M35" s="70" t="str">
        <x:v>https://www.whitepages.com/</x:v>
      </x:c>
      <x:c r="N35" s="61" t="str">
        <x:v>268390408</x:v>
      </x:c>
      <x:c r="O35" s="61" t="n">
        <x:v>1005</x:v>
      </x:c>
      <x:c r="P35" s="61" t="n">
        <x:v>16</x:v>
      </x:c>
      <x:c r="Q35" s="61" t="str">
        <x:v>2026-09-15</x:v>
      </x:c>
      <x:c r="R35" s="61" t="n">
        <x:v>1</x:v>
      </x:c>
      <x:c r="S35" s="61" t="str">
        <x:v>Contacts / records</x:v>
      </x:c>
      <x:c r="T35" s="61" t="str">
        <x:v>Not established</x:v>
      </x:c>
    </x:row>
    <x:row r="36" ht="105" customHeight="1">
      <x:c r="A36" s="61" t="n">
        <x:v>322</x:v>
      </x:c>
      <x:c r="B36" s="61" t="str">
        <x:v>New Canada 411</x:v>
      </x:c>
      <x:c r="C36" s="61" t="str">
        <x:v>U</x:v>
      </x:c>
      <x:c r="D36" s="61" t="str">
        <x:v>Access unresolved</x:v>
      </x:c>
      <x:c r="E36" s="61" t="str">
        <x:v>PEOPLE</x:v>
      </x:c>
      <x:c r="F36" s="61" t="str">
        <x:v>Identity / contact / relationship leads</x:v>
      </x:c>
      <x:c r="G36" s="61" t="str">
        <x:v>Do not turn a name, old address or suggested relative into a verified identity or relationship.</x:v>
      </x:c>
      <x:c r="H36" s="61" t="str">
        <x:v>Check manually; retrieval failure is not evidence the service is unreliable</x:v>
      </x:c>
      <x:c r="I36" s="61" t="str">
        <x:v>Unresolved reader access; website status unknown</x:v>
      </x:c>
      <x:c r="J36" s="61" t="str">
        <x:v>Fetch attempted; no usable substantive content</x:v>
      </x:c>
      <x:c r="K36" s="61" t="str"/>
      <x:c r="L36" s="70" t="str"/>
      <x:c r="M36" s="70" t="str">
        <x:v>https://www.canada411.ca/</x:v>
      </x:c>
      <x:c r="N36" s="61" t="str">
        <x:v>268390413</x:v>
      </x:c>
      <x:c r="O36" s="61" t="n">
        <x:v>1005</x:v>
      </x:c>
      <x:c r="P36" s="61" t="n">
        <x:v>17</x:v>
      </x:c>
      <x:c r="Q36" s="61" t="str">
        <x:v>2026-09-15</x:v>
      </x:c>
      <x:c r="R36" s="61" t="n">
        <x:v>1</x:v>
      </x:c>
      <x:c r="S36" s="61" t="str">
        <x:v>Contacts / records</x:v>
      </x:c>
      <x:c r="T36" s="61" t="str">
        <x:v>Not established</x:v>
      </x:c>
    </x:row>
    <x:row r="37" ht="105" customHeight="1">
      <x:c r="A37" s="61" t="n">
        <x:v>323</x:v>
      </x:c>
      <x:c r="B37" s="61" t="str">
        <x:v>411</x:v>
      </x:c>
      <x:c r="C37" s="61" t="str">
        <x:v>U</x:v>
      </x:c>
      <x:c r="D37" s="61" t="str">
        <x:v>Unassessed</x:v>
      </x:c>
      <x:c r="E37" s="61" t="str">
        <x:v>PEOPLE</x:v>
      </x:c>
      <x:c r="F37" s="61" t="str">
        <x:v>Identity / contact / relationship leads</x:v>
      </x:c>
      <x:c r="G37" s="61" t="str">
        <x:v>Do not turn a name, old address or suggested relative into a verified identity or relationship.</x:v>
      </x:c>
      <x:c r="H37" s="61" t="str">
        <x:v>Verify publisher, source and current function before reliance</x:v>
      </x:c>
      <x:c r="I37" s="61" t="str">
        <x:v>Not checked</x:v>
      </x:c>
      <x:c r="J37" s="61" t="str">
        <x:v>Saved bookmark metadata only</x:v>
      </x:c>
      <x:c r="K37" s="61" t="str"/>
      <x:c r="L37" s="70" t="str"/>
      <x:c r="M37" s="70" t="str">
        <x:v>http://411.com/</x:v>
      </x:c>
      <x:c r="N37" s="61" t="str">
        <x:v>268398085</x:v>
      </x:c>
      <x:c r="O37" s="61" t="n">
        <x:v>1005</x:v>
      </x:c>
      <x:c r="P37" s="61" t="n">
        <x:v>18</x:v>
      </x:c>
      <x:c r="Q37" s="61" t="str"/>
      <x:c r="R37" s="61" t="n">
        <x:v>1</x:v>
      </x:c>
      <x:c r="S37" s="61" t="str">
        <x:v>Contacts / records</x:v>
      </x:c>
      <x:c r="T37" s="61" t="str">
        <x:v>Not established</x:v>
      </x:c>
    </x:row>
    <x:row r="38" ht="105" customHeight="1">
      <x:c r="A38" s="61" t="n">
        <x:v>324</x:v>
      </x:c>
      <x:c r="B38" s="61" t="str">
        <x:v>TruthFinder</x:v>
      </x:c>
      <x:c r="C38" s="61" t="str">
        <x:v>D</x:v>
      </x:c>
      <x:c r="D38" s="61" t="str">
        <x:v>Documented</x:v>
      </x:c>
      <x:c r="E38" s="61" t="str">
        <x:v>PEOPLE</x:v>
      </x:c>
      <x:c r="F38" s="61" t="str">
        <x:v>Background and relationship claims</x:v>
      </x:c>
      <x:c r="G38" s="61" t="str">
        <x:v>FTC's 2023 complaint/settlement announcement documented accuracy and verification concerns. Historical caution, not a measured present-day error rate.</x:v>
      </x:c>
      <x:c r="H38" s="61" t="str">
        <x:v>Use original records instead</x:v>
      </x:c>
      <x:c r="I38" s="61" t="str">
        <x:v>Regulatory documentation read; service not tested</x:v>
      </x:c>
      <x:c r="J38" s="61" t="str">
        <x:v>Regulatory source</x:v>
      </x:c>
      <x:c r="K38" s="61" t="str">
        <x:v>S008</x:v>
      </x:c>
      <x:c r="L38" s="70" t="str">
        <x:v>https://www.ftc.gov/news-events/news/press-releases/2023/09/ftc-says-truthfinder-instant-checkmate-deceived-users-about-background-report-accuracy-violated-fcra</x:v>
      </x:c>
      <x:c r="M38" s="70" t="str">
        <x:v>https://www.truthfinder.com/</x:v>
      </x:c>
      <x:c r="N38" s="61" t="str">
        <x:v>268398195</x:v>
      </x:c>
      <x:c r="O38" s="61" t="n">
        <x:v>1005</x:v>
      </x:c>
      <x:c r="P38" s="61" t="n">
        <x:v>19</x:v>
      </x:c>
      <x:c r="Q38" s="61" t="str">
        <x:v>2026-09-15</x:v>
      </x:c>
      <x:c r="R38" s="61" t="n">
        <x:v>1</x:v>
      </x:c>
      <x:c r="S38" s="61" t="str">
        <x:v>Contacts / records</x:v>
      </x:c>
      <x:c r="T38" s="61" t="str">
        <x:v>Scoped desk assessment</x:v>
      </x:c>
    </x:row>
    <x:row r="39" ht="105" customHeight="1">
      <x:c r="A39" s="61" t="n">
        <x:v>325</x:v>
      </x:c>
      <x:c r="B39" s="61" t="str">
        <x:v>zaba search</x:v>
      </x:c>
      <x:c r="C39" s="61" t="str">
        <x:v>U</x:v>
      </x:c>
      <x:c r="D39" s="61" t="str">
        <x:v>Access unresolved</x:v>
      </x:c>
      <x:c r="E39" s="61" t="str">
        <x:v>PEOPLE</x:v>
      </x:c>
      <x:c r="F39" s="61" t="str">
        <x:v>Identity / contact / relationship leads</x:v>
      </x:c>
      <x:c r="G39" s="61" t="str">
        <x:v>Do not turn a name, old address or suggested relative into a verified identity or relationship.</x:v>
      </x:c>
      <x:c r="H39" s="61" t="str">
        <x:v>Check manually; retrieval failure is not evidence the service is unreliable</x:v>
      </x:c>
      <x:c r="I39" s="61" t="str">
        <x:v>Unresolved reader access; website status unknown</x:v>
      </x:c>
      <x:c r="J39" s="61" t="str">
        <x:v>Fetch attempted; no usable substantive content</x:v>
      </x:c>
      <x:c r="K39" s="61" t="str"/>
      <x:c r="L39" s="70" t="str"/>
      <x:c r="M39" s="70" t="str">
        <x:v>https://www.zabasearch.com/</x:v>
      </x:c>
      <x:c r="N39" s="61" t="str">
        <x:v>268404895</x:v>
      </x:c>
      <x:c r="O39" s="61" t="n">
        <x:v>1005</x:v>
      </x:c>
      <x:c r="P39" s="61" t="n">
        <x:v>20</x:v>
      </x:c>
      <x:c r="Q39" s="61" t="str">
        <x:v>2026-09-15</x:v>
      </x:c>
      <x:c r="R39" s="61" t="n">
        <x:v>1</x:v>
      </x:c>
      <x:c r="S39" s="61" t="str">
        <x:v>Contacts / records</x:v>
      </x:c>
      <x:c r="T39" s="61" t="str">
        <x:v>Not established</x:v>
      </x:c>
    </x:row>
    <x:row r="40" ht="105" customHeight="1">
      <x:c r="A40" s="61" t="n">
        <x:v>326</x:v>
      </x:c>
      <x:c r="B40" s="61" t="str">
        <x:v>Thats them</x:v>
      </x:c>
      <x:c r="C40" s="61" t="str">
        <x:v>U</x:v>
      </x:c>
      <x:c r="D40" s="61" t="str">
        <x:v>Access unresolved</x:v>
      </x:c>
      <x:c r="E40" s="61" t="str">
        <x:v>PEOPLE</x:v>
      </x:c>
      <x:c r="F40" s="61" t="str">
        <x:v>Identity / contact / relationship leads</x:v>
      </x:c>
      <x:c r="G40" s="61" t="str">
        <x:v>Do not turn a name, old address or suggested relative into a verified identity or relationship.</x:v>
      </x:c>
      <x:c r="H40" s="61" t="str">
        <x:v>Check manually; retrieval failure is not evidence the service is unreliable</x:v>
      </x:c>
      <x:c r="I40" s="61" t="str">
        <x:v>Unresolved reader access; website status unknown</x:v>
      </x:c>
      <x:c r="J40" s="61" t="str">
        <x:v>Fetch attempted; no usable substantive content</x:v>
      </x:c>
      <x:c r="K40" s="61" t="str"/>
      <x:c r="L40" s="70" t="str"/>
      <x:c r="M40" s="70" t="str">
        <x:v>https://thatsthem.com/</x:v>
      </x:c>
      <x:c r="N40" s="61" t="str">
        <x:v>268408306</x:v>
      </x:c>
      <x:c r="O40" s="61" t="n">
        <x:v>1005</x:v>
      </x:c>
      <x:c r="P40" s="61" t="n">
        <x:v>21</x:v>
      </x:c>
      <x:c r="Q40" s="61" t="str">
        <x:v>2026-09-15</x:v>
      </x:c>
      <x:c r="R40" s="61" t="n">
        <x:v>1</x:v>
      </x:c>
      <x:c r="S40" s="61" t="str">
        <x:v>Contacts / records</x:v>
      </x:c>
      <x:c r="T40" s="61" t="str">
        <x:v>Not established</x:v>
      </x:c>
    </x:row>
    <x:row r="41" ht="105" customHeight="1">
      <x:c r="A41" s="61" t="n">
        <x:v>327</x:v>
      </x:c>
      <x:c r="B41" s="61" t="str">
        <x:v>People search</x:v>
      </x:c>
      <x:c r="C41" s="61" t="str">
        <x:v>U</x:v>
      </x:c>
      <x:c r="D41" s="61" t="str">
        <x:v>Access unresolved</x:v>
      </x:c>
      <x:c r="E41" s="61" t="str">
        <x:v>PEOPLE</x:v>
      </x:c>
      <x:c r="F41" s="61" t="str">
        <x:v>Identity / contact / relationship leads</x:v>
      </x:c>
      <x:c r="G41" s="61" t="str">
        <x:v>Do not turn a name, old address or suggested relative into a verified identity or relationship.</x:v>
      </x:c>
      <x:c r="H41" s="61" t="str">
        <x:v>Check manually; retrieval failure is not evidence the service is unreliable</x:v>
      </x:c>
      <x:c r="I41" s="61" t="str">
        <x:v>Unresolved reader access; website status unknown</x:v>
      </x:c>
      <x:c r="J41" s="61" t="str">
        <x:v>Fetch attempted; no usable substantive content</x:v>
      </x:c>
      <x:c r="K41" s="61" t="str"/>
      <x:c r="L41" s="70" t="str"/>
      <x:c r="M41" s="70" t="str">
        <x:v>https://radaris.com/</x:v>
      </x:c>
      <x:c r="N41" s="61" t="str">
        <x:v>268408352</x:v>
      </x:c>
      <x:c r="O41" s="61" t="n">
        <x:v>1005</x:v>
      </x:c>
      <x:c r="P41" s="61" t="n">
        <x:v>22</x:v>
      </x:c>
      <x:c r="Q41" s="61" t="str">
        <x:v>2026-09-15</x:v>
      </x:c>
      <x:c r="R41" s="61" t="n">
        <x:v>1</x:v>
      </x:c>
      <x:c r="S41" s="61" t="str">
        <x:v>Contacts / records</x:v>
      </x:c>
      <x:c r="T41" s="61" t="str">
        <x:v>Not established</x:v>
      </x:c>
    </x:row>
    <x:row r="42" ht="105" customHeight="1">
      <x:c r="A42" s="61" t="n">
        <x:v>328</x:v>
      </x:c>
      <x:c r="B42" s="61" t="str">
        <x:v>No.1 Free People Search</x:v>
      </x:c>
      <x:c r="C42" s="61" t="str">
        <x:v>U</x:v>
      </x:c>
      <x:c r="D42" s="61" t="str">
        <x:v>Access unresolved</x:v>
      </x:c>
      <x:c r="E42" s="61" t="str">
        <x:v>PEOPLE</x:v>
      </x:c>
      <x:c r="F42" s="61" t="str">
        <x:v>Identity / contact / relationship leads</x:v>
      </x:c>
      <x:c r="G42" s="61" t="str">
        <x:v>Do not turn a name, old address or suggested relative into a verified identity or relationship.</x:v>
      </x:c>
      <x:c r="H42" s="61" t="str">
        <x:v>Check manually; retrieval failure is not evidence the service is unreliable</x:v>
      </x:c>
      <x:c r="I42" s="61" t="str">
        <x:v>Unresolved reader access; website status unknown</x:v>
      </x:c>
      <x:c r="J42" s="61" t="str">
        <x:v>Fetch attempted; no usable substantive content</x:v>
      </x:c>
      <x:c r="K42" s="61" t="str"/>
      <x:c r="L42" s="70" t="str"/>
      <x:c r="M42" s="70" t="str">
        <x:v>http://www.yasni.com/</x:v>
      </x:c>
      <x:c r="N42" s="61" t="str">
        <x:v>268408353</x:v>
      </x:c>
      <x:c r="O42" s="61" t="n">
        <x:v>1005</x:v>
      </x:c>
      <x:c r="P42" s="61" t="n">
        <x:v>23</x:v>
      </x:c>
      <x:c r="Q42" s="61" t="str">
        <x:v>2026-09-15</x:v>
      </x:c>
      <x:c r="R42" s="61" t="n">
        <x:v>1</x:v>
      </x:c>
      <x:c r="S42" s="61" t="str">
        <x:v>Contacts / records</x:v>
      </x:c>
      <x:c r="T42" s="61" t="str">
        <x:v>Not established</x:v>
      </x:c>
    </x:row>
    <x:row r="43" ht="105" customHeight="1">
      <x:c r="A43" s="61" t="n">
        <x:v>329</x:v>
      </x:c>
      <x:c r="B43" s="61" t="str">
        <x:v>Gofindwho.com</x:v>
      </x:c>
      <x:c r="C43" s="61" t="str">
        <x:v>U</x:v>
      </x:c>
      <x:c r="D43" s="61" t="str">
        <x:v>Access unresolved</x:v>
      </x:c>
      <x:c r="E43" s="61" t="str">
        <x:v>PEOPLE</x:v>
      </x:c>
      <x:c r="F43" s="61" t="str">
        <x:v>Identity / contact / relationship leads</x:v>
      </x:c>
      <x:c r="G43" s="61" t="str">
        <x:v>Do not turn a name, old address or suggested relative into a verified identity or relationship.</x:v>
      </x:c>
      <x:c r="H43" s="61" t="str">
        <x:v>Check manually; retrieval failure is not evidence the service is unreliable</x:v>
      </x:c>
      <x:c r="I43" s="61" t="str">
        <x:v>Unresolved reader access; website status unknown</x:v>
      </x:c>
      <x:c r="J43" s="61" t="str">
        <x:v>Fetch attempted; no usable substantive content</x:v>
      </x:c>
      <x:c r="K43" s="61" t="str"/>
      <x:c r="L43" s="70" t="str"/>
      <x:c r="M43" s="70" t="str">
        <x:v>https://gofindwho.com/</x:v>
      </x:c>
      <x:c r="N43" s="61" t="str">
        <x:v>286825968</x:v>
      </x:c>
      <x:c r="O43" s="61" t="n">
        <x:v>1005</x:v>
      </x:c>
      <x:c r="P43" s="61" t="n">
        <x:v>24</x:v>
      </x:c>
      <x:c r="Q43" s="61" t="str">
        <x:v>2026-09-15</x:v>
      </x:c>
      <x:c r="R43" s="61" t="n">
        <x:v>1</x:v>
      </x:c>
      <x:c r="S43" s="61" t="str">
        <x:v>Contacts / records</x:v>
      </x:c>
      <x:c r="T43" s="61" t="str">
        <x:v>Not established</x:v>
      </x:c>
    </x:row>
    <x:row r="44" ht="105" customHeight="1">
      <x:c r="A44" s="61" t="n">
        <x:v>330</x:v>
      </x:c>
      <x:c r="B44" s="61" t="str">
        <x:v>xlek</x:v>
      </x:c>
      <x:c r="C44" s="61" t="str">
        <x:v>U</x:v>
      </x:c>
      <x:c r="D44" s="61" t="str">
        <x:v>Access unresolved</x:v>
      </x:c>
      <x:c r="E44" s="61" t="str">
        <x:v>PEOPLE</x:v>
      </x:c>
      <x:c r="F44" s="61" t="str">
        <x:v>Identity / contact / relationship leads</x:v>
      </x:c>
      <x:c r="G44" s="61" t="str">
        <x:v>Do not turn a name, old address or suggested relative into a verified identity or relationship.</x:v>
      </x:c>
      <x:c r="H44" s="61" t="str">
        <x:v>Check manually; retrieval failure is not evidence the service is unreliable</x:v>
      </x:c>
      <x:c r="I44" s="61" t="str">
        <x:v>Unresolved reader access; website status unknown</x:v>
      </x:c>
      <x:c r="J44" s="61" t="str">
        <x:v>Fetch attempted; no usable substantive content</x:v>
      </x:c>
      <x:c r="K44" s="61" t="str"/>
      <x:c r="L44" s="70" t="str"/>
      <x:c r="M44" s="70" t="str">
        <x:v>https://xlek.com/</x:v>
      </x:c>
      <x:c r="N44" s="61" t="str">
        <x:v>297341232</x:v>
      </x:c>
      <x:c r="O44" s="61" t="n">
        <x:v>1005</x:v>
      </x:c>
      <x:c r="P44" s="61" t="n">
        <x:v>25</x:v>
      </x:c>
      <x:c r="Q44" s="61" t="str">
        <x:v>2026-09-15</x:v>
      </x:c>
      <x:c r="R44" s="61" t="n">
        <x:v>1</x:v>
      </x:c>
      <x:c r="S44" s="61" t="str">
        <x:v>Contacts / records</x:v>
      </x:c>
      <x:c r="T44" s="61" t="str">
        <x:v>Not established</x:v>
      </x:c>
    </x:row>
    <x:row r="45" ht="105" customHeight="1">
      <x:c r="A45" s="61" t="n">
        <x:v>331</x:v>
      </x:c>
      <x:c r="B45" s="61" t="str">
        <x:v>Ufind.name</x:v>
      </x:c>
      <x:c r="C45" s="61" t="str">
        <x:v>U</x:v>
      </x:c>
      <x:c r="D45" s="61" t="str">
        <x:v>Access unresolved</x:v>
      </x:c>
      <x:c r="E45" s="61" t="str">
        <x:v>PEOPLE</x:v>
      </x:c>
      <x:c r="F45" s="61" t="str">
        <x:v>Identity / contact / relationship leads</x:v>
      </x:c>
      <x:c r="G45" s="61" t="str">
        <x:v>Do not turn a name, old address or suggested relative into a verified identity or relationship.</x:v>
      </x:c>
      <x:c r="H45" s="61" t="str">
        <x:v>Check manually; retrieval failure is not evidence the service is unreliable</x:v>
      </x:c>
      <x:c r="I45" s="61" t="str">
        <x:v>Unresolved reader access; website status unknown</x:v>
      </x:c>
      <x:c r="J45" s="61" t="str">
        <x:v>Fetch attempted; no usable substantive content</x:v>
      </x:c>
      <x:c r="K45" s="61" t="str"/>
      <x:c r="L45" s="70" t="str"/>
      <x:c r="M45" s="70" t="str">
        <x:v>https://ufind.name/</x:v>
      </x:c>
      <x:c r="N45" s="61" t="str">
        <x:v>297341234</x:v>
      </x:c>
      <x:c r="O45" s="61" t="n">
        <x:v>1005</x:v>
      </x:c>
      <x:c r="P45" s="61" t="n">
        <x:v>26</x:v>
      </x:c>
      <x:c r="Q45" s="61" t="str">
        <x:v>2026-09-15</x:v>
      </x:c>
      <x:c r="R45" s="61" t="n">
        <x:v>1</x:v>
      </x:c>
      <x:c r="S45" s="61" t="str">
        <x:v>Contacts / records</x:v>
      </x:c>
      <x:c r="T45" s="61" t="str">
        <x:v>Not established</x:v>
      </x:c>
    </x:row>
    <x:row r="46" ht="105" customHeight="1">
      <x:c r="A46" s="61" t="n">
        <x:v>332</x:v>
      </x:c>
      <x:c r="B46" s="61" t="str">
        <x:v>WhatsMyName Web</x:v>
      </x:c>
      <x:c r="C46" s="61" t="str">
        <x:v>C</x:v>
      </x:c>
      <x:c r="D46" s="61" t="str">
        <x:v>Documented</x:v>
      </x:c>
      <x:c r="E46" s="61" t="str">
        <x:v>USERNAME</x:v>
      </x:c>
      <x:c r="F46" s="61" t="str">
        <x:v>Username-existence leads</x:v>
      </x:c>
      <x:c r="G46" s="61" t="str">
        <x:v>Maintainer documents per-site detection rules and the web app. Rules need maintenance; a matching handle does not establish common ownership.</x:v>
      </x:c>
      <x:c r="H46" s="61" t="str">
        <x:v>Corroborate before attribution</x:v>
      </x:c>
      <x:c r="I46" s="61" t="str">
        <x:v>Underlying project reviewed; web app not tested</x:v>
      </x:c>
      <x:c r="J46" s="61" t="str">
        <x:v>Maintainer documentation</x:v>
      </x:c>
      <x:c r="K46" s="61" t="str">
        <x:v>S009</x:v>
      </x:c>
      <x:c r="L46" s="70" t="str">
        <x:v>https://github.com/WebBreacher/WhatsMyName</x:v>
      </x:c>
      <x:c r="M46" s="70" t="str">
        <x:v>https://whatsmyname.app/</x:v>
      </x:c>
      <x:c r="N46" s="61" t="str">
        <x:v>268508857</x:v>
      </x:c>
      <x:c r="O46" s="61" t="n">
        <x:v>1005</x:v>
      </x:c>
      <x:c r="P46" s="61" t="n">
        <x:v>1</x:v>
      </x:c>
      <x:c r="Q46" s="61" t="str">
        <x:v>2026-09-15</x:v>
      </x:c>
      <x:c r="R46" s="61" t="n">
        <x:v>1</x:v>
      </x:c>
      <x:c r="S46" s="61" t="str">
        <x:v>Contacts / records</x:v>
      </x:c>
      <x:c r="T46" s="61" t="str">
        <x:v>Scoped desk assessment</x:v>
      </x:c>
    </x:row>
    <x:row r="47" ht="105" customHeight="1">
      <x:c r="A47" s="61" t="n">
        <x:v>333</x:v>
      </x:c>
      <x:c r="B47" s="61" t="str">
        <x:v>Username Checker</x:v>
      </x:c>
      <x:c r="C47" s="61" t="str">
        <x:v>C</x:v>
      </x:c>
      <x:c r="D47" s="61" t="str">
        <x:v>Documented</x:v>
      </x:c>
      <x:c r="E47" s="61" t="str">
        <x:v>USERNAME</x:v>
      </x:c>
      <x:c r="F47" s="61" t="str">
        <x:v>Username availability and profile leads</x:v>
      </x:c>
      <x:c r="G47" s="61" t="str">
        <x:v>Its own FAQ explains that the same username can belong to different people on different sites. Review the source account before linking identities.</x:v>
      </x:c>
      <x:c r="H47" s="61" t="str">
        <x:v>Corroborate before attribution</x:v>
      </x:c>
      <x:c r="I47" s="61" t="str">
        <x:v>Content readable; lookup not tested</x:v>
      </x:c>
      <x:c r="J47" s="61" t="str">
        <x:v>Provider FAQ</x:v>
      </x:c>
      <x:c r="K47" s="61" t="str">
        <x:v>S078</x:v>
      </x:c>
      <x:c r="L47" s="70" t="str">
        <x:v>https://analyzeid.com/username/</x:v>
      </x:c>
      <x:c r="M47" s="70" t="str">
        <x:v>https://analyzeid.com/username/</x:v>
      </x:c>
      <x:c r="N47" s="61" t="str">
        <x:v>304994898</x:v>
      </x:c>
      <x:c r="O47" s="61" t="n">
        <x:v>1005</x:v>
      </x:c>
      <x:c r="P47" s="61" t="n">
        <x:v>2</x:v>
      </x:c>
      <x:c r="Q47" s="61" t="str">
        <x:v>2026-09-15</x:v>
      </x:c>
      <x:c r="R47" s="61" t="n">
        <x:v>1</x:v>
      </x:c>
      <x:c r="S47" s="61" t="str">
        <x:v>Contacts / records</x:v>
      </x:c>
      <x:c r="T47" s="61" t="str">
        <x:v>Scoped desk assessment</x:v>
      </x:c>
    </x:row>
    <x:row r="48" ht="105" customHeight="1">
      <x:c r="A48" s="61" t="n">
        <x:v>334</x:v>
      </x:c>
      <x:c r="B48" s="61" t="str">
        <x:v>Username Search</x:v>
      </x:c>
      <x:c r="C48" s="61" t="str">
        <x:v>C</x:v>
      </x:c>
      <x:c r="D48" s="61" t="str">
        <x:v>Documented</x:v>
      </x:c>
      <x:c r="E48" s="61" t="str">
        <x:v>USERNAME</x:v>
      </x:c>
      <x:c r="F48" s="61" t="str">
        <x:v>Public profile and contact discovery</x:v>
      </x:c>
      <x:c r="G48" s="61" t="str">
        <x:v>Aggregates profiles and public-record leads. Marketing claims were not independently validated; resolve identity at the original page.</x:v>
      </x:c>
      <x:c r="H48" s="61" t="str">
        <x:v>Corroborate before attribution</x:v>
      </x:c>
      <x:c r="I48" s="61" t="str">
        <x:v>Content readable; lookup not tested</x:v>
      </x:c>
      <x:c r="J48" s="61" t="str">
        <x:v>Provider landing page</x:v>
      </x:c>
      <x:c r="K48" s="61" t="str">
        <x:v>S001</x:v>
      </x:c>
      <x:c r="L48" s="70" t="str">
        <x:v>https://www.idcrawl.com/</x:v>
      </x:c>
      <x:c r="M48" s="70" t="str">
        <x:v>https://www.idcrawl.com/username</x:v>
      </x:c>
      <x:c r="N48" s="61" t="str">
        <x:v>291767421</x:v>
      </x:c>
      <x:c r="O48" s="61" t="n">
        <x:v>1005</x:v>
      </x:c>
      <x:c r="P48" s="61" t="n">
        <x:v>3</x:v>
      </x:c>
      <x:c r="Q48" s="61" t="str">
        <x:v>2026-09-15</x:v>
      </x:c>
      <x:c r="R48" s="61" t="n">
        <x:v>1</x:v>
      </x:c>
      <x:c r="S48" s="61" t="str">
        <x:v>Contacts / records</x:v>
      </x:c>
      <x:c r="T48" s="61" t="str">
        <x:v>Scoped desk assessment</x:v>
      </x:c>
    </x:row>
    <x:row r="49" ht="105" customHeight="1">
      <x:c r="A49" s="61" t="n">
        <x:v>335</x:v>
      </x:c>
      <x:c r="B49" s="61" t="str">
        <x:v>Tools</x:v>
      </x:c>
      <x:c r="C49" s="61" t="str">
        <x:v>C</x:v>
      </x:c>
      <x:c r="D49" s="61" t="str">
        <x:v>Documented</x:v>
      </x:c>
      <x:c r="E49" s="61" t="str">
        <x:v>USERNAME</x:v>
      </x:c>
      <x:c r="F49" s="61" t="str">
        <x:v>Third-party search launcher</x:v>
      </x:c>
      <x:c r="G49" s="61" t="str">
        <x:v>Routes searches to other services and disclaims their results. Multiple routed results are not automatically independent evidence.</x:v>
      </x:c>
      <x:c r="H49" s="61" t="str">
        <x:v>Corroborate before attribution</x:v>
      </x:c>
      <x:c r="I49" s="61" t="str">
        <x:v>Content readable; lookup not tested</x:v>
      </x:c>
      <x:c r="J49" s="61" t="str">
        <x:v>Provider documentation</x:v>
      </x:c>
      <x:c r="K49" s="61" t="str">
        <x:v>S003</x:v>
      </x:c>
      <x:c r="L49" s="70" t="str">
        <x:v>https://intelx.io/tools</x:v>
      </x:c>
      <x:c r="M49" s="70" t="str">
        <x:v>https://intelx.io/tools?tab=username</x:v>
      </x:c>
      <x:c r="N49" s="61" t="str">
        <x:v>311645311</x:v>
      </x:c>
      <x:c r="O49" s="61" t="n">
        <x:v>1005</x:v>
      </x:c>
      <x:c r="P49" s="61" t="n">
        <x:v>4</x:v>
      </x:c>
      <x:c r="Q49" s="61" t="str">
        <x:v>2026-09-15</x:v>
      </x:c>
      <x:c r="R49" s="61" t="n">
        <x:v>1</x:v>
      </x:c>
      <x:c r="S49" s="61" t="str">
        <x:v>Contacts / records</x:v>
      </x:c>
      <x:c r="T49" s="61" t="str">
        <x:v>Scoped desk assessment</x:v>
      </x:c>
    </x:row>
    <x:row r="50" ht="105" customHeight="1">
      <x:c r="A50" s="61" t="n">
        <x:v>336</x:v>
      </x:c>
      <x:c r="B50" s="61" t="str">
        <x:v>maigret</x:v>
      </x:c>
      <x:c r="C50" s="61" t="str">
        <x:v>C</x:v>
      </x:c>
      <x:c r="D50" s="61" t="str">
        <x:v>Documented</x:v>
      </x:c>
      <x:c r="E50" s="61" t="str">
        <x:v>USERNAME</x:v>
      </x:c>
      <x:c r="F50" s="61" t="str">
        <x:v>Username search / public profile correlation</x:v>
      </x:c>
      <x:c r="G50" s="61" t="str">
        <x:v>Package and project links are available. Correlated profiles remain candidate matches; package availability does not validate each detector.</x:v>
      </x:c>
      <x:c r="H50" s="61" t="str">
        <x:v>Corroborate before attribution</x:v>
      </x:c>
      <x:c r="I50" s="61" t="str">
        <x:v>Package page readable; software not run</x:v>
      </x:c>
      <x:c r="J50" s="61" t="str">
        <x:v>Package metadata</x:v>
      </x:c>
      <x:c r="K50" s="61" t="str">
        <x:v>S011</x:v>
      </x:c>
      <x:c r="L50" s="70" t="str">
        <x:v>https://pypi.org/project/maigret/</x:v>
      </x:c>
      <x:c r="M50" s="70" t="str">
        <x:v>https://pypi.org/project/maigret/</x:v>
      </x:c>
      <x:c r="N50" s="61" t="str">
        <x:v>304994890</x:v>
      </x:c>
      <x:c r="O50" s="61" t="n">
        <x:v>1005</x:v>
      </x:c>
      <x:c r="P50" s="61" t="n">
        <x:v>5</x:v>
      </x:c>
      <x:c r="Q50" s="61" t="str">
        <x:v>2026-09-15</x:v>
      </x:c>
      <x:c r="R50" s="61" t="n">
        <x:v>1</x:v>
      </x:c>
      <x:c r="S50" s="61" t="str">
        <x:v>Contacts / records</x:v>
      </x:c>
      <x:c r="T50" s="61" t="str">
        <x:v>Scoped desk assessment</x:v>
      </x:c>
    </x:row>
    <x:row r="51" ht="105" customHeight="1">
      <x:c r="A51" s="61" t="n">
        <x:v>337</x:v>
      </x:c>
      <x:c r="B51" s="61" t="str">
        <x:v>sherlock</x:v>
      </x:c>
      <x:c r="C51" s="61" t="str">
        <x:v>C</x:v>
      </x:c>
      <x:c r="D51" s="61" t="str">
        <x:v>Documented</x:v>
      </x:c>
      <x:c r="E51" s="61" t="str">
        <x:v>USERNAME</x:v>
      </x:c>
      <x:c r="F51" s="61" t="str">
        <x:v>Username-existence leads</x:v>
      </x:c>
      <x:c r="G51" s="61" t="str">
        <x:v>Official repository documents username searches and false-positive exclusions. Review every returned profile; installed versions and detectors can differ.</x:v>
      </x:c>
      <x:c r="H51" s="61" t="str">
        <x:v>Corroborate before attribution</x:v>
      </x:c>
      <x:c r="I51" s="61" t="str">
        <x:v>Repository readable; software not run</x:v>
      </x:c>
      <x:c r="J51" s="61" t="str">
        <x:v>Maintainer documentation</x:v>
      </x:c>
      <x:c r="K51" s="61" t="str">
        <x:v>S010</x:v>
      </x:c>
      <x:c r="L51" s="70" t="str">
        <x:v>https://github.com/sherlock-project/sherlock</x:v>
      </x:c>
      <x:c r="M51" s="70" t="str">
        <x:v>https://github.com/sherlock-project/sherlock</x:v>
      </x:c>
      <x:c r="N51" s="61" t="str">
        <x:v>289965214</x:v>
      </x:c>
      <x:c r="O51" s="61" t="n">
        <x:v>1005</x:v>
      </x:c>
      <x:c r="P51" s="61" t="n">
        <x:v>6</x:v>
      </x:c>
      <x:c r="Q51" s="61" t="str">
        <x:v>2026-09-15</x:v>
      </x:c>
      <x:c r="R51" s="61" t="n">
        <x:v>1</x:v>
      </x:c>
      <x:c r="S51" s="61" t="str">
        <x:v>Contacts / records</x:v>
      </x:c>
      <x:c r="T51" s="61" t="str">
        <x:v>Scoped desk assessment</x:v>
      </x:c>
    </x:row>
    <x:row r="52" ht="105" customHeight="1">
      <x:c r="A52" s="61" t="n">
        <x:v>338</x:v>
      </x:c>
      <x:c r="B52" s="61" t="str">
        <x:v>socialscan</x:v>
      </x:c>
      <x:c r="C52" s="61" t="str">
        <x:v>C</x:v>
      </x:c>
      <x:c r="D52" s="61" t="str">
        <x:v>Documented</x:v>
      </x:c>
      <x:c r="E52" s="61" t="str">
        <x:v>USERNAME</x:v>
      </x:c>
      <x:c r="F52" s="61" t="str">
        <x:v>Account availability signals</x:v>
      </x:c>
      <x:c r="G52" s="61" t="str">
        <x:v>A username/email availability checker is not proof of the same person across accounts. Verify platform responses and current module behavior.</x:v>
      </x:c>
      <x:c r="H52" s="61" t="str">
        <x:v>Corroborate before attribution</x:v>
      </x:c>
      <x:c r="I52" s="61" t="str">
        <x:v>Package page readable; software not run</x:v>
      </x:c>
      <x:c r="J52" s="61" t="str">
        <x:v>Package documentation</x:v>
      </x:c>
      <x:c r="K52" s="61" t="str">
        <x:v>S012</x:v>
      </x:c>
      <x:c r="L52" s="70" t="str">
        <x:v>https://pypi.org/project/socialscan/</x:v>
      </x:c>
      <x:c r="M52" s="70" t="str">
        <x:v>https://pypi.org/project/socialscan/</x:v>
      </x:c>
      <x:c r="N52" s="61" t="str">
        <x:v>268399022</x:v>
      </x:c>
      <x:c r="O52" s="61" t="n">
        <x:v>1005</x:v>
      </x:c>
      <x:c r="P52" s="61" t="n">
        <x:v>7</x:v>
      </x:c>
      <x:c r="Q52" s="61" t="str">
        <x:v>2026-09-15</x:v>
      </x:c>
      <x:c r="R52" s="61" t="n">
        <x:v>1</x:v>
      </x:c>
      <x:c r="S52" s="61" t="str">
        <x:v>Contacts / records</x:v>
      </x:c>
      <x:c r="T52" s="61" t="str">
        <x:v>Scoped desk assessment</x:v>
      </x:c>
    </x:row>
    <x:row r="53" ht="105" customHeight="1">
      <x:c r="A53" s="61" t="n">
        <x:v>339</x:v>
      </x:c>
      <x:c r="B53" s="61" t="str">
        <x:v>socid-extractor</x:v>
      </x:c>
      <x:c r="C53" s="61" t="str">
        <x:v>B</x:v>
      </x:c>
      <x:c r="D53" s="61" t="str">
        <x:v>Documented</x:v>
      </x:c>
      <x:c r="E53" s="61" t="str">
        <x:v>USERNAME</x:v>
      </x:c>
      <x:c r="F53" s="61" t="str">
        <x:v>Extraction from supplied public profile pages</x:v>
      </x:c>
      <x:c r="G53" s="61" t="str">
        <x:v>Extracts identifiers from page content. B applies to inspectable extraction, not authenticating the profile owner; compare fields with the original page.</x:v>
      </x:c>
      <x:c r="H53" s="61" t="str">
        <x:v>Corroborate before attribution</x:v>
      </x:c>
      <x:c r="I53" s="61" t="str">
        <x:v>Package page readable; software not run</x:v>
      </x:c>
      <x:c r="J53" s="61" t="str">
        <x:v>Package documentation</x:v>
      </x:c>
      <x:c r="K53" s="61" t="str">
        <x:v>S013</x:v>
      </x:c>
      <x:c r="L53" s="70" t="str">
        <x:v>https://pypi.org/project/socid-extractor/</x:v>
      </x:c>
      <x:c r="M53" s="70" t="str">
        <x:v>https://pypi.org/project/socid-extractor/</x:v>
      </x:c>
      <x:c r="N53" s="61" t="str">
        <x:v>304994948</x:v>
      </x:c>
      <x:c r="O53" s="61" t="n">
        <x:v>1005</x:v>
      </x:c>
      <x:c r="P53" s="61" t="n">
        <x:v>8</x:v>
      </x:c>
      <x:c r="Q53" s="61" t="str">
        <x:v>2026-09-15</x:v>
      </x:c>
      <x:c r="R53" s="61" t="n">
        <x:v>1</x:v>
      </x:c>
      <x:c r="S53" s="61" t="str">
        <x:v>Contacts / records</x:v>
      </x:c>
      <x:c r="T53" s="61" t="str">
        <x:v>Scoped desk assessment</x:v>
      </x:c>
    </x:row>
    <x:row r="54" ht="105" customHeight="1">
      <x:c r="A54" s="61" t="n">
        <x:v>340</x:v>
      </x:c>
      <x:c r="B54" s="61" t="str">
        <x:v>social-analyzer</x:v>
      </x:c>
      <x:c r="C54" s="61" t="str">
        <x:v>C</x:v>
      </x:c>
      <x:c r="D54" s="61" t="str">
        <x:v>Documented</x:v>
      </x:c>
      <x:c r="E54" s="61" t="str">
        <x:v>USERNAME</x:v>
      </x:c>
      <x:c r="F54" s="61" t="str">
        <x:v>Social-profile discovery</x:v>
      </x:c>
      <x:c r="G54" s="61" t="str">
        <x:v>Combines profile-search and analysis methods. Confidence scores are not independently calibrated identity probabilities in this audit.</x:v>
      </x:c>
      <x:c r="H54" s="61" t="str">
        <x:v>Corroborate before attribution</x:v>
      </x:c>
      <x:c r="I54" s="61" t="str">
        <x:v>Project readable; software not run</x:v>
      </x:c>
      <x:c r="J54" s="61" t="str">
        <x:v>Maintainer documentation</x:v>
      </x:c>
      <x:c r="K54" s="61" t="str">
        <x:v>S014</x:v>
      </x:c>
      <x:c r="L54" s="70" t="str">
        <x:v>https://github.com/qeeqbox/social-analyzer</x:v>
      </x:c>
      <x:c r="M54" s="70" t="str">
        <x:v>https://pypi.org/project/social-analyzer/</x:v>
      </x:c>
      <x:c r="N54" s="61" t="str">
        <x:v>289966190</x:v>
      </x:c>
      <x:c r="O54" s="61" t="n">
        <x:v>1005</x:v>
      </x:c>
      <x:c r="P54" s="61" t="n">
        <x:v>9</x:v>
      </x:c>
      <x:c r="Q54" s="61" t="str">
        <x:v>2026-09-15</x:v>
      </x:c>
      <x:c r="R54" s="61" t="n">
        <x:v>1</x:v>
      </x:c>
      <x:c r="S54" s="61" t="str">
        <x:v>Contacts / records</x:v>
      </x:c>
      <x:c r="T54" s="61" t="str">
        <x:v>Scoped desk assessment</x:v>
      </x:c>
    </x:row>
    <x:row r="55" ht="105" customHeight="1">
      <x:c r="A55" s="61" t="n">
        <x:v>341</x:v>
      </x:c>
      <x:c r="B55" s="61" t="str">
        <x:v>KnowEm</x:v>
      </x:c>
      <x:c r="C55" s="61" t="str">
        <x:v>U</x:v>
      </x:c>
      <x:c r="D55" s="61" t="str">
        <x:v>Access unresolved</x:v>
      </x:c>
      <x:c r="E55" s="61" t="str">
        <x:v>USERNAME</x:v>
      </x:c>
      <x:c r="F55" s="61" t="str">
        <x:v>Handle / account discovery</x:v>
      </x:c>
      <x:c r="G55" s="61" t="str">
        <x:v>A repeated handle is not proof of a common owner. Missing results are not proof of absence.</x:v>
      </x:c>
      <x:c r="H55" s="61" t="str">
        <x:v>Check manually; retrieval failure is not evidence the service is unreliable</x:v>
      </x:c>
      <x:c r="I55" s="61" t="str">
        <x:v>Unresolved reader access; website status unknown</x:v>
      </x:c>
      <x:c r="J55" s="61" t="str">
        <x:v>Fetch attempted; no usable substantive content</x:v>
      </x:c>
      <x:c r="K55" s="61" t="str"/>
      <x:c r="L55" s="70" t="str"/>
      <x:c r="M55" s="70" t="str">
        <x:v>https://knowem.com/</x:v>
      </x:c>
      <x:c r="N55" s="61" t="str">
        <x:v>268392547</x:v>
      </x:c>
      <x:c r="O55" s="61" t="n">
        <x:v>1005</x:v>
      </x:c>
      <x:c r="P55" s="61" t="n">
        <x:v>10</x:v>
      </x:c>
      <x:c r="Q55" s="61" t="str">
        <x:v>2026-09-15</x:v>
      </x:c>
      <x:c r="R55" s="61" t="n">
        <x:v>1</x:v>
      </x:c>
      <x:c r="S55" s="61" t="str">
        <x:v>Contacts / records</x:v>
      </x:c>
      <x:c r="T55" s="61" t="str">
        <x:v>Not established</x:v>
      </x:c>
    </x:row>
    <x:row r="56" ht="105" customHeight="1">
      <x:c r="A56" s="61" t="n">
        <x:v>342</x:v>
      </x:c>
      <x:c r="B56" s="61" t="str">
        <x:v>Check Usernames</x:v>
      </x:c>
      <x:c r="C56" s="61" t="str">
        <x:v>U</x:v>
      </x:c>
      <x:c r="D56" s="61" t="str">
        <x:v>Access unresolved</x:v>
      </x:c>
      <x:c r="E56" s="61" t="str">
        <x:v>USERNAME</x:v>
      </x:c>
      <x:c r="F56" s="61" t="str">
        <x:v>Handle / account discovery</x:v>
      </x:c>
      <x:c r="G56" s="61" t="str">
        <x:v>A repeated handle is not proof of a common owner. Missing results are not proof of absence.</x:v>
      </x:c>
      <x:c r="H56" s="61" t="str">
        <x:v>Check manually; retrieval failure is not evidence the service is unreliable</x:v>
      </x:c>
      <x:c r="I56" s="61" t="str">
        <x:v>Unresolved reader access; website status unknown</x:v>
      </x:c>
      <x:c r="J56" s="61" t="str">
        <x:v>Fetch attempted; no usable substantive content</x:v>
      </x:c>
      <x:c r="K56" s="61" t="str"/>
      <x:c r="L56" s="70" t="str"/>
      <x:c r="M56" s="70" t="str">
        <x:v>https://checkusernames.com/</x:v>
      </x:c>
      <x:c r="N56" s="61" t="str">
        <x:v>268395970</x:v>
      </x:c>
      <x:c r="O56" s="61" t="n">
        <x:v>1005</x:v>
      </x:c>
      <x:c r="P56" s="61" t="n">
        <x:v>11</x:v>
      </x:c>
      <x:c r="Q56" s="61" t="str">
        <x:v>2026-09-15</x:v>
      </x:c>
      <x:c r="R56" s="61" t="n">
        <x:v>1</x:v>
      </x:c>
      <x:c r="S56" s="61" t="str">
        <x:v>Contacts / records</x:v>
      </x:c>
      <x:c r="T56" s="61" t="str">
        <x:v>Not established</x:v>
      </x:c>
    </x:row>
    <x:row r="57" ht="105" customHeight="1">
      <x:c r="A57" s="61" t="n">
        <x:v>343</x:v>
      </x:c>
      <x:c r="B57" s="61" t="str">
        <x:v>Username Checker</x:v>
      </x:c>
      <x:c r="C57" s="61" t="str">
        <x:v>C</x:v>
      </x:c>
      <x:c r="D57" s="61" t="str">
        <x:v>Documented</x:v>
      </x:c>
      <x:c r="E57" s="61" t="str">
        <x:v>USERNAME</x:v>
      </x:c>
      <x:c r="F57" s="61" t="str">
        <x:v>Handle-availability checks</x:v>
      </x:c>
      <x:c r="G57" s="61" t="str">
        <x:v>Designed for username availability and branding. Taken or unavailable does not establish a person's ownership or a relationship.</x:v>
      </x:c>
      <x:c r="H57" s="61" t="str">
        <x:v>Corroborate before attribution</x:v>
      </x:c>
      <x:c r="I57" s="61" t="str">
        <x:v>Content readable; lookup not tested</x:v>
      </x:c>
      <x:c r="J57" s="61" t="str">
        <x:v>Provider landing page</x:v>
      </x:c>
      <x:c r="K57" s="61" t="str">
        <x:v>S079</x:v>
      </x:c>
      <x:c r="L57" s="70" t="str">
        <x:v>https://checkuser.org/</x:v>
      </x:c>
      <x:c r="M57" s="70" t="str">
        <x:v>https://checkuser.org/</x:v>
      </x:c>
      <x:c r="N57" s="61" t="str">
        <x:v>268508894</x:v>
      </x:c>
      <x:c r="O57" s="61" t="n">
        <x:v>1005</x:v>
      </x:c>
      <x:c r="P57" s="61" t="n">
        <x:v>12</x:v>
      </x:c>
      <x:c r="Q57" s="61" t="str">
        <x:v>2026-09-15</x:v>
      </x:c>
      <x:c r="R57" s="61" t="n">
        <x:v>1</x:v>
      </x:c>
      <x:c r="S57" s="61" t="str">
        <x:v>Contacts / records</x:v>
      </x:c>
      <x:c r="T57" s="61" t="str">
        <x:v>Scoped desk assessment</x:v>
      </x:c>
    </x:row>
    <x:row r="58" ht="105" customHeight="1">
      <x:c r="A58" s="61" t="n">
        <x:v>344</x:v>
      </x:c>
      <x:c r="B58" s="61" t="str">
        <x:v>Namechk</x:v>
      </x:c>
      <x:c r="C58" s="61" t="str">
        <x:v>C</x:v>
      </x:c>
      <x:c r="D58" s="61" t="str">
        <x:v>Documented</x:v>
      </x:c>
      <x:c r="E58" s="61" t="str">
        <x:v>USERNAME</x:v>
      </x:c>
      <x:c r="F58" s="61" t="str">
        <x:v>Username/domain availability</x:v>
      </x:c>
      <x:c r="G58" s="61" t="str">
        <x:v>Availability checker, not evidence of a person's ownership. An unavailable handle can be reserved, blocked, or owned by somebody else.</x:v>
      </x:c>
      <x:c r="H58" s="61" t="str">
        <x:v>Corroborate before attribution</x:v>
      </x:c>
      <x:c r="I58" s="61" t="str">
        <x:v>Content readable; lookup not tested</x:v>
      </x:c>
      <x:c r="J58" s="61" t="str">
        <x:v>Provider landing page</x:v>
      </x:c>
      <x:c r="K58" s="61" t="str">
        <x:v>S016</x:v>
      </x:c>
      <x:c r="L58" s="70" t="str">
        <x:v>https://namechk.com/</x:v>
      </x:c>
      <x:c r="M58" s="70" t="str">
        <x:v>https://namechk.com/</x:v>
      </x:c>
      <x:c r="N58" s="61" t="str">
        <x:v>268392550</x:v>
      </x:c>
      <x:c r="O58" s="61" t="n">
        <x:v>1005</x:v>
      </x:c>
      <x:c r="P58" s="61" t="n">
        <x:v>13</x:v>
      </x:c>
      <x:c r="Q58" s="61" t="str">
        <x:v>2026-09-15</x:v>
      </x:c>
      <x:c r="R58" s="61" t="n">
        <x:v>1</x:v>
      </x:c>
      <x:c r="S58" s="61" t="str">
        <x:v>Contacts / records</x:v>
      </x:c>
      <x:c r="T58" s="61" t="str">
        <x:v>Scoped desk assessment</x:v>
      </x:c>
    </x:row>
    <x:row r="59" ht="105" customHeight="1">
      <x:c r="A59" s="61" t="n">
        <x:v>345</x:v>
      </x:c>
      <x:c r="B59" s="61" t="str">
        <x:v>Lullar Com</x:v>
      </x:c>
      <x:c r="C59" s="61" t="str">
        <x:v>C</x:v>
      </x:c>
      <x:c r="D59" s="61" t="str">
        <x:v>Documented</x:v>
      </x:c>
      <x:c r="E59" s="61" t="str">
        <x:v>USERNAME</x:v>
      </x:c>
      <x:c r="F59" s="61" t="str">
        <x:v>Multi-platform profile discovery</x:v>
      </x:c>
      <x:c r="G59" s="61" t="str">
        <x:v>Search and referral interface. Provider marketing and privacy assurances were not independently tested; verify each underlying profile.</x:v>
      </x:c>
      <x:c r="H59" s="61" t="str">
        <x:v>Corroborate before attribution</x:v>
      </x:c>
      <x:c r="I59" s="61" t="str">
        <x:v>Content readable; lookup not tested</x:v>
      </x:c>
      <x:c r="J59" s="61" t="str">
        <x:v>Provider landing page</x:v>
      </x:c>
      <x:c r="K59" s="61" t="str">
        <x:v>S080</x:v>
      </x:c>
      <x:c r="L59" s="70" t="str">
        <x:v>https://com.lullar.com/</x:v>
      </x:c>
      <x:c r="M59" s="70" t="str">
        <x:v>https://com.lullar.com/</x:v>
      </x:c>
      <x:c r="N59" s="61" t="str">
        <x:v>268395987</x:v>
      </x:c>
      <x:c r="O59" s="61" t="n">
        <x:v>1005</x:v>
      </x:c>
      <x:c r="P59" s="61" t="n">
        <x:v>14</x:v>
      </x:c>
      <x:c r="Q59" s="61" t="str">
        <x:v>2026-09-15</x:v>
      </x:c>
      <x:c r="R59" s="61" t="n">
        <x:v>1</x:v>
      </x:c>
      <x:c r="S59" s="61" t="str">
        <x:v>Contacts / records</x:v>
      </x:c>
      <x:c r="T59" s="61" t="str">
        <x:v>Scoped desk assessment</x:v>
      </x:c>
    </x:row>
    <x:row r="60" ht="105" customHeight="1">
      <x:c r="A60" s="61" t="n">
        <x:v>346</x:v>
      </x:c>
      <x:c r="B60" s="61" t="str">
        <x:v>SearchPOF.com</x:v>
      </x:c>
      <x:c r="C60" s="61" t="str">
        <x:v>C</x:v>
      </x:c>
      <x:c r="D60" s="61" t="str">
        <x:v>Documented</x:v>
      </x:c>
      <x:c r="E60" s="61" t="str">
        <x:v>USERNAME</x:v>
      </x:c>
      <x:c r="F60" s="61" t="str">
        <x:v>POF username discovery</x:v>
      </x:c>
      <x:c r="G60" s="61" t="str">
        <x:v>A search interface for possible dating profiles. A name/handle hit does not establish identity, present membership or behavior.</x:v>
      </x:c>
      <x:c r="H60" s="61" t="str">
        <x:v>Corroborate before attribution</x:v>
      </x:c>
      <x:c r="I60" s="61" t="str">
        <x:v>Content readable; lookup not tested</x:v>
      </x:c>
      <x:c r="J60" s="61" t="str">
        <x:v>Provider landing page</x:v>
      </x:c>
      <x:c r="K60" s="61" t="str">
        <x:v>S081</x:v>
      </x:c>
      <x:c r="L60" s="70" t="str">
        <x:v>https://searchpof.com/</x:v>
      </x:c>
      <x:c r="M60" s="70" t="str">
        <x:v>https://searchpof.com/</x:v>
      </x:c>
      <x:c r="N60" s="61" t="str">
        <x:v>268409467</x:v>
      </x:c>
      <x:c r="O60" s="61" t="n">
        <x:v>1005</x:v>
      </x:c>
      <x:c r="P60" s="61" t="n">
        <x:v>15</x:v>
      </x:c>
      <x:c r="Q60" s="61" t="str">
        <x:v>2026-09-15</x:v>
      </x:c>
      <x:c r="R60" s="61" t="n">
        <x:v>1</x:v>
      </x:c>
      <x:c r="S60" s="61" t="str">
        <x:v>Contacts / records</x:v>
      </x:c>
      <x:c r="T60" s="61" t="str">
        <x:v>Scoped desk assessment</x:v>
      </x:c>
    </x:row>
    <x:row r="61" ht="105" customHeight="1">
      <x:c r="A61" s="61" t="n">
        <x:v>347</x:v>
      </x:c>
      <x:c r="B61" s="61" t="str">
        <x:v>OSINT Toolkit</x:v>
      </x:c>
      <x:c r="C61" s="61" t="str">
        <x:v>C</x:v>
      </x:c>
      <x:c r="D61" s="61" t="str">
        <x:v>Documented</x:v>
      </x:c>
      <x:c r="E61" s="61" t="str">
        <x:v>USERNAME</x:v>
      </x:c>
      <x:c r="F61" s="61" t="str">
        <x:v>Username search shortcuts</x:v>
      </x:c>
      <x:c r="G61" s="61" t="str">
        <x:v>The tool itself warns that results are approximate and that a negative result does not establish non-use.</x:v>
      </x:c>
      <x:c r="H61" s="61" t="str">
        <x:v>Corroborate before attribution</x:v>
      </x:c>
      <x:c r="I61" s="61" t="str">
        <x:v>Content readable; lookup not tested</x:v>
      </x:c>
      <x:c r="J61" s="61" t="str">
        <x:v>Provider documentation</x:v>
      </x:c>
      <x:c r="K61" s="61" t="str">
        <x:v>S018</x:v>
      </x:c>
      <x:c r="L61" s="70" t="str">
        <x:v>https://one-plus.github.io/EmailUsername</x:v>
      </x:c>
      <x:c r="M61" s="70" t="str">
        <x:v>https://one-plus.github.io/EmailUsername</x:v>
      </x:c>
      <x:c r="N61" s="61" t="str">
        <x:v>286013229</x:v>
      </x:c>
      <x:c r="O61" s="61" t="n">
        <x:v>1005</x:v>
      </x:c>
      <x:c r="P61" s="61" t="n">
        <x:v>16</x:v>
      </x:c>
      <x:c r="Q61" s="61" t="str">
        <x:v>2026-09-15</x:v>
      </x:c>
      <x:c r="R61" s="61" t="n">
        <x:v>1</x:v>
      </x:c>
      <x:c r="S61" s="61" t="str">
        <x:v>Contacts / records</x:v>
      </x:c>
      <x:c r="T61" s="61" t="str">
        <x:v>Scoped desk assessment</x:v>
      </x:c>
    </x:row>
    <x:row r="62" ht="105" customHeight="1">
      <x:c r="A62" s="61" t="n">
        <x:v>348</x:v>
      </x:c>
      <x:c r="B62" s="61" t="str">
        <x:v>Username search tool</x:v>
      </x:c>
      <x:c r="C62" s="61" t="str">
        <x:v>C</x:v>
      </x:c>
      <x:c r="D62" s="61" t="str">
        <x:v>Documented</x:v>
      </x:c>
      <x:c r="E62" s="61" t="str">
        <x:v>USERNAME</x:v>
      </x:c>
      <x:c r="F62" s="61" t="str">
        <x:v>Username query builder</x:v>
      </x:c>
      <x:c r="G62" s="61" t="str">
        <x:v>Creates external searches rather than independently authenticating account ownership.</x:v>
      </x:c>
      <x:c r="H62" s="61" t="str">
        <x:v>Corroborate before attribution</x:v>
      </x:c>
      <x:c r="I62" s="61" t="str">
        <x:v>Content readable; lookup not tested</x:v>
      </x:c>
      <x:c r="J62" s="61" t="str">
        <x:v>Provider documentation</x:v>
      </x:c>
      <x:c r="K62" s="61" t="str">
        <x:v>S017</x:v>
      </x:c>
      <x:c r="L62" s="70" t="str">
        <x:v>https://www.aware-online.com/en/osint-tools/username-search-tool/</x:v>
      </x:c>
      <x:c r="M62" s="70" t="str">
        <x:v>https://www.aware-online.com/en/osint-tools/username-search-tool/</x:v>
      </x:c>
      <x:c r="N62" s="61" t="str">
        <x:v>268503234</x:v>
      </x:c>
      <x:c r="O62" s="61" t="n">
        <x:v>1008</x:v>
      </x:c>
      <x:c r="P62" s="61" t="n">
        <x:v>17</x:v>
      </x:c>
      <x:c r="Q62" s="61" t="str">
        <x:v>2026-09-15</x:v>
      </x:c>
      <x:c r="R62" s="61" t="n">
        <x:v>1</x:v>
      </x:c>
      <x:c r="S62" s="61" t="str">
        <x:v>Contacts / records</x:v>
      </x:c>
      <x:c r="T62" s="61" t="str">
        <x:v>Scoped desk assessment</x:v>
      </x:c>
    </x:row>
    <x:row r="63" ht="105" customHeight="1">
      <x:c r="A63" s="61" t="n">
        <x:v>349</x:v>
      </x:c>
      <x:c r="B63" s="61" t="str">
        <x:v>snoop</x:v>
      </x:c>
      <x:c r="C63" s="61" t="str">
        <x:v>C</x:v>
      </x:c>
      <x:c r="D63" s="61" t="str">
        <x:v>Documented</x:v>
      </x:c>
      <x:c r="E63" s="61" t="str">
        <x:v>USERNAME</x:v>
      </x:c>
      <x:c r="F63" s="61" t="str">
        <x:v>Username search</x:v>
      </x:c>
      <x:c r="G63" s="61" t="str">
        <x:v>Public project describes username-based discovery. A match remains a lead; language/site coverage and detector behavior require checking.</x:v>
      </x:c>
      <x:c r="H63" s="61" t="str">
        <x:v>Corroborate before attribution</x:v>
      </x:c>
      <x:c r="I63" s="61" t="str">
        <x:v>Project readable; software not run</x:v>
      </x:c>
      <x:c r="J63" s="61" t="str">
        <x:v>Maintainer documentation</x:v>
      </x:c>
      <x:c r="K63" s="61" t="str">
        <x:v>S015</x:v>
      </x:c>
      <x:c r="L63" s="70" t="str">
        <x:v>https://github.com/snooppr/snoop</x:v>
      </x:c>
      <x:c r="M63" s="70" t="str">
        <x:v>https://github.com/snooppr/snoop</x:v>
      </x:c>
      <x:c r="N63" s="61" t="str">
        <x:v>289966163</x:v>
      </x:c>
      <x:c r="O63" s="61" t="n">
        <x:v>1008</x:v>
      </x:c>
      <x:c r="P63" s="61" t="n">
        <x:v>18</x:v>
      </x:c>
      <x:c r="Q63" s="61" t="str">
        <x:v>2026-09-15</x:v>
      </x:c>
      <x:c r="R63" s="61" t="n">
        <x:v>1</x:v>
      </x:c>
      <x:c r="S63" s="61" t="str">
        <x:v>Contacts / records</x:v>
      </x:c>
      <x:c r="T63" s="61" t="str">
        <x:v>Scoped desk assessment</x:v>
      </x:c>
    </x:row>
    <x:row r="64" ht="105" customHeight="1">
      <x:c r="A64" s="61" t="n">
        <x:v>350</x:v>
      </x:c>
      <x:c r="B64" s="61" t="str">
        <x:v>quidam</x:v>
      </x:c>
      <x:c r="C64" s="61" t="str">
        <x:v>C</x:v>
      </x:c>
      <x:c r="D64" s="61" t="str">
        <x:v>Documented</x:v>
      </x:c>
      <x:c r="E64" s="61" t="str">
        <x:v>USERNAME</x:v>
      </x:c>
      <x:c r="F64" s="61" t="str">
        <x:v>Social-profile lookup software</x:v>
      </x:c>
      <x:c r="G64" s="61" t="str">
        <x:v>Package documentation identifies a profile-discovery tool. No account matching, API compatibility or false-positive rate was tested.</x:v>
      </x:c>
      <x:c r="H64" s="61" t="str">
        <x:v>Corroborate before attribution</x:v>
      </x:c>
      <x:c r="I64" s="61" t="str">
        <x:v>Package page readable; software not run</x:v>
      </x:c>
      <x:c r="J64" s="61" t="str">
        <x:v>Maintainer package documentation</x:v>
      </x:c>
      <x:c r="K64" s="61" t="str">
        <x:v>S082</x:v>
      </x:c>
      <x:c r="L64" s="70" t="str">
        <x:v>https://pypi.org/project/quidam/</x:v>
      </x:c>
      <x:c r="M64" s="70" t="str">
        <x:v>https://pypi.org/project/quidam/</x:v>
      </x:c>
      <x:c r="N64" s="61" t="str">
        <x:v>309551499</x:v>
      </x:c>
      <x:c r="O64" s="61" t="n">
        <x:v>1008</x:v>
      </x:c>
      <x:c r="P64" s="61" t="n">
        <x:v>19</x:v>
      </x:c>
      <x:c r="Q64" s="61" t="str">
        <x:v>2026-09-15</x:v>
      </x:c>
      <x:c r="R64" s="61" t="n">
        <x:v>1</x:v>
      </x:c>
      <x:c r="S64" s="61" t="str">
        <x:v>Contacts / records</x:v>
      </x:c>
      <x:c r="T64" s="61" t="str">
        <x:v>Scoped desk assessment</x:v>
      </x:c>
    </x:row>
    <x:row r="65" ht="105" customHeight="1">
      <x:c r="A65" s="61" t="n">
        <x:v>351</x:v>
      </x:c>
      <x:c r="B65" s="61" t="str">
        <x:v>Identificator.space</x:v>
      </x:c>
      <x:c r="C65" s="61" t="str">
        <x:v>U</x:v>
      </x:c>
      <x:c r="D65" s="61" t="str">
        <x:v>Unassessed</x:v>
      </x:c>
      <x:c r="E65" s="61" t="str">
        <x:v>EMAIL</x:v>
      </x:c>
      <x:c r="F65" s="61" t="str">
        <x:v>Email-related discovery or analysis</x:v>
      </x:c>
      <x:c r="G65" s="61" t="str">
        <x:v>Distinguish an address pattern, deliverability, account existence and actual mailbox ownership.</x:v>
      </x:c>
      <x:c r="H65" s="61" t="str">
        <x:v>Verify publisher, source and current function before reliance</x:v>
      </x:c>
      <x:c r="I65" s="61" t="str">
        <x:v>Not checked</x:v>
      </x:c>
      <x:c r="J65" s="61" t="str">
        <x:v>Saved bookmark metadata only</x:v>
      </x:c>
      <x:c r="K65" s="61" t="str"/>
      <x:c r="L65" s="70" t="str"/>
      <x:c r="M65" s="70" t="str">
        <x:v>https://identificator.space/</x:v>
      </x:c>
      <x:c r="N65" s="61" t="str">
        <x:v>321752569</x:v>
      </x:c>
      <x:c r="O65" s="61" t="n">
        <x:v>1009</x:v>
      </x:c>
      <x:c r="P65" s="61" t="n">
        <x:v>1</x:v>
      </x:c>
      <x:c r="Q65" s="61" t="str"/>
      <x:c r="R65" s="61" t="n">
        <x:v>1</x:v>
      </x:c>
      <x:c r="S65" s="61" t="str">
        <x:v>Contacts / records</x:v>
      </x:c>
      <x:c r="T65" s="61" t="str">
        <x:v>Not established</x:v>
      </x:c>
    </x:row>
    <x:row r="66" ht="105" customHeight="1">
      <x:c r="A66" s="61" t="n">
        <x:v>352</x:v>
      </x:c>
      <x:c r="B66" s="61" t="str">
        <x:v>Epieos Email Lookup</x:v>
      </x:c>
      <x:c r="C66" s="61" t="str">
        <x:v>C</x:v>
      </x:c>
      <x:c r="D66" s="61" t="str">
        <x:v>Documented</x:v>
      </x:c>
      <x:c r="E66" s="61" t="str">
        <x:v>EMAIL</x:v>
      </x:c>
      <x:c r="F66" s="61" t="str">
        <x:v>Email/phone account-association leads</x:v>
      </x:c>
      <x:c r="G66" s="61" t="str">
        <x:v>Real-time and no-false-positive statements are vendor claims; this review did not benchmark them or validate identity attribution.</x:v>
      </x:c>
      <x:c r="H66" s="61" t="str">
        <x:v>Corroborate before attribution</x:v>
      </x:c>
      <x:c r="I66" s="61" t="str">
        <x:v>Content readable; lookup not tested</x:v>
      </x:c>
      <x:c r="J66" s="61" t="str">
        <x:v>Provider landing page</x:v>
      </x:c>
      <x:c r="K66" s="61" t="str">
        <x:v>S020</x:v>
      </x:c>
      <x:c r="L66" s="70" t="str">
        <x:v>https://epieos.com/</x:v>
      </x:c>
      <x:c r="M66" s="70" t="str">
        <x:v>https://epieos.com/</x:v>
      </x:c>
      <x:c r="N66" s="61" t="str">
        <x:v>302156235</x:v>
      </x:c>
      <x:c r="O66" s="61" t="n">
        <x:v>1009</x:v>
      </x:c>
      <x:c r="P66" s="61" t="n">
        <x:v>2</x:v>
      </x:c>
      <x:c r="Q66" s="61" t="str">
        <x:v>2026-09-15</x:v>
      </x:c>
      <x:c r="R66" s="61" t="n">
        <x:v>1</x:v>
      </x:c>
      <x:c r="S66" s="61" t="str">
        <x:v>Contacts / records</x:v>
      </x:c>
      <x:c r="T66" s="61" t="str">
        <x:v>Scoped desk assessment</x:v>
      </x:c>
    </x:row>
    <x:row r="67" ht="105" customHeight="1">
      <x:c r="A67" s="61" t="n">
        <x:v>353</x:v>
      </x:c>
      <x:c r="B67" s="61" t="str">
        <x:v>Intelligence X</x:v>
      </x:c>
      <x:c r="C67" s="61" t="str">
        <x:v>C</x:v>
      </x:c>
      <x:c r="D67" s="61" t="str">
        <x:v>Documented</x:v>
      </x:c>
      <x:c r="E67" s="61" t="str">
        <x:v>EMAIL</x:v>
      </x:c>
      <x:c r="F67" s="61" t="str">
        <x:v>Third-party search launcher</x:v>
      </x:c>
      <x:c r="G67" s="61" t="str">
        <x:v>Routes searches to other services and disclaims their results. Multiple routed results are not automatically independent evidence.</x:v>
      </x:c>
      <x:c r="H67" s="61" t="str">
        <x:v>Corroborate before attribution</x:v>
      </x:c>
      <x:c r="I67" s="61" t="str">
        <x:v>Content readable; lookup not tested</x:v>
      </x:c>
      <x:c r="J67" s="61" t="str">
        <x:v>Provider documentation</x:v>
      </x:c>
      <x:c r="K67" s="61" t="str">
        <x:v>S003</x:v>
      </x:c>
      <x:c r="L67" s="70" t="str">
        <x:v>https://intelx.io/tools</x:v>
      </x:c>
      <x:c r="M67" s="70" t="str">
        <x:v>https://intelx.io/tools?tab=email</x:v>
      </x:c>
      <x:c r="N67" s="61" t="str">
        <x:v>311645301</x:v>
      </x:c>
      <x:c r="O67" s="61" t="n">
        <x:v>1009</x:v>
      </x:c>
      <x:c r="P67" s="61" t="n">
        <x:v>3</x:v>
      </x:c>
      <x:c r="Q67" s="61" t="str">
        <x:v>2026-09-15</x:v>
      </x:c>
      <x:c r="R67" s="61" t="n">
        <x:v>1</x:v>
      </x:c>
      <x:c r="S67" s="61" t="str">
        <x:v>Contacts / records</x:v>
      </x:c>
      <x:c r="T67" s="61" t="str">
        <x:v>Scoped desk assessment</x:v>
      </x:c>
    </x:row>
    <x:row r="68" ht="105" customHeight="1">
      <x:c r="A68" s="61" t="n">
        <x:v>354</x:v>
      </x:c>
      <x:c r="B68" s="61" t="str">
        <x:v>holehe</x:v>
      </x:c>
      <x:c r="C68" s="61" t="str">
        <x:v>C</x:v>
      </x:c>
      <x:c r="D68" s="61" t="str">
        <x:v>Documented</x:v>
      </x:c>
      <x:c r="E68" s="61" t="str">
        <x:v>EMAIL</x:v>
      </x:c>
      <x:c r="F68" s="61" t="str">
        <x:v>Account-enumeration leads</x:v>
      </x:c>
      <x:c r="G68" s="61" t="str">
        <x:v>The linked PyPI page lists a July 2022 release. Check current upstream modules; an old package date alone does not prove the repository is abandoned.</x:v>
      </x:c>
      <x:c r="H68" s="61" t="str">
        <x:v>Corroborate before attribution</x:v>
      </x:c>
      <x:c r="I68" s="61" t="str">
        <x:v>Package page readable; software not run</x:v>
      </x:c>
      <x:c r="J68" s="61" t="str">
        <x:v>Package metadata</x:v>
      </x:c>
      <x:c r="K68" s="61" t="str">
        <x:v>S021</x:v>
      </x:c>
      <x:c r="L68" s="70" t="str">
        <x:v>https://pypi.org/project/holehe/</x:v>
      </x:c>
      <x:c r="M68" s="70" t="str">
        <x:v>https://pypi.org/project/holehe/</x:v>
      </x:c>
      <x:c r="N68" s="61" t="str">
        <x:v>268401609</x:v>
      </x:c>
      <x:c r="O68" s="61" t="n">
        <x:v>1009</x:v>
      </x:c>
      <x:c r="P68" s="61" t="n">
        <x:v>4</x:v>
      </x:c>
      <x:c r="Q68" s="61" t="str">
        <x:v>2026-09-15</x:v>
      </x:c>
      <x:c r="R68" s="61" t="n">
        <x:v>1</x:v>
      </x:c>
      <x:c r="S68" s="61" t="str">
        <x:v>Contacts / records</x:v>
      </x:c>
      <x:c r="T68" s="61" t="str">
        <x:v>Scoped desk assessment</x:v>
      </x:c>
    </x:row>
    <x:row r="69" ht="105" customHeight="1">
      <x:c r="A69" s="61" t="n">
        <x:v>355</x:v>
      </x:c>
      <x:c r="B69" s="61" t="str">
        <x:v>Infoga</x:v>
      </x:c>
      <x:c r="C69" s="61" t="str">
        <x:v>U</x:v>
      </x:c>
      <x:c r="D69" s="61" t="str">
        <x:v>Unassessed</x:v>
      </x:c>
      <x:c r="E69" s="61" t="str">
        <x:v>EMAIL</x:v>
      </x:c>
      <x:c r="F69" s="61" t="str">
        <x:v>Email-related discovery or analysis</x:v>
      </x:c>
      <x:c r="G69" s="61" t="str">
        <x:v>Distinguish an address pattern, deliverability, account existence and actual mailbox ownership.</x:v>
      </x:c>
      <x:c r="H69" s="61" t="str">
        <x:v>Verify publisher, source and current function before reliance</x:v>
      </x:c>
      <x:c r="I69" s="61" t="str">
        <x:v>Not checked</x:v>
      </x:c>
      <x:c r="J69" s="61" t="str">
        <x:v>Saved bookmark metadata only</x:v>
      </x:c>
      <x:c r="K69" s="61" t="str"/>
      <x:c r="L69" s="70" t="str"/>
      <x:c r="M69" s="70" t="str">
        <x:v>http://github.com/m4ll0k/Infoga</x:v>
      </x:c>
      <x:c r="N69" s="61" t="str">
        <x:v>268401603</x:v>
      </x:c>
      <x:c r="O69" s="61" t="n">
        <x:v>1009</x:v>
      </x:c>
      <x:c r="P69" s="61" t="n">
        <x:v>5</x:v>
      </x:c>
      <x:c r="Q69" s="61" t="str"/>
      <x:c r="R69" s="61" t="n">
        <x:v>1</x:v>
      </x:c>
      <x:c r="S69" s="61" t="str">
        <x:v>Contacts / records</x:v>
      </x:c>
      <x:c r="T69" s="61" t="str">
        <x:v>Not established</x:v>
      </x:c>
    </x:row>
    <x:row r="70" ht="105" customHeight="1">
      <x:c r="A70" s="61" t="n">
        <x:v>356</x:v>
      </x:c>
      <x:c r="B70" s="61" t="str">
        <x:v>email2phonenumber</x:v>
      </x:c>
      <x:c r="C70" s="61" t="str">
        <x:v>U</x:v>
      </x:c>
      <x:c r="D70" s="61" t="str">
        <x:v>Unassessed</x:v>
      </x:c>
      <x:c r="E70" s="61" t="str">
        <x:v>EMAIL</x:v>
      </x:c>
      <x:c r="F70" s="61" t="str">
        <x:v>Email-related discovery or analysis</x:v>
      </x:c>
      <x:c r="G70" s="61" t="str">
        <x:v>Distinguish an address pattern, deliverability, account existence and actual mailbox ownership.</x:v>
      </x:c>
      <x:c r="H70" s="61" t="str">
        <x:v>Verify publisher, source and current function before reliance</x:v>
      </x:c>
      <x:c r="I70" s="61" t="str">
        <x:v>Not checked</x:v>
      </x:c>
      <x:c r="J70" s="61" t="str">
        <x:v>Saved bookmark metadata only</x:v>
      </x:c>
      <x:c r="K70" s="61" t="str"/>
      <x:c r="L70" s="70" t="str"/>
      <x:c r="M70" s="70" t="str">
        <x:v>https://github.com/martinvigo/email2phonenumber</x:v>
      </x:c>
      <x:c r="N70" s="61" t="str">
        <x:v>289970283</x:v>
      </x:c>
      <x:c r="O70" s="61" t="n">
        <x:v>1010</x:v>
      </x:c>
      <x:c r="P70" s="61" t="n">
        <x:v>6</x:v>
      </x:c>
      <x:c r="Q70" s="61" t="str"/>
      <x:c r="R70" s="61" t="n">
        <x:v>1</x:v>
      </x:c>
      <x:c r="S70" s="61" t="str">
        <x:v>Contacts / records</x:v>
      </x:c>
      <x:c r="T70" s="61" t="str">
        <x:v>Not established</x:v>
      </x:c>
    </x:row>
    <x:row r="71" ht="105" customHeight="1">
      <x:c r="A71" s="61" t="n">
        <x:v>357</x:v>
      </x:c>
      <x:c r="B71" s="61" t="str">
        <x:v>Trumail</x:v>
      </x:c>
      <x:c r="C71" s="61" t="str">
        <x:v>B</x:v>
      </x:c>
      <x:c r="D71" s="61" t="str">
        <x:v>Documented</x:v>
      </x:c>
      <x:c r="E71" s="61" t="str">
        <x:v>EMAIL</x:v>
      </x:c>
      <x:c r="F71" s="61" t="str">
        <x:v>Email validation API, not identity</x:v>
      </x:c>
      <x:c r="G71" s="61" t="str">
        <x:v>Trumail's saved URL redirects to Emailable's API product. Validation concerns email deliverability, not the identity of the mailbox controller.</x:v>
      </x:c>
      <x:c r="H71" s="61" t="str">
        <x:v>Update bookmark name; do not count as independent of Emailable</x:v>
      </x:c>
      <x:c r="I71" s="61" t="str">
        <x:v>Redirect to Emailable API; no validation run</x:v>
      </x:c>
      <x:c r="J71" s="61" t="str">
        <x:v>Observed redirect and provider documentation</x:v>
      </x:c>
      <x:c r="K71" s="61" t="str">
        <x:v>S083</x:v>
      </x:c>
      <x:c r="L71" s="70" t="str">
        <x:v>https://emailable.com/api/?redirect_source=trumail</x:v>
      </x:c>
      <x:c r="M71" s="70" t="str">
        <x:v>https://trumail.io/</x:v>
      </x:c>
      <x:c r="N71" s="61" t="str">
        <x:v>297339970</x:v>
      </x:c>
      <x:c r="O71" s="61" t="n">
        <x:v>1010</x:v>
      </x:c>
      <x:c r="P71" s="61" t="n">
        <x:v>7</x:v>
      </x:c>
      <x:c r="Q71" s="61" t="str">
        <x:v>2026-09-15</x:v>
      </x:c>
      <x:c r="R71" s="61" t="n">
        <x:v>1</x:v>
      </x:c>
      <x:c r="S71" s="61" t="str">
        <x:v>Contacts / records</x:v>
      </x:c>
      <x:c r="T71" s="61" t="str">
        <x:v>Scoped desk assessment</x:v>
      </x:c>
    </x:row>
    <x:row r="72" ht="105" customHeight="1">
      <x:c r="A72" s="61" t="n">
        <x:v>358</x:v>
      </x:c>
      <x:c r="B72" s="61" t="str">
        <x:v>Email Verifier</x:v>
      </x:c>
      <x:c r="C72" s="61" t="str">
        <x:v>B</x:v>
      </x:c>
      <x:c r="D72" s="61" t="str">
        <x:v>Documented</x:v>
      </x:c>
      <x:c r="E72" s="61" t="str">
        <x:v>EMAIL</x:v>
      </x:c>
      <x:c r="F72" s="61" t="str">
        <x:v>Email deliverability only</x:v>
      </x:c>
      <x:c r="G72" s="61" t="str">
        <x:v>Documents syntax, MX and SMTP checks plus catch-all handling. Deliverability is not mailbox ownership, employment, or identity confirmation.</x:v>
      </x:c>
      <x:c r="H72" s="61" t="str">
        <x:v>Corroborate before attribution</x:v>
      </x:c>
      <x:c r="I72" s="61" t="str">
        <x:v>Content readable; lookup not tested</x:v>
      </x:c>
      <x:c r="J72" s="61" t="str">
        <x:v>Provider documentation</x:v>
      </x:c>
      <x:c r="K72" s="61" t="str">
        <x:v>S019</x:v>
      </x:c>
      <x:c r="L72" s="70" t="str">
        <x:v>https://hunter.io/email-verifier</x:v>
      </x:c>
      <x:c r="M72" s="70" t="str">
        <x:v>https://hunter.io/email-verifier</x:v>
      </x:c>
      <x:c r="N72" s="61" t="str">
        <x:v>268397039</x:v>
      </x:c>
      <x:c r="O72" s="61" t="n">
        <x:v>1010</x:v>
      </x:c>
      <x:c r="P72" s="61" t="n">
        <x:v>8</x:v>
      </x:c>
      <x:c r="Q72" s="61" t="str">
        <x:v>2026-09-15</x:v>
      </x:c>
      <x:c r="R72" s="61" t="n">
        <x:v>1</x:v>
      </x:c>
      <x:c r="S72" s="61" t="str">
        <x:v>Contacts / records</x:v>
      </x:c>
      <x:c r="T72" s="61" t="str">
        <x:v>Scoped desk assessment</x:v>
      </x:c>
    </x:row>
    <x:row r="73" ht="105" customHeight="1">
      <x:c r="A73" s="61" t="n">
        <x:v>359</x:v>
      </x:c>
      <x:c r="B73" s="61" t="str">
        <x:v>Verify Email</x:v>
      </x:c>
      <x:c r="C73" s="61" t="str">
        <x:v>B</x:v>
      </x:c>
      <x:c r="D73" s="61" t="str">
        <x:v>Documented</x:v>
      </x:c>
      <x:c r="E73" s="61" t="str">
        <x:v>EMAIL</x:v>
      </x:c>
      <x:c r="F73" s="61" t="str">
        <x:v>Email deliverability, not identity</x:v>
      </x:c>
      <x:c r="G73" s="61" t="str">
        <x:v>Verify-email's saved URL redirects to Emailable. This and Trumail are not independent validation providers at their observed destinations.</x:v>
      </x:c>
      <x:c r="H73" s="61" t="str">
        <x:v>Update bookmark name; do not count as independent of Trumail</x:v>
      </x:c>
      <x:c r="I73" s="61" t="str">
        <x:v>Redirect to Emailable; no validation run</x:v>
      </x:c>
      <x:c r="J73" s="61" t="str">
        <x:v>Observed redirect and provider documentation</x:v>
      </x:c>
      <x:c r="K73" s="61" t="str">
        <x:v>S084</x:v>
      </x:c>
      <x:c r="L73" s="70" t="str">
        <x:v>https://emailable.com/?redirect_source=verify-email</x:v>
      </x:c>
      <x:c r="M73" s="70" t="str">
        <x:v>https://verify-email.org/</x:v>
      </x:c>
      <x:c r="N73" s="61" t="str">
        <x:v>297340636</x:v>
      </x:c>
      <x:c r="O73" s="61" t="n">
        <x:v>1010</x:v>
      </x:c>
      <x:c r="P73" s="61" t="n">
        <x:v>9</x:v>
      </x:c>
      <x:c r="Q73" s="61" t="str">
        <x:v>2026-09-15</x:v>
      </x:c>
      <x:c r="R73" s="61" t="n">
        <x:v>1</x:v>
      </x:c>
      <x:c r="S73" s="61" t="str">
        <x:v>Contacts / records</x:v>
      </x:c>
      <x:c r="T73" s="61" t="str">
        <x:v>Scoped desk assessment</x:v>
      </x:c>
    </x:row>
    <x:row r="74" ht="105" customHeight="1">
      <x:c r="A74" s="61" t="n">
        <x:v>360</x:v>
      </x:c>
      <x:c r="B74" s="61" t="str">
        <x:v>Reverse Whois</x:v>
      </x:c>
      <x:c r="C74" s="61" t="str">
        <x:v>C</x:v>
      </x:c>
      <x:c r="D74" s="61" t="str">
        <x:v>Documented</x:v>
      </x:c>
      <x:c r="E74" s="61" t="str">
        <x:v>EMAIL</x:v>
      </x:c>
      <x:c r="F74" s="61" t="str">
        <x:v>Email-to-domain registration leads</x:v>
      </x:c>
      <x:c r="G74" s="61" t="str">
        <x:v>Reverse-WHOIS search can suggest a registration connection. Verify the dated original record; registrant fields are not proof of present personal control.</x:v>
      </x:c>
      <x:c r="H74" s="61" t="str">
        <x:v>Corroborate before attribution</x:v>
      </x:c>
      <x:c r="I74" s="61" t="str">
        <x:v>Content readable; lookup not tested</x:v>
      </x:c>
      <x:c r="J74" s="61" t="str">
        <x:v>Provider landing page</x:v>
      </x:c>
      <x:c r="K74" s="61" t="str">
        <x:v>S076</x:v>
      </x:c>
      <x:c r="L74" s="70" t="str">
        <x:v>https://osint.sh/reversewhois/</x:v>
      </x:c>
      <x:c r="M74" s="70" t="str">
        <x:v>https://osint.sh/reversewhois/</x:v>
      </x:c>
      <x:c r="N74" s="61" t="str">
        <x:v>286695003</x:v>
      </x:c>
      <x:c r="O74" s="61" t="n">
        <x:v>1010</x:v>
      </x:c>
      <x:c r="P74" s="61" t="n">
        <x:v>10</x:v>
      </x:c>
      <x:c r="Q74" s="61" t="str">
        <x:v>2026-09-15</x:v>
      </x:c>
      <x:c r="R74" s="61" t="n">
        <x:v>1</x:v>
      </x:c>
      <x:c r="S74" s="61" t="str">
        <x:v>Contacts / records</x:v>
      </x:c>
      <x:c r="T74" s="61" t="str">
        <x:v>Scoped desk assessment</x:v>
      </x:c>
    </x:row>
    <x:row r="75" ht="105" customHeight="1">
      <x:c r="A75" s="61" t="n">
        <x:v>361</x:v>
      </x:c>
      <x:c r="B75" s="61" t="str">
        <x:v>Email Dossier</x:v>
      </x:c>
      <x:c r="C75" s="61" t="str">
        <x:v>B</x:v>
      </x:c>
      <x:c r="D75" s="61" t="str">
        <x:v>Documented</x:v>
      </x:c>
      <x:c r="E75" s="61" t="str">
        <x:v>EMAIL</x:v>
      </x:c>
      <x:c r="F75" s="61" t="str">
        <x:v>Email-domain / SMTP diagnostics</x:v>
      </x:c>
      <x:c r="G75" s="61" t="str">
        <x:v>Technical checks can support an address/domain observation. They do not authenticate a human sender or account owner.</x:v>
      </x:c>
      <x:c r="H75" s="61" t="str">
        <x:v>Corroborate before attribution</x:v>
      </x:c>
      <x:c r="I75" s="61" t="str">
        <x:v>Content readable; lookup not tested</x:v>
      </x:c>
      <x:c r="J75" s="61" t="str">
        <x:v>Provider documentation</x:v>
      </x:c>
      <x:c r="K75" s="61" t="str">
        <x:v>S022</x:v>
      </x:c>
      <x:c r="L75" s="70" t="str">
        <x:v>https://centralops.net/co/emaildossier.aspx</x:v>
      </x:c>
      <x:c r="M75" s="70" t="str">
        <x:v>https://centralops.net/co/emaildossier.aspx</x:v>
      </x:c>
      <x:c r="N75" s="61" t="str">
        <x:v>268397658</x:v>
      </x:c>
      <x:c r="O75" s="61" t="n">
        <x:v>1010</x:v>
      </x:c>
      <x:c r="P75" s="61" t="n">
        <x:v>11</x:v>
      </x:c>
      <x:c r="Q75" s="61" t="str">
        <x:v>2026-09-15</x:v>
      </x:c>
      <x:c r="R75" s="61" t="n">
        <x:v>1</x:v>
      </x:c>
      <x:c r="S75" s="61" t="str">
        <x:v>Contacts / records</x:v>
      </x:c>
      <x:c r="T75" s="61" t="str">
        <x:v>Scoped desk assessment</x:v>
      </x:c>
    </x:row>
    <x:row r="76" ht="105" customHeight="1">
      <x:c r="A76" s="61" t="n">
        <x:v>362</x:v>
      </x:c>
      <x:c r="B76" s="61" t="str">
        <x:v>Email Format</x:v>
      </x:c>
      <x:c r="C76" s="61" t="str">
        <x:v>C</x:v>
      </x:c>
      <x:c r="D76" s="61" t="str">
        <x:v>Documented</x:v>
      </x:c>
      <x:c r="E76" s="61" t="str">
        <x:v>EMAIL</x:v>
      </x:c>
      <x:c r="F76" s="61" t="str">
        <x:v>Organizational email-format leads</x:v>
      </x:c>
      <x:c r="G76" s="61" t="str">
        <x:v>Lists email address patterns for organizations. A guessed pattern does not establish that a particular mailbox exists.</x:v>
      </x:c>
      <x:c r="H76" s="61" t="str">
        <x:v>Corroborate before attribution</x:v>
      </x:c>
      <x:c r="I76" s="61" t="str">
        <x:v>Content readable; lookup not tested</x:v>
      </x:c>
      <x:c r="J76" s="61" t="str">
        <x:v>Provider landing page</x:v>
      </x:c>
      <x:c r="K76" s="61" t="str">
        <x:v>S024</x:v>
      </x:c>
      <x:c r="L76" s="70" t="str">
        <x:v>https://www.email-format.com/</x:v>
      </x:c>
      <x:c r="M76" s="70" t="str">
        <x:v>https://www.email-format.com/</x:v>
      </x:c>
      <x:c r="N76" s="61" t="str">
        <x:v>297339964</x:v>
      </x:c>
      <x:c r="O76" s="61" t="n">
        <x:v>1010</x:v>
      </x:c>
      <x:c r="P76" s="61" t="n">
        <x:v>12</x:v>
      </x:c>
      <x:c r="Q76" s="61" t="str">
        <x:v>2026-09-15</x:v>
      </x:c>
      <x:c r="R76" s="61" t="n">
        <x:v>1</x:v>
      </x:c>
      <x:c r="S76" s="61" t="str">
        <x:v>Contacts / records</x:v>
      </x:c>
      <x:c r="T76" s="61" t="str">
        <x:v>Scoped desk assessment</x:v>
      </x:c>
    </x:row>
    <x:row r="77" ht="105" customHeight="1">
      <x:c r="A77" s="61" t="n">
        <x:v>363</x:v>
      </x:c>
      <x:c r="B77" s="61" t="str">
        <x:v>Email Header Analyzer</x:v>
      </x:c>
      <x:c r="C77" s="61" t="str">
        <x:v>B</x:v>
      </x:c>
      <x:c r="D77" s="61" t="str">
        <x:v>Documented</x:v>
      </x:c>
      <x:c r="E77" s="61" t="str">
        <x:v>EMAIL</x:v>
      </x:c>
      <x:c r="F77" s="61" t="str">
        <x:v>Parsing supplied email headers</x:v>
      </x:c>
      <x:c r="G77" s="61" t="str">
        <x:v>Useful for interpreting header fields and routing. Preserve the original message; parsed headers alone are not proof of sender identity.</x:v>
      </x:c>
      <x:c r="H77" s="61" t="str">
        <x:v>Corroborate before attribution</x:v>
      </x:c>
      <x:c r="I77" s="61" t="str">
        <x:v>Content readable; lookup not tested</x:v>
      </x:c>
      <x:c r="J77" s="61" t="str">
        <x:v>Provider documentation</x:v>
      </x:c>
      <x:c r="K77" s="61" t="str">
        <x:v>S023</x:v>
      </x:c>
      <x:c r="L77" s="70" t="str">
        <x:v>https://mxtoolbox.com/EmailHeaders.aspx</x:v>
      </x:c>
      <x:c r="M77" s="70" t="str">
        <x:v>https://mxtoolbox.com/EmailHeaders.aspx</x:v>
      </x:c>
      <x:c r="N77" s="61" t="str">
        <x:v>268401242</x:v>
      </x:c>
      <x:c r="O77" s="61" t="n">
        <x:v>1010</x:v>
      </x:c>
      <x:c r="P77" s="61" t="n">
        <x:v>13</x:v>
      </x:c>
      <x:c r="Q77" s="61" t="str">
        <x:v>2026-09-15</x:v>
      </x:c>
      <x:c r="R77" s="61" t="n">
        <x:v>1</x:v>
      </x:c>
      <x:c r="S77" s="61" t="str">
        <x:v>Contacts / records</x:v>
      </x:c>
      <x:c r="T77" s="61" t="str">
        <x:v>Scoped desk assessment</x:v>
      </x:c>
    </x:row>
    <x:row r="78" ht="105" customHeight="1">
      <x:c r="A78" s="61" t="n">
        <x:v>364</x:v>
      </x:c>
      <x:c r="B78" s="61" t="str">
        <x:v>E-mail search tool</x:v>
      </x:c>
      <x:c r="C78" s="61" t="str">
        <x:v>C</x:v>
      </x:c>
      <x:c r="D78" s="61" t="str">
        <x:v>Documented</x:v>
      </x:c>
      <x:c r="E78" s="61" t="str">
        <x:v>EMAIL</x:v>
      </x:c>
      <x:c r="F78" s="61" t="str">
        <x:v>Email-search query launcher</x:v>
      </x:c>
      <x:c r="G78" s="61" t="str">
        <x:v>Builds searches of external services. The launcher is not independent evidence that a person controls an address.</x:v>
      </x:c>
      <x:c r="H78" s="61" t="str">
        <x:v>Corroborate before attribution</x:v>
      </x:c>
      <x:c r="I78" s="61" t="str">
        <x:v>Content readable; lookup not tested</x:v>
      </x:c>
      <x:c r="J78" s="61" t="str">
        <x:v>Provider documentation</x:v>
      </x:c>
      <x:c r="K78" s="61" t="str">
        <x:v>S085</x:v>
      </x:c>
      <x:c r="L78" s="70" t="str">
        <x:v>https://www.aware-online.com/en/osint-tools/email-search-tool/</x:v>
      </x:c>
      <x:c r="M78" s="70" t="str">
        <x:v>https://www.aware-online.com/osint-tools/e-mail-search-tool/</x:v>
      </x:c>
      <x:c r="N78" s="61" t="str">
        <x:v>268401240</x:v>
      </x:c>
      <x:c r="O78" s="61" t="n">
        <x:v>1010</x:v>
      </x:c>
      <x:c r="P78" s="61" t="n">
        <x:v>14</x:v>
      </x:c>
      <x:c r="Q78" s="61" t="str">
        <x:v>2026-09-15</x:v>
      </x:c>
      <x:c r="R78" s="61" t="n">
        <x:v>1</x:v>
      </x:c>
      <x:c r="S78" s="61" t="str">
        <x:v>Contacts / records</x:v>
      </x:c>
      <x:c r="T78" s="61" t="str">
        <x:v>Scoped desk assessment</x:v>
      </x:c>
    </x:row>
    <x:row r="79" ht="105" customHeight="1">
      <x:c r="A79" s="61" t="n">
        <x:v>365</x:v>
      </x:c>
      <x:c r="B79" s="61" t="str">
        <x:v>Proofy</x:v>
      </x:c>
      <x:c r="C79" s="61" t="str">
        <x:v>B</x:v>
      </x:c>
      <x:c r="D79" s="61" t="str">
        <x:v>Documented</x:v>
      </x:c>
      <x:c r="E79" s="61" t="str">
        <x:v>EMAIL</x:v>
      </x:c>
      <x:c r="F79" s="61" t="str">
        <x:v>Email deliverability only</x:v>
      </x:c>
      <x:c r="G79" s="61" t="str">
        <x:v>Verification service documentation supports a technical mailbox check, not the identity or affiliation of the human behind it.</x:v>
      </x:c>
      <x:c r="H79" s="61" t="str">
        <x:v>Corroborate before attribution</x:v>
      </x:c>
      <x:c r="I79" s="61" t="str">
        <x:v>Content readable; lookup not tested</x:v>
      </x:c>
      <x:c r="J79" s="61" t="str">
        <x:v>Provider landing page</x:v>
      </x:c>
      <x:c r="K79" s="61" t="str">
        <x:v>S025</x:v>
      </x:c>
      <x:c r="L79" s="70" t="str">
        <x:v>https://proofy.io/</x:v>
      </x:c>
      <x:c r="M79" s="70" t="str">
        <x:v>https://proofy.io/</x:v>
      </x:c>
      <x:c r="N79" s="61" t="str">
        <x:v>268403987</x:v>
      </x:c>
      <x:c r="O79" s="61" t="n">
        <x:v>1010</x:v>
      </x:c>
      <x:c r="P79" s="61" t="n">
        <x:v>15</x:v>
      </x:c>
      <x:c r="Q79" s="61" t="str">
        <x:v>2026-09-15</x:v>
      </x:c>
      <x:c r="R79" s="61" t="n">
        <x:v>1</x:v>
      </x:c>
      <x:c r="S79" s="61" t="str">
        <x:v>Contacts / records</x:v>
      </x:c>
      <x:c r="T79" s="61" t="str">
        <x:v>Scoped desk assessment</x:v>
      </x:c>
    </x:row>
    <x:row r="80" ht="105" customHeight="1">
      <x:c r="A80" s="61" t="n">
        <x:v>366</x:v>
      </x:c>
      <x:c r="B80" s="61" t="str">
        <x:v>Email Permutator</x:v>
      </x:c>
      <x:c r="C80" s="61" t="str">
        <x:v>N/A</x:v>
      </x:c>
      <x:c r="D80" s="61" t="str">
        <x:v>Utility classification</x:v>
      </x:c>
      <x:c r="E80" s="61" t="str">
        <x:v>EMAIL</x:v>
      </x:c>
      <x:c r="F80" s="61" t="str">
        <x:v>Email-related discovery or analysis</x:v>
      </x:c>
      <x:c r="G80" s="61" t="str">
        <x:v>Processing or reference utility, not independent connection evidence. Preserve original inputs and validate important output.</x:v>
      </x:c>
      <x:c r="H80" s="61" t="str">
        <x:v>Use as a utility only; functionality not audited</x:v>
      </x:c>
      <x:c r="I80" s="61" t="str">
        <x:v>Unresolved reader access; website status unknown</x:v>
      </x:c>
      <x:c r="J80" s="61" t="str">
        <x:v>Fetch attempted; no usable substantive content</x:v>
      </x:c>
      <x:c r="K80" s="61" t="str"/>
      <x:c r="L80" s="70" t="str"/>
      <x:c r="M80" s="70" t="str">
        <x:v>http://metricsparrow.com/toolkit/email-permutator/</x:v>
      </x:c>
      <x:c r="N80" s="61" t="str">
        <x:v>268503341</x:v>
      </x:c>
      <x:c r="O80" s="61" t="n">
        <x:v>1010</x:v>
      </x:c>
      <x:c r="P80" s="61" t="n">
        <x:v>16</x:v>
      </x:c>
      <x:c r="Q80" s="61" t="str">
        <x:v>2026-09-15</x:v>
      </x:c>
      <x:c r="R80" s="61" t="n">
        <x:v>1</x:v>
      </x:c>
      <x:c r="S80" s="61" t="str">
        <x:v>Contacts / records</x:v>
      </x:c>
      <x:c r="T80" s="61" t="str">
        <x:v>Scope only</x:v>
      </x:c>
    </x:row>
    <x:row r="81" ht="105" customHeight="1">
      <x:c r="A81" s="61" t="n">
        <x:v>367</x:v>
      </x:c>
      <x:c r="B81" s="61" t="str">
        <x:v>Phonebook.cz</x:v>
      </x:c>
      <x:c r="C81" s="61" t="str">
        <x:v>C</x:v>
      </x:c>
      <x:c r="D81" s="61" t="str">
        <x:v>Documented</x:v>
      </x:c>
      <x:c r="E81" s="61" t="str">
        <x:v>EMAIL</x:v>
      </x:c>
      <x:c r="F81" s="61" t="str">
        <x:v>Domain-linked emails / URLs / subdomains</x:v>
      </x:c>
      <x:c r="G81" s="61" t="str">
        <x:v>Despite its title, Phonebook is a domain discovery tool from Intelligence X, not a verified telephone subscriber registry.</x:v>
      </x:c>
      <x:c r="H81" s="61" t="str">
        <x:v>Corroborate before attribution</x:v>
      </x:c>
      <x:c r="I81" s="61" t="str">
        <x:v>Content readable; lookup not tested</x:v>
      </x:c>
      <x:c r="J81" s="61" t="str">
        <x:v>Provider landing page</x:v>
      </x:c>
      <x:c r="K81" s="61" t="str">
        <x:v>S026</x:v>
      </x:c>
      <x:c r="L81" s="70" t="str">
        <x:v>https://phonebook.cz/</x:v>
      </x:c>
      <x:c r="M81" s="70" t="str">
        <x:v>https://phonebook.cz/</x:v>
      </x:c>
      <x:c r="N81" s="61" t="str">
        <x:v>268509558</x:v>
      </x:c>
      <x:c r="O81" s="61" t="n">
        <x:v>1010</x:v>
      </x:c>
      <x:c r="P81" s="61" t="n">
        <x:v>17</x:v>
      </x:c>
      <x:c r="Q81" s="61" t="str">
        <x:v>2026-09-15</x:v>
      </x:c>
      <x:c r="R81" s="61" t="n">
        <x:v>1</x:v>
      </x:c>
      <x:c r="S81" s="61" t="str">
        <x:v>Contacts / records</x:v>
      </x:c>
      <x:c r="T81" s="61" t="str">
        <x:v>Scoped desk assessment</x:v>
      </x:c>
    </x:row>
    <x:row r="82" ht="105" customHeight="1">
      <x:c r="A82" s="61" t="n">
        <x:v>368</x:v>
      </x:c>
      <x:c r="B82" s="61" t="str">
        <x:v>Email Breach Analysis</x:v>
      </x:c>
      <x:c r="C82" s="61" t="str">
        <x:v>U</x:v>
      </x:c>
      <x:c r="D82" s="61" t="str">
        <x:v>Unassessed</x:v>
      </x:c>
      <x:c r="E82" s="61" t="str">
        <x:v>EMAIL</x:v>
      </x:c>
      <x:c r="F82" s="61" t="str">
        <x:v>Email-related discovery or analysis</x:v>
      </x:c>
      <x:c r="G82" s="61" t="str">
        <x:v>Distinguish an address pattern, deliverability, account existence and actual mailbox ownership.</x:v>
      </x:c>
      <x:c r="H82" s="61" t="str">
        <x:v>Verify publisher, source and current function before reliance</x:v>
      </x:c>
      <x:c r="I82" s="61" t="str">
        <x:v>Not checked</x:v>
      </x:c>
      <x:c r="J82" s="61" t="str">
        <x:v>Saved bookmark metadata only</x:v>
      </x:c>
      <x:c r="K82" s="61" t="str"/>
      <x:c r="L82" s="70" t="str"/>
      <x:c r="M82" s="70" t="str">
        <x:v>https://www.hotsheet.com/inoitsu/</x:v>
      </x:c>
      <x:c r="N82" s="61" t="str">
        <x:v>268509563</x:v>
      </x:c>
      <x:c r="O82" s="61" t="n">
        <x:v>1010</x:v>
      </x:c>
      <x:c r="P82" s="61" t="n">
        <x:v>18</x:v>
      </x:c>
      <x:c r="Q82" s="61" t="str"/>
      <x:c r="R82" s="61" t="n">
        <x:v>1</x:v>
      </x:c>
      <x:c r="S82" s="61" t="str">
        <x:v>Contacts / records</x:v>
      </x:c>
      <x:c r="T82" s="61" t="str">
        <x:v>Not established</x:v>
      </x:c>
    </x:row>
    <x:row r="83" ht="105" customHeight="1">
      <x:c r="A83" s="61" t="n">
        <x:v>369</x:v>
      </x:c>
      <x:c r="B83" s="61" t="str">
        <x:v>Emailrep.io</x:v>
      </x:c>
      <x:c r="C83" s="61" t="str">
        <x:v>C</x:v>
      </x:c>
      <x:c r="D83" s="61" t="str">
        <x:v>Documented</x:v>
      </x:c>
      <x:c r="E83" s="61" t="str">
        <x:v>EMAIL</x:v>
      </x:c>
      <x:c r="F83" s="61" t="str">
        <x:v>Email reputation signal</x:v>
      </x:c>
      <x:c r="G83" s="61" t="str">
        <x:v>Reputation indicators combine observed history and signals; a risk label is not evidence that a person committed wrongdoing.</x:v>
      </x:c>
      <x:c r="H83" s="61" t="str">
        <x:v>Corroborate before attribution</x:v>
      </x:c>
      <x:c r="I83" s="61" t="str">
        <x:v>Content readable; lookup not tested</x:v>
      </x:c>
      <x:c r="J83" s="61" t="str">
        <x:v>Provider documentation</x:v>
      </x:c>
      <x:c r="K83" s="61" t="str">
        <x:v>S027</x:v>
      </x:c>
      <x:c r="L83" s="70" t="str">
        <x:v>https://emailrep.io/</x:v>
      </x:c>
      <x:c r="M83" s="70" t="str">
        <x:v>https://emailrep.io/</x:v>
      </x:c>
      <x:c r="N83" s="61" t="str">
        <x:v>268509565</x:v>
      </x:c>
      <x:c r="O83" s="61" t="n">
        <x:v>1010</x:v>
      </x:c>
      <x:c r="P83" s="61" t="n">
        <x:v>19</x:v>
      </x:c>
      <x:c r="Q83" s="61" t="str">
        <x:v>2026-09-15</x:v>
      </x:c>
      <x:c r="R83" s="61" t="n">
        <x:v>1</x:v>
      </x:c>
      <x:c r="S83" s="61" t="str">
        <x:v>Contacts / records</x:v>
      </x:c>
      <x:c r="T83" s="61" t="str">
        <x:v>Scoped desk assessment</x:v>
      </x:c>
    </x:row>
    <x:row r="84" ht="105" customHeight="1">
      <x:c r="A84" s="61" t="n">
        <x:v>370</x:v>
      </x:c>
      <x:c r="B84" s="61" t="str">
        <x:v>Email Finder</x:v>
      </x:c>
      <x:c r="C84" s="61" t="str">
        <x:v>U</x:v>
      </x:c>
      <x:c r="D84" s="61" t="str">
        <x:v>Unassessed</x:v>
      </x:c>
      <x:c r="E84" s="61" t="str">
        <x:v>EMAIL</x:v>
      </x:c>
      <x:c r="F84" s="61" t="str">
        <x:v>Email-related discovery or analysis</x:v>
      </x:c>
      <x:c r="G84" s="61" t="str">
        <x:v>Distinguish an address pattern, deliverability, account existence and actual mailbox ownership.</x:v>
      </x:c>
      <x:c r="H84" s="61" t="str">
        <x:v>Verify publisher, source and current function before reliance</x:v>
      </x:c>
      <x:c r="I84" s="61" t="str">
        <x:v>Not checked</x:v>
      </x:c>
      <x:c r="J84" s="61" t="str">
        <x:v>Saved bookmark metadata only</x:v>
      </x:c>
      <x:c r="K84" s="61" t="str"/>
      <x:c r="L84" s="70" t="str"/>
      <x:c r="M84" s="70" t="str">
        <x:v>https://osint.sh/email/</x:v>
      </x:c>
      <x:c r="N84" s="61" t="str">
        <x:v>286695252</x:v>
      </x:c>
      <x:c r="O84" s="61" t="n">
        <x:v>1010</x:v>
      </x:c>
      <x:c r="P84" s="61" t="n">
        <x:v>20</x:v>
      </x:c>
      <x:c r="Q84" s="61" t="str"/>
      <x:c r="R84" s="61" t="n">
        <x:v>1</x:v>
      </x:c>
      <x:c r="S84" s="61" t="str">
        <x:v>Contacts / records</x:v>
      </x:c>
      <x:c r="T84" s="61" t="str">
        <x:v>Not established</x:v>
      </x:c>
    </x:row>
    <x:row r="85" ht="105" customHeight="1">
      <x:c r="A85" s="61" t="n">
        <x:v>371</x:v>
      </x:c>
      <x:c r="B85" s="61" t="str">
        <x:v>EmailHarvester</x:v>
      </x:c>
      <x:c r="C85" s="61" t="str">
        <x:v>U</x:v>
      </x:c>
      <x:c r="D85" s="61" t="str">
        <x:v>Unassessed</x:v>
      </x:c>
      <x:c r="E85" s="61" t="str">
        <x:v>EMAIL</x:v>
      </x:c>
      <x:c r="F85" s="61" t="str">
        <x:v>Email-related discovery or analysis</x:v>
      </x:c>
      <x:c r="G85" s="61" t="str">
        <x:v>Distinguish an address pattern, deliverability, account existence and actual mailbox ownership.</x:v>
      </x:c>
      <x:c r="H85" s="61" t="str">
        <x:v>Verify publisher, source and current function before reliance</x:v>
      </x:c>
      <x:c r="I85" s="61" t="str">
        <x:v>Not checked</x:v>
      </x:c>
      <x:c r="J85" s="61" t="str">
        <x:v>Saved bookmark metadata only</x:v>
      </x:c>
      <x:c r="K85" s="61" t="str"/>
      <x:c r="L85" s="70" t="str"/>
      <x:c r="M85" s="70" t="str">
        <x:v>https://pypi.org/project/EmailHarvester/</x:v>
      </x:c>
      <x:c r="N85" s="61" t="str">
        <x:v>268401663</x:v>
      </x:c>
      <x:c r="O85" s="61" t="n">
        <x:v>1010</x:v>
      </x:c>
      <x:c r="P85" s="61" t="n">
        <x:v>21</x:v>
      </x:c>
      <x:c r="Q85" s="61" t="str"/>
      <x:c r="R85" s="61" t="n">
        <x:v>1</x:v>
      </x:c>
      <x:c r="S85" s="61" t="str">
        <x:v>Contacts / records</x:v>
      </x:c>
      <x:c r="T85" s="61" t="str">
        <x:v>Not established</x:v>
      </x:c>
    </x:row>
    <x:row r="86" ht="105" customHeight="1">
      <x:c r="A86" s="61" t="n">
        <x:v>372</x:v>
      </x:c>
      <x:c r="B86" s="61" t="str">
        <x:v>h8mail</x:v>
      </x:c>
      <x:c r="C86" s="61" t="str">
        <x:v>U</x:v>
      </x:c>
      <x:c r="D86" s="61" t="str">
        <x:v>Unassessed</x:v>
      </x:c>
      <x:c r="E86" s="61" t="str">
        <x:v>EMAIL</x:v>
      </x:c>
      <x:c r="F86" s="61" t="str">
        <x:v>Email-related discovery or analysis</x:v>
      </x:c>
      <x:c r="G86" s="61" t="str">
        <x:v>Distinguish an address pattern, deliverability, account existence and actual mailbox ownership.</x:v>
      </x:c>
      <x:c r="H86" s="61" t="str">
        <x:v>Verify publisher, source and current function before reliance</x:v>
      </x:c>
      <x:c r="I86" s="61" t="str">
        <x:v>Not checked</x:v>
      </x:c>
      <x:c r="J86" s="61" t="str">
        <x:v>Saved bookmark metadata only</x:v>
      </x:c>
      <x:c r="K86" s="61" t="str"/>
      <x:c r="L86" s="70" t="str"/>
      <x:c r="M86" s="70" t="str">
        <x:v>https://pypi.org/project/h8mail/</x:v>
      </x:c>
      <x:c r="N86" s="61" t="str">
        <x:v>268399149</x:v>
      </x:c>
      <x:c r="O86" s="61" t="n">
        <x:v>1010</x:v>
      </x:c>
      <x:c r="P86" s="61" t="n">
        <x:v>22</x:v>
      </x:c>
      <x:c r="Q86" s="61" t="str"/>
      <x:c r="R86" s="61" t="n">
        <x:v>1</x:v>
      </x:c>
      <x:c r="S86" s="61" t="str">
        <x:v>Contacts / records</x:v>
      </x:c>
      <x:c r="T86" s="61" t="str">
        <x:v>Not established</x:v>
      </x:c>
    </x:row>
    <x:row r="87" ht="105" customHeight="1">
      <x:c r="A87" s="61" t="n">
        <x:v>373</x:v>
      </x:c>
      <x:c r="B87" s="61" t="str">
        <x:v>WhatBreach</x:v>
      </x:c>
      <x:c r="C87" s="61" t="str">
        <x:v>U</x:v>
      </x:c>
      <x:c r="D87" s="61" t="str">
        <x:v>Unassessed</x:v>
      </x:c>
      <x:c r="E87" s="61" t="str">
        <x:v>EMAIL</x:v>
      </x:c>
      <x:c r="F87" s="61" t="str">
        <x:v>Email-related discovery or analysis</x:v>
      </x:c>
      <x:c r="G87" s="61" t="str">
        <x:v>Distinguish an address pattern, deliverability, account existence and actual mailbox ownership.</x:v>
      </x:c>
      <x:c r="H87" s="61" t="str">
        <x:v>Verify publisher, source and current function before reliance</x:v>
      </x:c>
      <x:c r="I87" s="61" t="str">
        <x:v>Not checked</x:v>
      </x:c>
      <x:c r="J87" s="61" t="str">
        <x:v>Saved bookmark metadata only</x:v>
      </x:c>
      <x:c r="K87" s="61" t="str"/>
      <x:c r="L87" s="70" t="str"/>
      <x:c r="M87" s="70" t="str">
        <x:v>https://github.com/Ekultek/WhatBreach</x:v>
      </x:c>
      <x:c r="N87" s="61" t="str">
        <x:v>289970280</x:v>
      </x:c>
      <x:c r="O87" s="61" t="n">
        <x:v>1011</x:v>
      </x:c>
      <x:c r="P87" s="61" t="n">
        <x:v>23</x:v>
      </x:c>
      <x:c r="Q87" s="61" t="str"/>
      <x:c r="R87" s="61" t="n">
        <x:v>1</x:v>
      </x:c>
      <x:c r="S87" s="61" t="str">
        <x:v>Contacts / records</x:v>
      </x:c>
      <x:c r="T87" s="61" t="str">
        <x:v>Not established</x:v>
      </x:c>
    </x:row>
    <x:row r="88" ht="105" customHeight="1">
      <x:c r="A88" s="61" t="n">
        <x:v>374</x:v>
      </x:c>
      <x:c r="B88" s="61" t="str">
        <x:v>buster</x:v>
      </x:c>
      <x:c r="C88" s="61" t="str">
        <x:v>U</x:v>
      </x:c>
      <x:c r="D88" s="61" t="str">
        <x:v>Unassessed</x:v>
      </x:c>
      <x:c r="E88" s="61" t="str">
        <x:v>EMAIL</x:v>
      </x:c>
      <x:c r="F88" s="61" t="str">
        <x:v>Email-related discovery or analysis</x:v>
      </x:c>
      <x:c r="G88" s="61" t="str">
        <x:v>Distinguish an address pattern, deliverability, account existence and actual mailbox ownership.</x:v>
      </x:c>
      <x:c r="H88" s="61" t="str">
        <x:v>Verify publisher, source and current function before reliance</x:v>
      </x:c>
      <x:c r="I88" s="61" t="str">
        <x:v>Not checked</x:v>
      </x:c>
      <x:c r="J88" s="61" t="str">
        <x:v>Saved bookmark metadata only</x:v>
      </x:c>
      <x:c r="K88" s="61" t="str"/>
      <x:c r="L88" s="70" t="str"/>
      <x:c r="M88" s="70" t="str">
        <x:v>https://github.com/sham00n/buster</x:v>
      </x:c>
      <x:c r="N88" s="61" t="str">
        <x:v>289970578</x:v>
      </x:c>
      <x:c r="O88" s="61" t="n">
        <x:v>1011</x:v>
      </x:c>
      <x:c r="P88" s="61" t="n">
        <x:v>24</x:v>
      </x:c>
      <x:c r="Q88" s="61" t="str"/>
      <x:c r="R88" s="61" t="n">
        <x:v>1</x:v>
      </x:c>
      <x:c r="S88" s="61" t="str">
        <x:v>Contacts / records</x:v>
      </x:c>
      <x:c r="T88" s="61" t="str">
        <x:v>Not established</x:v>
      </x:c>
    </x:row>
    <x:row r="89" ht="105" customHeight="1">
      <x:c r="A89" s="61" t="n">
        <x:v>375</x:v>
      </x:c>
      <x:c r="B89" s="61" t="str">
        <x:v>Anymailfinder.com</x:v>
      </x:c>
      <x:c r="C89" s="61" t="str">
        <x:v>C</x:v>
      </x:c>
      <x:c r="D89" s="61" t="str">
        <x:v>Documented</x:v>
      </x:c>
      <x:c r="E89" s="61" t="str">
        <x:v>EMAIL</x:v>
      </x:c>
      <x:c r="F89" s="61" t="str">
        <x:v>B2B email discovery</x:v>
      </x:c>
      <x:c r="G89" s="61" t="str">
        <x:v>Vendor advertises live verification. A deliverable suggested address still needs independent confirmation of person and current role.</x:v>
      </x:c>
      <x:c r="H89" s="61" t="str">
        <x:v>Corroborate before attribution</x:v>
      </x:c>
      <x:c r="I89" s="61" t="str">
        <x:v>Content readable; lookup not tested</x:v>
      </x:c>
      <x:c r="J89" s="61" t="str">
        <x:v>Provider landing page</x:v>
      </x:c>
      <x:c r="K89" s="61" t="str">
        <x:v>S028</x:v>
      </x:c>
      <x:c r="L89" s="70" t="str">
        <x:v>https://anymailfinder.com/</x:v>
      </x:c>
      <x:c r="M89" s="70" t="str">
        <x:v>https://anymailfinder.com/</x:v>
      </x:c>
      <x:c r="N89" s="61" t="str">
        <x:v>305289074</x:v>
      </x:c>
      <x:c r="O89" s="61" t="n">
        <x:v>1011</x:v>
      </x:c>
      <x:c r="P89" s="61" t="n">
        <x:v>25</x:v>
      </x:c>
      <x:c r="Q89" s="61" t="str">
        <x:v>2026-09-15</x:v>
      </x:c>
      <x:c r="R89" s="61" t="n">
        <x:v>1</x:v>
      </x:c>
      <x:c r="S89" s="61" t="str">
        <x:v>Contacts / records</x:v>
      </x:c>
      <x:c r="T89" s="61" t="str">
        <x:v>Scoped desk assessment</x:v>
      </x:c>
    </x:row>
    <x:row r="90" ht="105" customHeight="1">
      <x:c r="A90" s="61" t="n">
        <x:v>376</x:v>
      </x:c>
      <x:c r="B90" s="61" t="str">
        <x:v>ProtOSINT</x:v>
      </x:c>
      <x:c r="C90" s="61" t="str">
        <x:v>U</x:v>
      </x:c>
      <x:c r="D90" s="61" t="str">
        <x:v>Unassessed</x:v>
      </x:c>
      <x:c r="E90" s="61" t="str">
        <x:v>EMAIL</x:v>
      </x:c>
      <x:c r="F90" s="61" t="str">
        <x:v>Email-related discovery or analysis</x:v>
      </x:c>
      <x:c r="G90" s="61" t="str">
        <x:v>Distinguish an address pattern, deliverability, account existence and actual mailbox ownership.</x:v>
      </x:c>
      <x:c r="H90" s="61" t="str">
        <x:v>Verify publisher, source and current function before reliance</x:v>
      </x:c>
      <x:c r="I90" s="61" t="str">
        <x:v>Not checked</x:v>
      </x:c>
      <x:c r="J90" s="61" t="str">
        <x:v>Saved bookmark metadata only</x:v>
      </x:c>
      <x:c r="K90" s="61" t="str"/>
      <x:c r="L90" s="70" t="str"/>
      <x:c r="M90" s="70" t="str">
        <x:v>https://github.com/pixelbubble/ProtOSINT</x:v>
      </x:c>
      <x:c r="N90" s="61" t="str">
        <x:v>311647641</x:v>
      </x:c>
      <x:c r="O90" s="61" t="n">
        <x:v>1011</x:v>
      </x:c>
      <x:c r="P90" s="61" t="n">
        <x:v>26</x:v>
      </x:c>
      <x:c r="Q90" s="61" t="str"/>
      <x:c r="R90" s="61" t="n">
        <x:v>1</x:v>
      </x:c>
      <x:c r="S90" s="61" t="str">
        <x:v>Contacts / records</x:v>
      </x:c>
      <x:c r="T90" s="61" t="str">
        <x:v>Not established</x:v>
      </x:c>
    </x:row>
    <x:row r="91" ht="105" customHeight="1">
      <x:c r="A91" s="61" t="n">
        <x:v>377</x:v>
      </x:c>
      <x:c r="B91" s="61" t="str">
        <x:v>IntelTechniques Telephone</x:v>
      </x:c>
      <x:c r="C91" s="61" t="str">
        <x:v>U</x:v>
      </x:c>
      <x:c r="D91" s="61" t="str">
        <x:v>Unassessed</x:v>
      </x:c>
      <x:c r="E91" s="61" t="str">
        <x:v>PHONE</x:v>
      </x:c>
      <x:c r="F91" s="61" t="str">
        <x:v>Telephone-related discovery or analysis</x:v>
      </x:c>
      <x:c r="G91" s="61" t="str">
        <x:v>A number association is not verified subscriber identity, current ownership or physical proximity.</x:v>
      </x:c>
      <x:c r="H91" s="61" t="str">
        <x:v>Verify publisher, source and current function before reliance</x:v>
      </x:c>
      <x:c r="I91" s="61" t="str">
        <x:v>Not checked</x:v>
      </x:c>
      <x:c r="J91" s="61" t="str">
        <x:v>Saved bookmark metadata only</x:v>
      </x:c>
      <x:c r="K91" s="61" t="str"/>
      <x:c r="L91" s="70" t="str"/>
      <x:c r="M91" s="70" t="str">
        <x:v>https://inteltechniques.com/tools/Telephone.html</x:v>
      </x:c>
      <x:c r="N91" s="61" t="str">
        <x:v>314744608</x:v>
      </x:c>
      <x:c r="O91" s="61" t="n">
        <x:v>1012</x:v>
      </x:c>
      <x:c r="P91" s="61" t="n">
        <x:v>1</x:v>
      </x:c>
      <x:c r="Q91" s="61" t="str"/>
      <x:c r="R91" s="61" t="n">
        <x:v>1</x:v>
      </x:c>
      <x:c r="S91" s="61" t="str">
        <x:v>Contacts / records</x:v>
      </x:c>
      <x:c r="T91" s="61" t="str">
        <x:v>Not established</x:v>
      </x:c>
    </x:row>
    <x:row r="92" ht="105" customHeight="1">
      <x:c r="A92" s="61" t="n">
        <x:v>378</x:v>
      </x:c>
      <x:c r="B92" s="61" t="str">
        <x:v>PhoneInfoga</x:v>
      </x:c>
      <x:c r="C92" s="61" t="str">
        <x:v>U</x:v>
      </x:c>
      <x:c r="D92" s="61" t="str">
        <x:v>Unassessed</x:v>
      </x:c>
      <x:c r="E92" s="61" t="str">
        <x:v>PHONE</x:v>
      </x:c>
      <x:c r="F92" s="61" t="str">
        <x:v>Telephone-related discovery or analysis</x:v>
      </x:c>
      <x:c r="G92" s="61" t="str">
        <x:v>A number association is not verified subscriber identity, current ownership or physical proximity.</x:v>
      </x:c>
      <x:c r="H92" s="61" t="str">
        <x:v>Verify publisher, source and current function before reliance</x:v>
      </x:c>
      <x:c r="I92" s="61" t="str">
        <x:v>Not checked</x:v>
      </x:c>
      <x:c r="J92" s="61" t="str">
        <x:v>Saved bookmark metadata only</x:v>
      </x:c>
      <x:c r="K92" s="61" t="str"/>
      <x:c r="L92" s="70" t="str"/>
      <x:c r="M92" s="70" t="str">
        <x:v>https://demo.phoneinfoga.crvx.fr/</x:v>
      </x:c>
      <x:c r="N92" s="61" t="str">
        <x:v>286686389</x:v>
      </x:c>
      <x:c r="O92" s="61" t="n">
        <x:v>1012</x:v>
      </x:c>
      <x:c r="P92" s="61" t="n">
        <x:v>2</x:v>
      </x:c>
      <x:c r="Q92" s="61" t="str"/>
      <x:c r="R92" s="61" t="n">
        <x:v>1</x:v>
      </x:c>
      <x:c r="S92" s="61" t="str">
        <x:v>Contacts / records</x:v>
      </x:c>
      <x:c r="T92" s="61" t="str">
        <x:v>Not established</x:v>
      </x:c>
    </x:row>
    <x:row r="93" ht="105" customHeight="1">
      <x:c r="A93" s="61" t="n">
        <x:v>379</x:v>
      </x:c>
      <x:c r="B93" s="61" t="str">
        <x:v>Reverse Phone Lookup</x:v>
      </x:c>
      <x:c r="C93" s="61" t="str">
        <x:v>C</x:v>
      </x:c>
      <x:c r="D93" s="61" t="str">
        <x:v>Documented</x:v>
      </x:c>
      <x:c r="E93" s="61" t="str">
        <x:v>PHONE</x:v>
      </x:c>
      <x:c r="F93" s="61" t="str">
        <x:v>Public profile and contact discovery</x:v>
      </x:c>
      <x:c r="G93" s="61" t="str">
        <x:v>Aggregates profiles and public-record leads. Marketing claims were not independently validated; resolve identity at the original page.</x:v>
      </x:c>
      <x:c r="H93" s="61" t="str">
        <x:v>Corroborate before attribution</x:v>
      </x:c>
      <x:c r="I93" s="61" t="str">
        <x:v>Content readable; lookup not tested</x:v>
      </x:c>
      <x:c r="J93" s="61" t="str">
        <x:v>Provider landing page</x:v>
      </x:c>
      <x:c r="K93" s="61" t="str">
        <x:v>S001</x:v>
      </x:c>
      <x:c r="L93" s="70" t="str">
        <x:v>https://www.idcrawl.com/</x:v>
      </x:c>
      <x:c r="M93" s="70" t="str">
        <x:v>https://www.idcrawl.com/phone</x:v>
      </x:c>
      <x:c r="N93" s="61" t="str">
        <x:v>291767477</x:v>
      </x:c>
      <x:c r="O93" s="61" t="n">
        <x:v>1012</x:v>
      </x:c>
      <x:c r="P93" s="61" t="n">
        <x:v>3</x:v>
      </x:c>
      <x:c r="Q93" s="61" t="str">
        <x:v>2026-09-15</x:v>
      </x:c>
      <x:c r="R93" s="61" t="n">
        <x:v>1</x:v>
      </x:c>
      <x:c r="S93" s="61" t="str">
        <x:v>Contacts / records</x:v>
      </x:c>
      <x:c r="T93" s="61" t="str">
        <x:v>Scoped desk assessment</x:v>
      </x:c>
    </x:row>
    <x:row r="94" ht="105" customHeight="1">
      <x:c r="A94" s="61" t="n">
        <x:v>380</x:v>
      </x:c>
      <x:c r="B94" s="61" t="str">
        <x:v>ignorant</x:v>
      </x:c>
      <x:c r="C94" s="61" t="str">
        <x:v>U</x:v>
      </x:c>
      <x:c r="D94" s="61" t="str">
        <x:v>Unassessed</x:v>
      </x:c>
      <x:c r="E94" s="61" t="str">
        <x:v>PHONE</x:v>
      </x:c>
      <x:c r="F94" s="61" t="str">
        <x:v>Telephone-related discovery or analysis</x:v>
      </x:c>
      <x:c r="G94" s="61" t="str">
        <x:v>A number association is not verified subscriber identity, current ownership or physical proximity.</x:v>
      </x:c>
      <x:c r="H94" s="61" t="str">
        <x:v>Verify publisher, source and current function before reliance</x:v>
      </x:c>
      <x:c r="I94" s="61" t="str">
        <x:v>Not checked</x:v>
      </x:c>
      <x:c r="J94" s="61" t="str">
        <x:v>Saved bookmark metadata only</x:v>
      </x:c>
      <x:c r="K94" s="61" t="str"/>
      <x:c r="L94" s="70" t="str"/>
      <x:c r="M94" s="70" t="str">
        <x:v>https://pypi.org/project/ignorant/</x:v>
      </x:c>
      <x:c r="N94" s="61" t="str">
        <x:v>287796081</x:v>
      </x:c>
      <x:c r="O94" s="61" t="n">
        <x:v>1012</x:v>
      </x:c>
      <x:c r="P94" s="61" t="n">
        <x:v>4</x:v>
      </x:c>
      <x:c r="Q94" s="61" t="str"/>
      <x:c r="R94" s="61" t="n">
        <x:v>1</x:v>
      </x:c>
      <x:c r="S94" s="61" t="str">
        <x:v>Contacts / records</x:v>
      </x:c>
      <x:c r="T94" s="61" t="str">
        <x:v>Not established</x:v>
      </x:c>
    </x:row>
    <x:row r="95" ht="105" customHeight="1">
      <x:c r="A95" s="61" t="n">
        <x:v>381</x:v>
      </x:c>
      <x:c r="B95" s="61" t="str">
        <x:v>PhoneInfoga</x:v>
      </x:c>
      <x:c r="C95" s="61" t="str">
        <x:v>C</x:v>
      </x:c>
      <x:c r="D95" s="61" t="str">
        <x:v>Documented</x:v>
      </x:c>
      <x:c r="E95" s="61" t="str">
        <x:v>PHONE</x:v>
      </x:c>
      <x:c r="F95" s="61" t="str">
        <x:v>Phone metadata and footprint leads</x:v>
      </x:c>
      <x:c r="G95" s="61" t="str">
        <x:v>Maintainer explicitly disclaims verified results, real-time tracking and precise phone location.</x:v>
      </x:c>
      <x:c r="H95" s="61" t="str">
        <x:v>Corroborate before attribution</x:v>
      </x:c>
      <x:c r="I95" s="61" t="str">
        <x:v>Documentation reviewed; software not run</x:v>
      </x:c>
      <x:c r="J95" s="61" t="str">
        <x:v>Maintainer documentation</x:v>
      </x:c>
      <x:c r="K95" s="61" t="str">
        <x:v>S030</x:v>
      </x:c>
      <x:c r="L95" s="70" t="str">
        <x:v>https://sundowndev.github.io/phoneinfoga/</x:v>
      </x:c>
      <x:c r="M95" s="70" t="str">
        <x:v>https://github.com/sundowndev/PhoneInfoga</x:v>
      </x:c>
      <x:c r="N95" s="61" t="str">
        <x:v>309551439</x:v>
      </x:c>
      <x:c r="O95" s="61" t="n">
        <x:v>1012</x:v>
      </x:c>
      <x:c r="P95" s="61" t="n">
        <x:v>5</x:v>
      </x:c>
      <x:c r="Q95" s="61" t="str">
        <x:v>2026-09-15</x:v>
      </x:c>
      <x:c r="R95" s="61" t="n">
        <x:v>1</x:v>
      </x:c>
      <x:c r="S95" s="61" t="str">
        <x:v>Contacts / records</x:v>
      </x:c>
      <x:c r="T95" s="61" t="str">
        <x:v>Scoped desk assessment</x:v>
      </x:c>
    </x:row>
    <x:row r="96" ht="105" customHeight="1">
      <x:c r="A96" s="61" t="n">
        <x:v>382</x:v>
      </x:c>
      <x:c r="B96" s="61" t="str">
        <x:v>Moriarty-Project</x:v>
      </x:c>
      <x:c r="C96" s="61" t="str">
        <x:v>U</x:v>
      </x:c>
      <x:c r="D96" s="61" t="str">
        <x:v>Unassessed</x:v>
      </x:c>
      <x:c r="E96" s="61" t="str">
        <x:v>PHONE</x:v>
      </x:c>
      <x:c r="F96" s="61" t="str">
        <x:v>Telephone-related discovery or analysis</x:v>
      </x:c>
      <x:c r="G96" s="61" t="str">
        <x:v>A number association is not verified subscriber identity, current ownership or physical proximity.</x:v>
      </x:c>
      <x:c r="H96" s="61" t="str">
        <x:v>Verify publisher, source and current function before reliance</x:v>
      </x:c>
      <x:c r="I96" s="61" t="str">
        <x:v>Not checked</x:v>
      </x:c>
      <x:c r="J96" s="61" t="str">
        <x:v>Saved bookmark metadata only</x:v>
      </x:c>
      <x:c r="K96" s="61" t="str"/>
      <x:c r="L96" s="70" t="str"/>
      <x:c r="M96" s="70" t="str">
        <x:v>https://github.com/AzizKpln/Moriarty-Project</x:v>
      </x:c>
      <x:c r="N96" s="61" t="str">
        <x:v>289970610</x:v>
      </x:c>
      <x:c r="O96" s="61" t="n">
        <x:v>1012</x:v>
      </x:c>
      <x:c r="P96" s="61" t="n">
        <x:v>6</x:v>
      </x:c>
      <x:c r="Q96" s="61" t="str"/>
      <x:c r="R96" s="61" t="n">
        <x:v>1</x:v>
      </x:c>
      <x:c r="S96" s="61" t="str">
        <x:v>Contacts / records</x:v>
      </x:c>
      <x:c r="T96" s="61" t="str">
        <x:v>Not established</x:v>
      </x:c>
    </x:row>
    <x:row r="97" ht="105" customHeight="1">
      <x:c r="A97" s="61" t="n">
        <x:v>383</x:v>
      </x:c>
      <x:c r="B97" s="61" t="str">
        <x:v>collector</x:v>
      </x:c>
      <x:c r="C97" s="61" t="str">
        <x:v>U</x:v>
      </x:c>
      <x:c r="D97" s="61" t="str">
        <x:v>Unassessed</x:v>
      </x:c>
      <x:c r="E97" s="61" t="str">
        <x:v>PHONE</x:v>
      </x:c>
      <x:c r="F97" s="61" t="str">
        <x:v>Telephone-related discovery or analysis</x:v>
      </x:c>
      <x:c r="G97" s="61" t="str">
        <x:v>A number association is not verified subscriber identity, current ownership or physical proximity.</x:v>
      </x:c>
      <x:c r="H97" s="61" t="str">
        <x:v>Verify publisher, source and current function before reliance</x:v>
      </x:c>
      <x:c r="I97" s="61" t="str">
        <x:v>Not checked</x:v>
      </x:c>
      <x:c r="J97" s="61" t="str">
        <x:v>Saved bookmark metadata only</x:v>
      </x:c>
      <x:c r="K97" s="61" t="str"/>
      <x:c r="L97" s="70" t="str"/>
      <x:c r="M97" s="70" t="str">
        <x:v>https://github.com/galihap76/collector</x:v>
      </x:c>
      <x:c r="N97" s="61" t="str">
        <x:v>309551627</x:v>
      </x:c>
      <x:c r="O97" s="61" t="n">
        <x:v>1012</x:v>
      </x:c>
      <x:c r="P97" s="61" t="n">
        <x:v>7</x:v>
      </x:c>
      <x:c r="Q97" s="61" t="str"/>
      <x:c r="R97" s="61" t="n">
        <x:v>1</x:v>
      </x:c>
      <x:c r="S97" s="61" t="str">
        <x:v>Contacts / records</x:v>
      </x:c>
      <x:c r="T97" s="61" t="str">
        <x:v>Not established</x:v>
      </x:c>
    </x:row>
    <x:row r="98" ht="105" customHeight="1">
      <x:c r="A98" s="61" t="n">
        <x:v>384</x:v>
      </x:c>
      <x:c r="B98" s="61" t="str">
        <x:v>Truecaller Search Engine</x:v>
      </x:c>
      <x:c r="C98" s="61" t="str">
        <x:v>C-P</x:v>
      </x:c>
      <x:c r="D98" s="61" t="str">
        <x:v>Provisional</x:v>
      </x:c>
      <x:c r="E98" s="61" t="str">
        <x:v>PHONE</x:v>
      </x:c>
      <x:c r="F98" s="61" t="str">
        <x:v>Custom-search discovery only</x:v>
      </x:c>
      <x:c r="G98" s="61" t="str">
        <x:v>The saved URL identifies a custom search. This engine's configuration, coverage and query results were not tested.</x:v>
      </x:c>
      <x:c r="H98" s="61" t="str">
        <x:v>Open and verify the original result; do not count the search as corroboration</x:v>
      </x:c>
      <x:c r="I98" s="61" t="str">
        <x:v>Not checked</x:v>
      </x:c>
      <x:c r="J98" s="61" t="str">
        <x:v>Saved bookmark metadata only</x:v>
      </x:c>
      <x:c r="K98" s="61" t="str"/>
      <x:c r="L98" s="70" t="str"/>
      <x:c r="M98" s="70" t="str">
        <x:v>https://cse.google.com/cse?cx=c46b76bce1848d976</x:v>
      </x:c>
      <x:c r="N98" s="61" t="str">
        <x:v>286819732</x:v>
      </x:c>
      <x:c r="O98" s="61" t="n">
        <x:v>1013</x:v>
      </x:c>
      <x:c r="P98" s="61" t="n">
        <x:v>8</x:v>
      </x:c>
      <x:c r="Q98" s="61" t="str"/>
      <x:c r="R98" s="61" t="n">
        <x:v>1</x:v>
      </x:c>
      <x:c r="S98" s="61" t="str">
        <x:v>Contacts / records</x:v>
      </x:c>
      <x:c r="T98" s="61" t="str">
        <x:v>Low</x:v>
      </x:c>
    </x:row>
    <x:row r="99" ht="105" customHeight="1">
      <x:c r="A99" s="61" t="n">
        <x:v>385</x:v>
      </x:c>
      <x:c r="B99" s="61" t="str">
        <x:v>Nuwber</x:v>
      </x:c>
      <x:c r="C99" s="61" t="str">
        <x:v>U</x:v>
      </x:c>
      <x:c r="D99" s="61" t="str">
        <x:v>Access unresolved</x:v>
      </x:c>
      <x:c r="E99" s="61" t="str">
        <x:v>PHONE</x:v>
      </x:c>
      <x:c r="F99" s="61" t="str">
        <x:v>Telephone-related discovery or analysis</x:v>
      </x:c>
      <x:c r="G99" s="61" t="str">
        <x:v>A number association is not verified subscriber identity, current ownership or physical proximity.</x:v>
      </x:c>
      <x:c r="H99" s="61" t="str">
        <x:v>Check manually; retrieval failure is not evidence the service is unreliable</x:v>
      </x:c>
      <x:c r="I99" s="61" t="str">
        <x:v>Unresolved reader access; website status unknown</x:v>
      </x:c>
      <x:c r="J99" s="61" t="str">
        <x:v>Fetch attempted; no usable substantive content</x:v>
      </x:c>
      <x:c r="K99" s="61" t="str"/>
      <x:c r="L99" s="70" t="str"/>
      <x:c r="M99" s="70" t="str">
        <x:v>https://nuwber.com/</x:v>
      </x:c>
      <x:c r="N99" s="61" t="str">
        <x:v>268409419</x:v>
      </x:c>
      <x:c r="O99" s="61" t="n">
        <x:v>1013</x:v>
      </x:c>
      <x:c r="P99" s="61" t="n">
        <x:v>9</x:v>
      </x:c>
      <x:c r="Q99" s="61" t="str">
        <x:v>2026-09-15</x:v>
      </x:c>
      <x:c r="R99" s="61" t="n">
        <x:v>1</x:v>
      </x:c>
      <x:c r="S99" s="61" t="str">
        <x:v>Contacts / records</x:v>
      </x:c>
      <x:c r="T99" s="61" t="str">
        <x:v>Not established</x:v>
      </x:c>
    </x:row>
    <x:row r="100" ht="105" customHeight="1">
      <x:c r="A100" s="61" t="n">
        <x:v>386</x:v>
      </x:c>
      <x:c r="B100" s="61" t="str">
        <x:v>Who Called Me</x:v>
      </x:c>
      <x:c r="C100" s="61" t="str">
        <x:v>U</x:v>
      </x:c>
      <x:c r="D100" s="61" t="str">
        <x:v>Access unresolved</x:v>
      </x:c>
      <x:c r="E100" s="61" t="str">
        <x:v>PHONE</x:v>
      </x:c>
      <x:c r="F100" s="61" t="str">
        <x:v>Telephone-related discovery or analysis</x:v>
      </x:c>
      <x:c r="G100" s="61" t="str">
        <x:v>A number association is not verified subscriber identity, current ownership or physical proximity.</x:v>
      </x:c>
      <x:c r="H100" s="61" t="str">
        <x:v>Check manually; retrieval failure is not evidence the service is unreliable</x:v>
      </x:c>
      <x:c r="I100" s="61" t="str">
        <x:v>Unresolved reader access; website status unknown</x:v>
      </x:c>
      <x:c r="J100" s="61" t="str">
        <x:v>Fetch attempted; no usable substantive content</x:v>
      </x:c>
      <x:c r="K100" s="61" t="str"/>
      <x:c r="L100" s="70" t="str"/>
      <x:c r="M100" s="70" t="str">
        <x:v>https://www.whocalledme.com/</x:v>
      </x:c>
      <x:c r="N100" s="61" t="str">
        <x:v>268404136</x:v>
      </x:c>
      <x:c r="O100" s="61" t="n">
        <x:v>1013</x:v>
      </x:c>
      <x:c r="P100" s="61" t="n">
        <x:v>10</x:v>
      </x:c>
      <x:c r="Q100" s="61" t="str">
        <x:v>2026-09-15</x:v>
      </x:c>
      <x:c r="R100" s="61" t="n">
        <x:v>1</x:v>
      </x:c>
      <x:c r="S100" s="61" t="str">
        <x:v>Contacts / records</x:v>
      </x:c>
      <x:c r="T100" s="61" t="str">
        <x:v>Not established</x:v>
      </x:c>
    </x:row>
    <x:row r="101" ht="105" customHeight="1">
      <x:c r="A101" s="61" t="n">
        <x:v>387</x:v>
      </x:c>
      <x:c r="B101" s="61" t="str">
        <x:v>Phone number search Tool</x:v>
      </x:c>
      <x:c r="C101" s="61" t="str">
        <x:v>C</x:v>
      </x:c>
      <x:c r="D101" s="61" t="str">
        <x:v>Documented</x:v>
      </x:c>
      <x:c r="E101" s="61" t="str">
        <x:v>PHONE</x:v>
      </x:c>
      <x:c r="F101" s="61" t="str">
        <x:v>Phone-format search launcher</x:v>
      </x:c>
      <x:c r="G101" s="61" t="str">
        <x:v>Searches alternate telephone formats through external engines. A result must be checked at its source; the launcher does not verify subscriber identity.</x:v>
      </x:c>
      <x:c r="H101" s="61" t="str">
        <x:v>Corroborate before attribution</x:v>
      </x:c>
      <x:c r="I101" s="61" t="str">
        <x:v>Content readable; lookup not tested</x:v>
      </x:c>
      <x:c r="J101" s="61" t="str">
        <x:v>Provider documentation</x:v>
      </x:c>
      <x:c r="K101" s="61" t="str">
        <x:v>S087</x:v>
      </x:c>
      <x:c r="L101" s="70" t="str">
        <x:v>https://www.aware-online.com/en/osint-tools/phone-number-search-tool/</x:v>
      </x:c>
      <x:c r="M101" s="70" t="str">
        <x:v>https://www.aware-online.com/en/osint-tools/phone-number-search-tool/</x:v>
      </x:c>
      <x:c r="N101" s="61" t="str">
        <x:v>268396340</x:v>
      </x:c>
      <x:c r="O101" s="61" t="n">
        <x:v>1013</x:v>
      </x:c>
      <x:c r="P101" s="61" t="n">
        <x:v>11</x:v>
      </x:c>
      <x:c r="Q101" s="61" t="str">
        <x:v>2026-09-15</x:v>
      </x:c>
      <x:c r="R101" s="61" t="n">
        <x:v>1</x:v>
      </x:c>
      <x:c r="S101" s="61" t="str">
        <x:v>Contacts / records</x:v>
      </x:c>
      <x:c r="T101" s="61" t="str">
        <x:v>Scoped desk assessment</x:v>
      </x:c>
    </x:row>
    <x:row r="102" ht="105" customHeight="1">
      <x:c r="A102" s="61" t="n">
        <x:v>388</x:v>
      </x:c>
      <x:c r="B102" s="61" t="str">
        <x:v>Validnumber.com</x:v>
      </x:c>
      <x:c r="C102" s="61" t="str">
        <x:v>C</x:v>
      </x:c>
      <x:c r="D102" s="61" t="str">
        <x:v>Documented</x:v>
      </x:c>
      <x:c r="E102" s="61" t="str">
        <x:v>PHONE</x:v>
      </x:c>
      <x:c r="F102" s="61" t="str">
        <x:v>Reverse lookup / community reports</x:v>
      </x:c>
      <x:c r="G102" s="61" t="str">
        <x:v>Offers reverse lookup and user-submitted reports; neither is an original subscriber or court record.</x:v>
      </x:c>
      <x:c r="H102" s="61" t="str">
        <x:v>Corroborate before attribution</x:v>
      </x:c>
      <x:c r="I102" s="61" t="str">
        <x:v>Content readable; lookup not tested</x:v>
      </x:c>
      <x:c r="J102" s="61" t="str">
        <x:v>Provider landing page</x:v>
      </x:c>
      <x:c r="K102" s="61" t="str">
        <x:v>S032</x:v>
      </x:c>
      <x:c r="L102" s="70" t="str">
        <x:v>https://validnumber.com/</x:v>
      </x:c>
      <x:c r="M102" s="70" t="str">
        <x:v>https://validnumber.com/</x:v>
      </x:c>
      <x:c r="N102" s="61" t="str">
        <x:v>268512932</x:v>
      </x:c>
      <x:c r="O102" s="61" t="n">
        <x:v>1013</x:v>
      </x:c>
      <x:c r="P102" s="61" t="n">
        <x:v>12</x:v>
      </x:c>
      <x:c r="Q102" s="61" t="str">
        <x:v>2026-09-15</x:v>
      </x:c>
      <x:c r="R102" s="61" t="n">
        <x:v>1</x:v>
      </x:c>
      <x:c r="S102" s="61" t="str">
        <x:v>Contacts / records</x:v>
      </x:c>
      <x:c r="T102" s="61" t="str">
        <x:v>Scoped desk assessment</x:v>
      </x:c>
    </x:row>
    <x:row r="103" ht="105" customHeight="1">
      <x:c r="A103" s="61" t="n">
        <x:v>389</x:v>
      </x:c>
      <x:c r="B103" s="61" t="str">
        <x:v>Reverse Phone Lookup</x:v>
      </x:c>
      <x:c r="C103" s="61" t="str">
        <x:v>C</x:v>
      </x:c>
      <x:c r="D103" s="61" t="str">
        <x:v>Documented</x:v>
      </x:c>
      <x:c r="E103" s="61" t="str">
        <x:v>PHONE</x:v>
      </x:c>
      <x:c r="F103" s="61" t="str">
        <x:v>Suggested number-to-name match</x:v>
      </x:c>
      <x:c r="G103" s="61" t="str">
        <x:v>Landing page offers a matching service, but no independent accuracy benchmark was established here. Confirm the match elsewhere.</x:v>
      </x:c>
      <x:c r="H103" s="61" t="str">
        <x:v>Corroborate before attribution</x:v>
      </x:c>
      <x:c r="I103" s="61" t="str">
        <x:v>Content readable; lookup not tested</x:v>
      </x:c>
      <x:c r="J103" s="61" t="str">
        <x:v>Provider landing page</x:v>
      </x:c>
      <x:c r="K103" s="61" t="str">
        <x:v>S033</x:v>
      </x:c>
      <x:c r="L103" s="70" t="str">
        <x:v>https://www.zlookup.com/</x:v>
      </x:c>
      <x:c r="M103" s="70" t="str">
        <x:v>https://www.zlookup.com/</x:v>
      </x:c>
      <x:c r="N103" s="61" t="str">
        <x:v>268512911</x:v>
      </x:c>
      <x:c r="O103" s="61" t="n">
        <x:v>1013</x:v>
      </x:c>
      <x:c r="P103" s="61" t="n">
        <x:v>13</x:v>
      </x:c>
      <x:c r="Q103" s="61" t="str">
        <x:v>2026-09-15</x:v>
      </x:c>
      <x:c r="R103" s="61" t="n">
        <x:v>1</x:v>
      </x:c>
      <x:c r="S103" s="61" t="str">
        <x:v>Contacts / records</x:v>
      </x:c>
      <x:c r="T103" s="61" t="str">
        <x:v>Scoped desk assessment</x:v>
      </x:c>
    </x:row>
    <x:row r="104" ht="105" customHeight="1">
      <x:c r="A104" s="61" t="n">
        <x:v>390</x:v>
      </x:c>
      <x:c r="B104" s="61" t="str">
        <x:v>Reverse Phone Lookup</x:v>
      </x:c>
      <x:c r="C104" s="61" t="str">
        <x:v>U</x:v>
      </x:c>
      <x:c r="D104" s="61" t="str">
        <x:v>Access unresolved</x:v>
      </x:c>
      <x:c r="E104" s="61" t="str">
        <x:v>PHONE</x:v>
      </x:c>
      <x:c r="F104" s="61" t="str">
        <x:v>Telephone-related discovery or analysis</x:v>
      </x:c>
      <x:c r="G104" s="61" t="str">
        <x:v>A number association is not verified subscriber identity, current ownership or physical proximity.</x:v>
      </x:c>
      <x:c r="H104" s="61" t="str">
        <x:v>Check manually; retrieval failure is not evidence the service is unreliable</x:v>
      </x:c>
      <x:c r="I104" s="61" t="str">
        <x:v>Unresolved reader access; website status unknown</x:v>
      </x:c>
      <x:c r="J104" s="61" t="str">
        <x:v>Fetch attempted; no usable substantive content</x:v>
      </x:c>
      <x:c r="K104" s="61" t="str"/>
      <x:c r="L104" s="70" t="str"/>
      <x:c r="M104" s="70" t="str">
        <x:v>https://www.reversephonecheck.com/</x:v>
      </x:c>
      <x:c r="N104" s="61" t="str">
        <x:v>268397856</x:v>
      </x:c>
      <x:c r="O104" s="61" t="n">
        <x:v>1013</x:v>
      </x:c>
      <x:c r="P104" s="61" t="n">
        <x:v>14</x:v>
      </x:c>
      <x:c r="Q104" s="61" t="str">
        <x:v>2026-09-15</x:v>
      </x:c>
      <x:c r="R104" s="61" t="n">
        <x:v>1</x:v>
      </x:c>
      <x:c r="S104" s="61" t="str">
        <x:v>Contacts / records</x:v>
      </x:c>
      <x:c r="T104" s="61" t="str">
        <x:v>Not established</x:v>
      </x:c>
    </x:row>
    <x:row r="105" ht="105" customHeight="1">
      <x:c r="A105" s="61" t="n">
        <x:v>391</x:v>
      </x:c>
      <x:c r="B105" s="61" t="str">
        <x:v>Truecaller</x:v>
      </x:c>
      <x:c r="C105" s="61" t="str">
        <x:v>C</x:v>
      </x:c>
      <x:c r="D105" s="61" t="str">
        <x:v>Documented</x:v>
      </x:c>
      <x:c r="E105" s="61" t="str">
        <x:v>PHONE</x:v>
      </x:c>
      <x:c r="F105" s="61" t="str">
        <x:v>Community-supplied caller labels</x:v>
      </x:c>
      <x:c r="G105" s="61" t="str">
        <x:v>Truecaller describes community name suggestions and risk reports. Treat a displayed caller name as a lead, not legal subscriber identity.</x:v>
      </x:c>
      <x:c r="H105" s="61" t="str">
        <x:v>Corroborate before attribution</x:v>
      </x:c>
      <x:c r="I105" s="61" t="str">
        <x:v>Content readable; lookup not tested</x:v>
      </x:c>
      <x:c r="J105" s="61" t="str">
        <x:v>Provider documentation</x:v>
      </x:c>
      <x:c r="K105" s="61" t="str">
        <x:v>S031</x:v>
      </x:c>
      <x:c r="L105" s="70" t="str">
        <x:v>https://www.truecaller.com/reverse-phone-number-lookup</x:v>
      </x:c>
      <x:c r="M105" s="70" t="str">
        <x:v>https://www.truecaller.com/</x:v>
      </x:c>
      <x:c r="N105" s="61" t="str">
        <x:v>268397885</x:v>
      </x:c>
      <x:c r="O105" s="61" t="n">
        <x:v>1013</x:v>
      </x:c>
      <x:c r="P105" s="61" t="n">
        <x:v>15</x:v>
      </x:c>
      <x:c r="Q105" s="61" t="str">
        <x:v>2026-09-15</x:v>
      </x:c>
      <x:c r="R105" s="61" t="n">
        <x:v>1</x:v>
      </x:c>
      <x:c r="S105" s="61" t="str">
        <x:v>Contacts / records</x:v>
      </x:c>
      <x:c r="T105" s="61" t="str">
        <x:v>Scoped desk assessment</x:v>
      </x:c>
    </x:row>
    <x:row r="106" ht="105" customHeight="1">
      <x:c r="A106" s="61" t="n">
        <x:v>392</x:v>
      </x:c>
      <x:c r="B106" s="61" t="str">
        <x:v>Phone Number Lookup Tool</x:v>
      </x:c>
      <x:c r="C106" s="61" t="str">
        <x:v>U</x:v>
      </x:c>
      <x:c r="D106" s="61" t="str">
        <x:v>Unassessed</x:v>
      </x:c>
      <x:c r="E106" s="61" t="str">
        <x:v>PHONE</x:v>
      </x:c>
      <x:c r="F106" s="61" t="str">
        <x:v>Telephone-related discovery or analysis</x:v>
      </x:c>
      <x:c r="G106" s="61" t="str">
        <x:v>A number association is not verified subscriber identity, current ownership or physical proximity.</x:v>
      </x:c>
      <x:c r="H106" s="61" t="str">
        <x:v>Verify publisher, source and current function before reliance</x:v>
      </x:c>
      <x:c r="I106" s="61" t="str">
        <x:v>Not checked</x:v>
      </x:c>
      <x:c r="J106" s="61" t="str">
        <x:v>Saved bookmark metadata only</x:v>
      </x:c>
      <x:c r="K106" s="61" t="str"/>
      <x:c r="L106" s="70" t="str"/>
      <x:c r="M106" s="70" t="str">
        <x:v>https://shadowcrypt.net/tools/phone</x:v>
      </x:c>
      <x:c r="N106" s="61" t="str">
        <x:v>286694792</x:v>
      </x:c>
      <x:c r="O106" s="61" t="n">
        <x:v>1013</x:v>
      </x:c>
      <x:c r="P106" s="61" t="n">
        <x:v>16</x:v>
      </x:c>
      <x:c r="Q106" s="61" t="str"/>
      <x:c r="R106" s="61" t="n">
        <x:v>1</x:v>
      </x:c>
      <x:c r="S106" s="61" t="str">
        <x:v>Contacts / records</x:v>
      </x:c>
      <x:c r="T106" s="61" t="str">
        <x:v>Not established</x:v>
      </x:c>
    </x:row>
    <x:row r="107" ht="105" customHeight="1">
      <x:c r="A107" s="61" t="n">
        <x:v>393</x:v>
      </x:c>
      <x:c r="B107" s="61" t="str">
        <x:v>SYNC.me</x:v>
      </x:c>
      <x:c r="C107" s="61" t="str">
        <x:v>C</x:v>
      </x:c>
      <x:c r="D107" s="61" t="str">
        <x:v>Documented</x:v>
      </x:c>
      <x:c r="E107" s="61" t="str">
        <x:v>PHONE</x:v>
      </x:c>
      <x:c r="F107" s="61" t="str">
        <x:v>Caller-ID / contact association</x:v>
      </x:c>
      <x:c r="G107" s="61" t="str">
        <x:v>Caller-label and lookup service; do not equate its output with verified ownership or an interpersonal relationship.</x:v>
      </x:c>
      <x:c r="H107" s="61" t="str">
        <x:v>Corroborate before attribution</x:v>
      </x:c>
      <x:c r="I107" s="61" t="str">
        <x:v>Content readable; lookup not tested</x:v>
      </x:c>
      <x:c r="J107" s="61" t="str">
        <x:v>Provider landing page</x:v>
      </x:c>
      <x:c r="K107" s="61" t="str">
        <x:v>S034</x:v>
      </x:c>
      <x:c r="L107" s="70" t="str">
        <x:v>https://sync.me/</x:v>
      </x:c>
      <x:c r="M107" s="70" t="str">
        <x:v>https://sync.me/</x:v>
      </x:c>
      <x:c r="N107" s="61" t="str">
        <x:v>268403188</x:v>
      </x:c>
      <x:c r="O107" s="61" t="n">
        <x:v>1013</x:v>
      </x:c>
      <x:c r="P107" s="61" t="n">
        <x:v>17</x:v>
      </x:c>
      <x:c r="Q107" s="61" t="str">
        <x:v>2026-09-15</x:v>
      </x:c>
      <x:c r="R107" s="61" t="n">
        <x:v>1</x:v>
      </x:c>
      <x:c r="S107" s="61" t="str">
        <x:v>Contacts / records</x:v>
      </x:c>
      <x:c r="T107" s="61" t="str">
        <x:v>Scoped desk assessment</x:v>
      </x:c>
    </x:row>
    <x:row r="108" ht="105" customHeight="1">
      <x:c r="A108" s="61" t="n">
        <x:v>394</x:v>
      </x:c>
      <x:c r="B108" s="61" t="str">
        <x:v>OpenCelliD</x:v>
      </x:c>
      <x:c r="C108" s="61" t="str">
        <x:v>B</x:v>
      </x:c>
      <x:c r="D108" s="61" t="str">
        <x:v>Documented</x:v>
      </x:c>
      <x:c r="E108" s="61" t="str">
        <x:v>PHONE</x:v>
      </x:c>
      <x:c r="F108" s="61" t="str">
        <x:v>Cell-tower dataset only</x:v>
      </x:c>
      <x:c r="G108" s="61" t="str">
        <x:v>Open cell-tower database for geographic context. A tower coordinate is not a person's or handset's live location.</x:v>
      </x:c>
      <x:c r="H108" s="61" t="str">
        <x:v>Corroborate before attribution</x:v>
      </x:c>
      <x:c r="I108" s="61" t="str">
        <x:v>Content readable; lookup not tested</x:v>
      </x:c>
      <x:c r="J108" s="61" t="str">
        <x:v>Provider documentation</x:v>
      </x:c>
      <x:c r="K108" s="61" t="str">
        <x:v>S035</x:v>
      </x:c>
      <x:c r="L108" s="70" t="str">
        <x:v>https://opencellid.org/</x:v>
      </x:c>
      <x:c r="M108" s="70" t="str">
        <x:v>https://opencellid.org/</x:v>
      </x:c>
      <x:c r="N108" s="61" t="str">
        <x:v>286106250</x:v>
      </x:c>
      <x:c r="O108" s="61" t="n">
        <x:v>1013</x:v>
      </x:c>
      <x:c r="P108" s="61" t="n">
        <x:v>18</x:v>
      </x:c>
      <x:c r="Q108" s="61" t="str">
        <x:v>2026-09-15</x:v>
      </x:c>
      <x:c r="R108" s="61" t="n">
        <x:v>1</x:v>
      </x:c>
      <x:c r="S108" s="61" t="str">
        <x:v>Contacts / records</x:v>
      </x:c>
      <x:c r="T108" s="61" t="str">
        <x:v>Scoped desk assessment</x:v>
      </x:c>
    </x:row>
    <x:row r="109" ht="105" customHeight="1">
      <x:c r="A109" s="61" t="n">
        <x:v>395</x:v>
      </x:c>
      <x:c r="B109" s="61" t="str">
        <x:v>CellTower Locator</x:v>
      </x:c>
      <x:c r="C109" s="61" t="str">
        <x:v>U</x:v>
      </x:c>
      <x:c r="D109" s="61" t="str">
        <x:v>Unassessed</x:v>
      </x:c>
      <x:c r="E109" s="61" t="str">
        <x:v>PHONE</x:v>
      </x:c>
      <x:c r="F109" s="61" t="str">
        <x:v>Telephone-related discovery or analysis</x:v>
      </x:c>
      <x:c r="G109" s="61" t="str">
        <x:v>A number association is not verified subscriber identity, current ownership or physical proximity.</x:v>
      </x:c>
      <x:c r="H109" s="61" t="str">
        <x:v>Verify publisher, source and current function before reliance</x:v>
      </x:c>
      <x:c r="I109" s="61" t="str">
        <x:v>Not checked</x:v>
      </x:c>
      <x:c r="J109" s="61" t="str">
        <x:v>Saved bookmark metadata only</x:v>
      </x:c>
      <x:c r="K109" s="61" t="str"/>
      <x:c r="L109" s="70" t="str"/>
      <x:c r="M109" s="70" t="str">
        <x:v>http://www.cell2gps.com/</x:v>
      </x:c>
      <x:c r="N109" s="61" t="str">
        <x:v>286106149</x:v>
      </x:c>
      <x:c r="O109" s="61" t="n">
        <x:v>1013</x:v>
      </x:c>
      <x:c r="P109" s="61" t="n">
        <x:v>19</x:v>
      </x:c>
      <x:c r="Q109" s="61" t="str"/>
      <x:c r="R109" s="61" t="n">
        <x:v>1</x:v>
      </x:c>
      <x:c r="S109" s="61" t="str">
        <x:v>Contacts / records</x:v>
      </x:c>
      <x:c r="T109" s="61" t="str">
        <x:v>Not established</x:v>
      </x:c>
    </x:row>
    <x:row r="110" ht="105" customHeight="1">
      <x:c r="A110" s="61" t="n">
        <x:v>396</x:v>
      </x:c>
      <x:c r="B110" s="61" t="str">
        <x:v>Find GSM base stations cell id coordinates</x:v>
      </x:c>
      <x:c r="C110" s="61" t="str">
        <x:v>U</x:v>
      </x:c>
      <x:c r="D110" s="61" t="str">
        <x:v>Unassessed</x:v>
      </x:c>
      <x:c r="E110" s="61" t="str">
        <x:v>PHONE</x:v>
      </x:c>
      <x:c r="F110" s="61" t="str">
        <x:v>Telephone-related discovery or analysis</x:v>
      </x:c>
      <x:c r="G110" s="61" t="str">
        <x:v>A number association is not verified subscriber identity, current ownership or physical proximity.</x:v>
      </x:c>
      <x:c r="H110" s="61" t="str">
        <x:v>Verify publisher, source and current function before reliance</x:v>
      </x:c>
      <x:c r="I110" s="61" t="str">
        <x:v>Not checked</x:v>
      </x:c>
      <x:c r="J110" s="61" t="str">
        <x:v>Saved bookmark metadata only</x:v>
      </x:c>
      <x:c r="K110" s="61" t="str"/>
      <x:c r="L110" s="70" t="str"/>
      <x:c r="M110" s="70" t="str">
        <x:v>https://cellidfinder.com/</x:v>
      </x:c>
      <x:c r="N110" s="61" t="str">
        <x:v>286106141</x:v>
      </x:c>
      <x:c r="O110" s="61" t="n">
        <x:v>1013</x:v>
      </x:c>
      <x:c r="P110" s="61" t="n">
        <x:v>20</x:v>
      </x:c>
      <x:c r="Q110" s="61" t="str"/>
      <x:c r="R110" s="61" t="n">
        <x:v>1</x:v>
      </x:c>
      <x:c r="S110" s="61" t="str">
        <x:v>Contacts / records</x:v>
      </x:c>
      <x:c r="T110" s="61" t="str">
        <x:v>Not established</x:v>
      </x:c>
    </x:row>
    <x:row r="111" ht="105" customHeight="1">
      <x:c r="A111" s="61" t="n">
        <x:v>397</x:v>
      </x:c>
      <x:c r="B111" s="61" t="str">
        <x:v>Phone Scoop</x:v>
      </x:c>
      <x:c r="C111" s="61" t="str">
        <x:v>N/A</x:v>
      </x:c>
      <x:c r="D111" s="61" t="str">
        <x:v>Utility classification</x:v>
      </x:c>
      <x:c r="E111" s="61" t="str">
        <x:v>PHONE</x:v>
      </x:c>
      <x:c r="F111" s="61" t="str">
        <x:v>Telephone-related discovery or analysis</x:v>
      </x:c>
      <x:c r="G111" s="61" t="str">
        <x:v>Processing or reference utility, not independent connection evidence. Preserve original inputs and validate important output.</x:v>
      </x:c>
      <x:c r="H111" s="61" t="str">
        <x:v>Use as a utility only; functionality not audited</x:v>
      </x:c>
      <x:c r="I111" s="61" t="str">
        <x:v>Not checked</x:v>
      </x:c>
      <x:c r="J111" s="61" t="str">
        <x:v>Saved bookmark metadata only</x:v>
      </x:c>
      <x:c r="K111" s="61" t="str"/>
      <x:c r="L111" s="70" t="str"/>
      <x:c r="M111" s="70" t="str">
        <x:v>https://www.phonescoop.com/phones/</x:v>
      </x:c>
      <x:c r="N111" s="61" t="str">
        <x:v>290382343</x:v>
      </x:c>
      <x:c r="O111" s="61" t="n">
        <x:v>1013</x:v>
      </x:c>
      <x:c r="P111" s="61" t="n">
        <x:v>21</x:v>
      </x:c>
      <x:c r="Q111" s="61" t="str"/>
      <x:c r="R111" s="61" t="n">
        <x:v>1</x:v>
      </x:c>
      <x:c r="S111" s="61" t="str">
        <x:v>Contacts / records</x:v>
      </x:c>
      <x:c r="T111" s="61" t="str">
        <x:v>Scope only</x:v>
      </x:c>
    </x:row>
    <x:row r="112" ht="105" customHeight="1">
      <x:c r="A112" s="61" t="n">
        <x:v>398</x:v>
      </x:c>
      <x:c r="B112" s="61" t="str">
        <x:v>GSM Arena</x:v>
      </x:c>
      <x:c r="C112" s="61" t="str">
        <x:v>N/A</x:v>
      </x:c>
      <x:c r="D112" s="61" t="str">
        <x:v>Utility classification</x:v>
      </x:c>
      <x:c r="E112" s="61" t="str">
        <x:v>PHONE</x:v>
      </x:c>
      <x:c r="F112" s="61" t="str">
        <x:v>Telephone-related discovery or analysis</x:v>
      </x:c>
      <x:c r="G112" s="61" t="str">
        <x:v>Processing or reference utility, not independent connection evidence. Preserve original inputs and validate important output.</x:v>
      </x:c>
      <x:c r="H112" s="61" t="str">
        <x:v>Use as a utility only; functionality not audited</x:v>
      </x:c>
      <x:c r="I112" s="61" t="str">
        <x:v>Not checked</x:v>
      </x:c>
      <x:c r="J112" s="61" t="str">
        <x:v>Saved bookmark metadata only</x:v>
      </x:c>
      <x:c r="K112" s="61" t="str"/>
      <x:c r="L112" s="70" t="str"/>
      <x:c r="M112" s="70" t="str">
        <x:v>https://www.gsmarena.com/</x:v>
      </x:c>
      <x:c r="N112" s="61" t="str">
        <x:v>287164736</x:v>
      </x:c>
      <x:c r="O112" s="61" t="n">
        <x:v>1013</x:v>
      </x:c>
      <x:c r="P112" s="61" t="n">
        <x:v>22</x:v>
      </x:c>
      <x:c r="Q112" s="61" t="str"/>
      <x:c r="R112" s="61" t="n">
        <x:v>1</x:v>
      </x:c>
      <x:c r="S112" s="61" t="str">
        <x:v>Contacts / records</x:v>
      </x:c>
      <x:c r="T112" s="61" t="str">
        <x:v>Scope only</x:v>
      </x:c>
    </x:row>
    <x:row r="113" ht="105" customHeight="1">
      <x:c r="A113" s="61" t="n">
        <x:v>399</x:v>
      </x:c>
      <x:c r="B113" s="61" t="str">
        <x:v>Fcc.io</x:v>
      </x:c>
      <x:c r="C113" s="61" t="str">
        <x:v>N/A</x:v>
      </x:c>
      <x:c r="D113" s="61" t="str">
        <x:v>Utility classification</x:v>
      </x:c>
      <x:c r="E113" s="61" t="str">
        <x:v>PHONE</x:v>
      </x:c>
      <x:c r="F113" s="61" t="str">
        <x:v>Telephone-related discovery or analysis</x:v>
      </x:c>
      <x:c r="G113" s="61" t="str">
        <x:v>Processing or reference utility, not independent connection evidence. Preserve original inputs and validate important output.</x:v>
      </x:c>
      <x:c r="H113" s="61" t="str">
        <x:v>Use as a utility only; functionality not audited</x:v>
      </x:c>
      <x:c r="I113" s="61" t="str">
        <x:v>Not checked</x:v>
      </x:c>
      <x:c r="J113" s="61" t="str">
        <x:v>Saved bookmark metadata only</x:v>
      </x:c>
      <x:c r="K113" s="61" t="str"/>
      <x:c r="L113" s="70" t="str"/>
      <x:c r="M113" s="70" t="str">
        <x:v>http://fcc.io/</x:v>
      </x:c>
      <x:c r="N113" s="61" t="str">
        <x:v>290382341</x:v>
      </x:c>
      <x:c r="O113" s="61" t="n">
        <x:v>1013</x:v>
      </x:c>
      <x:c r="P113" s="61" t="n">
        <x:v>23</x:v>
      </x:c>
      <x:c r="Q113" s="61" t="str"/>
      <x:c r="R113" s="61" t="n">
        <x:v>1</x:v>
      </x:c>
      <x:c r="S113" s="61" t="str">
        <x:v>Contacts / records</x:v>
      </x:c>
      <x:c r="T113" s="61" t="str">
        <x:v>Scope only</x:v>
      </x:c>
    </x:row>
    <x:row r="114" ht="105" customHeight="1">
      <x:c r="A114" s="61" t="n">
        <x:v>400</x:v>
      </x:c>
      <x:c r="B114" s="61" t="str">
        <x:v>Oldphonebook.com</x:v>
      </x:c>
      <x:c r="C114" s="61" t="str">
        <x:v>U</x:v>
      </x:c>
      <x:c r="D114" s="61" t="str">
        <x:v>Unassessed</x:v>
      </x:c>
      <x:c r="E114" s="61" t="str">
        <x:v>PHONE</x:v>
      </x:c>
      <x:c r="F114" s="61" t="str">
        <x:v>Telephone-related discovery or analysis</x:v>
      </x:c>
      <x:c r="G114" s="61" t="str">
        <x:v>A number association is not verified subscriber identity, current ownership or physical proximity.</x:v>
      </x:c>
      <x:c r="H114" s="61" t="str">
        <x:v>Verify publisher, source and current function before reliance</x:v>
      </x:c>
      <x:c r="I114" s="61" t="str">
        <x:v>Not checked</x:v>
      </x:c>
      <x:c r="J114" s="61" t="str">
        <x:v>Saved bookmark metadata only</x:v>
      </x:c>
      <x:c r="K114" s="61" t="str"/>
      <x:c r="L114" s="70" t="str"/>
      <x:c r="M114" s="70" t="str">
        <x:v>http://www.oldphonebook.com/</x:v>
      </x:c>
      <x:c r="N114" s="61" t="str">
        <x:v>297341248</x:v>
      </x:c>
      <x:c r="O114" s="61" t="n">
        <x:v>1013</x:v>
      </x:c>
      <x:c r="P114" s="61" t="n">
        <x:v>24</x:v>
      </x:c>
      <x:c r="Q114" s="61" t="str"/>
      <x:c r="R114" s="61" t="n">
        <x:v>1</x:v>
      </x:c>
      <x:c r="S114" s="61" t="str">
        <x:v>Contacts / records</x:v>
      </x:c>
      <x:c r="T114" s="61" t="str">
        <x:v>Not established</x:v>
      </x:c>
    </x:row>
    <x:row r="115" ht="105" customHeight="1">
      <x:c r="A115" s="61" t="n">
        <x:v>401</x:v>
      </x:c>
      <x:c r="B115" s="61" t="str">
        <x:v>carrier lookup</x:v>
      </x:c>
      <x:c r="C115" s="61" t="str">
        <x:v>B</x:v>
      </x:c>
      <x:c r="D115" s="61" t="str">
        <x:v>Documented</x:v>
      </x:c>
      <x:c r="E115" s="61" t="str">
        <x:v>PHONE</x:v>
      </x:c>
      <x:c r="F115" s="61" t="str">
        <x:v>Carrier / line-type metadata only</x:v>
      </x:c>
      <x:c r="G115" s="61" t="str">
        <x:v>Lookup is bounded to telecom metadata. It does not identify the current individual using the number.</x:v>
      </x:c>
      <x:c r="H115" s="61" t="str">
        <x:v>Corroborate before attribution</x:v>
      </x:c>
      <x:c r="I115" s="61" t="str">
        <x:v>Content readable; lookup not tested</x:v>
      </x:c>
      <x:c r="J115" s="61" t="str">
        <x:v>Provider documentation</x:v>
      </x:c>
      <x:c r="K115" s="61" t="str">
        <x:v>S036</x:v>
      </x:c>
      <x:c r="L115" s="70" t="str">
        <x:v>https://www.carrierlookup.com/</x:v>
      </x:c>
      <x:c r="M115" s="70" t="str">
        <x:v>https://www.carrierlookup.com/</x:v>
      </x:c>
      <x:c r="N115" s="61" t="str">
        <x:v>297341251</x:v>
      </x:c>
      <x:c r="O115" s="61" t="n">
        <x:v>1018</x:v>
      </x:c>
      <x:c r="P115" s="61" t="n">
        <x:v>25</x:v>
      </x:c>
      <x:c r="Q115" s="61" t="str">
        <x:v>2026-09-15</x:v>
      </x:c>
      <x:c r="R115" s="61" t="n">
        <x:v>1</x:v>
      </x:c>
      <x:c r="S115" s="61" t="str">
        <x:v>Contacts / records</x:v>
      </x:c>
      <x:c r="T115" s="61" t="str">
        <x:v>Scoped desk assessment</x:v>
      </x:c>
    </x:row>
    <x:row r="116" ht="105" customHeight="1">
      <x:c r="A116" s="61" t="n">
        <x:v>402</x:v>
      </x:c>
      <x:c r="B116" s="61" t="str">
        <x:v>Free Reverse Phone Lookup</x:v>
      </x:c>
      <x:c r="C116" s="61" t="str">
        <x:v>U</x:v>
      </x:c>
      <x:c r="D116" s="61" t="str">
        <x:v>Access unresolved</x:v>
      </x:c>
      <x:c r="E116" s="61" t="str">
        <x:v>PHONE</x:v>
      </x:c>
      <x:c r="F116" s="61" t="str">
        <x:v>Telephone-related discovery or analysis</x:v>
      </x:c>
      <x:c r="G116" s="61" t="str">
        <x:v>A number association is not verified subscriber identity, current ownership or physical proximity.</x:v>
      </x:c>
      <x:c r="H116" s="61" t="str">
        <x:v>Check manually; retrieval failure is not evidence the service is unreliable</x:v>
      </x:c>
      <x:c r="I116" s="61" t="str">
        <x:v>Unresolved reader access; website status unknown</x:v>
      </x:c>
      <x:c r="J116" s="61" t="str">
        <x:v>Fetch attempted; no usable substantive content</x:v>
      </x:c>
      <x:c r="K116" s="61" t="str"/>
      <x:c r="L116" s="70" t="str"/>
      <x:c r="M116" s="70" t="str">
        <x:v>https://spydialer.com/default.aspx</x:v>
      </x:c>
      <x:c r="N116" s="61" t="str">
        <x:v>297341257</x:v>
      </x:c>
      <x:c r="O116" s="61" t="n">
        <x:v>1018</x:v>
      </x:c>
      <x:c r="P116" s="61" t="n">
        <x:v>26</x:v>
      </x:c>
      <x:c r="Q116" s="61" t="str">
        <x:v>2026-09-15</x:v>
      </x:c>
      <x:c r="R116" s="61" t="n">
        <x:v>1</x:v>
      </x:c>
      <x:c r="S116" s="61" t="str">
        <x:v>Contacts / records</x:v>
      </x:c>
      <x:c r="T116" s="61" t="str">
        <x:v>Not established</x:v>
      </x:c>
    </x:row>
    <x:row r="117" ht="105" customHeight="1">
      <x:c r="A117" s="61" t="n">
        <x:v>403</x:v>
      </x:c>
      <x:c r="B117" s="61" t="str">
        <x:v>Phonerator</x:v>
      </x:c>
      <x:c r="C117" s="61" t="str">
        <x:v>N/A</x:v>
      </x:c>
      <x:c r="D117" s="61" t="str">
        <x:v>Utility classification</x:v>
      </x:c>
      <x:c r="E117" s="61" t="str">
        <x:v>PHONE</x:v>
      </x:c>
      <x:c r="F117" s="61" t="str">
        <x:v>Telephone-related discovery or analysis</x:v>
      </x:c>
      <x:c r="G117" s="61" t="str">
        <x:v>Processing or reference utility, not independent connection evidence. Preserve original inputs and validate important output.</x:v>
      </x:c>
      <x:c r="H117" s="61" t="str">
        <x:v>Use as a utility only; functionality not audited</x:v>
      </x:c>
      <x:c r="I117" s="61" t="str">
        <x:v>Not checked</x:v>
      </x:c>
      <x:c r="J117" s="61" t="str">
        <x:v>Saved bookmark metadata only</x:v>
      </x:c>
      <x:c r="K117" s="61" t="str"/>
      <x:c r="L117" s="70" t="str"/>
      <x:c r="M117" s="70" t="str">
        <x:v>https://www.martinvigo.com/tools/phonerator/</x:v>
      </x:c>
      <x:c r="N117" s="61" t="str">
        <x:v>268388157</x:v>
      </x:c>
      <x:c r="O117" s="61" t="n">
        <x:v>1019</x:v>
      </x:c>
      <x:c r="P117" s="61" t="n">
        <x:v>27</x:v>
      </x:c>
      <x:c r="Q117" s="61" t="str"/>
      <x:c r="R117" s="61" t="n">
        <x:v>1</x:v>
      </x:c>
      <x:c r="S117" s="61" t="str">
        <x:v>Contacts / records</x:v>
      </x:c>
      <x:c r="T117" s="61" t="str">
        <x:v>Scope only</x:v>
      </x:c>
    </x:row>
    <x:row r="118" ht="105" customHeight="1">
      <x:c r="A118" s="61" t="n">
        <x:v>654</x:v>
      </x:c>
      <x:c r="B118" s="61" t="str">
        <x:v>Facecheck.id</x:v>
      </x:c>
      <x:c r="C118" s="61" t="str">
        <x:v>C</x:v>
      </x:c>
      <x:c r="D118" s="61" t="str">
        <x:v>Documented</x:v>
      </x:c>
      <x:c r="E118" s="61" t="str">
        <x:v>IMAGE / VIDEO / AUDIO / MEDIA</x:v>
      </x:c>
      <x:c r="F118" s="61" t="str">
        <x:v>Face-similarity search leads</x:v>
      </x:c>
      <x:c r="G118" s="61" t="str">
        <x:v>Provider warns that resemblance is not guaranteed identity or family relationship. Do not treat a red flag or similarity score as a legal finding.</x:v>
      </x:c>
      <x:c r="H118" s="61" t="str">
        <x:v>Do not use alone to identify or accuse a person</x:v>
      </x:c>
      <x:c r="I118" s="61" t="str">
        <x:v>FAQ readable; no image uploaded</x:v>
      </x:c>
      <x:c r="J118" s="61" t="str">
        <x:v>Provider limitations</x:v>
      </x:c>
      <x:c r="K118" s="61" t="str">
        <x:v>S069</x:v>
      </x:c>
      <x:c r="L118" s="70" t="str">
        <x:v>https://facecheck.id/en/Face-Search/FAQ</x:v>
      </x:c>
      <x:c r="M118" s="70" t="str">
        <x:v>https://facecheck.id/</x:v>
      </x:c>
      <x:c r="N118" s="61" t="str">
        <x:v>327019104</x:v>
      </x:c>
      <x:c r="O118" s="61" t="n">
        <x:v>1032</x:v>
      </x:c>
      <x:c r="P118" s="61" t="n">
        <x:v>1</x:v>
      </x:c>
      <x:c r="Q118" s="61" t="str">
        <x:v>2026-09-15</x:v>
      </x:c>
      <x:c r="R118" s="61" t="n">
        <x:v>1</x:v>
      </x:c>
      <x:c r="S118" s="61" t="str">
        <x:v>Contacts / records</x:v>
      </x:c>
      <x:c r="T118" s="61" t="str">
        <x:v>Scoped desk assessment</x:v>
      </x:c>
    </x:row>
    <x:row r="119" ht="105" customHeight="1">
      <x:c r="A119" s="61" t="n">
        <x:v>661</x:v>
      </x:c>
      <x:c r="B119" s="61" t="str">
        <x:v>PimEyes</x:v>
      </x:c>
      <x:c r="C119" s="61" t="str">
        <x:v>C</x:v>
      </x:c>
      <x:c r="D119" s="61" t="str">
        <x:v>Documented</x:v>
      </x:c>
      <x:c r="E119" s="61" t="str">
        <x:v>IMAGE / VIDEO / AUDIO / MEDIA</x:v>
      </x:c>
      <x:c r="F119" s="61" t="str">
        <x:v>Face-image discovery</x:v>
      </x:c>
      <x:c r="G119" s="61" t="str">
        <x:v>Provider disclaims identity verification and complete or consistent matching. Follow original image provenance; similarity alone is not identity.</x:v>
      </x:c>
      <x:c r="H119" s="61" t="str">
        <x:v>Treat as a possible image lead, not identity proof</x:v>
      </x:c>
      <x:c r="I119" s="61" t="str">
        <x:v>FAQ readable; no image uploaded</x:v>
      </x:c>
      <x:c r="J119" s="61" t="str">
        <x:v>Provider limitations</x:v>
      </x:c>
      <x:c r="K119" s="61" t="str">
        <x:v>S070</x:v>
      </x:c>
      <x:c r="L119" s="70" t="str">
        <x:v>https://pimeyes.com/en/faq</x:v>
      </x:c>
      <x:c r="M119" s="70" t="str">
        <x:v>https://pimeyes.com/en/</x:v>
      </x:c>
      <x:c r="N119" s="61" t="str">
        <x:v>268396782</x:v>
      </x:c>
      <x:c r="O119" s="61" t="n">
        <x:v>1033</x:v>
      </x:c>
      <x:c r="P119" s="61" t="n">
        <x:v>8</x:v>
      </x:c>
      <x:c r="Q119" s="61" t="str">
        <x:v>2026-09-15</x:v>
      </x:c>
      <x:c r="R119" s="61" t="n">
        <x:v>1</x:v>
      </x:c>
      <x:c r="S119" s="61" t="str">
        <x:v>Contacts / records</x:v>
      </x:c>
      <x:c r="T119" s="61" t="str">
        <x:v>Scoped desk assessment</x:v>
      </x:c>
    </x:row>
    <x:row r="120" ht="105" customHeight="1">
      <x:c r="A120" s="61" t="n">
        <x:v>662</x:v>
      </x:c>
      <x:c r="B120" s="61" t="str">
        <x:v>TinEye</x:v>
      </x:c>
      <x:c r="C120" s="61" t="str">
        <x:v>B</x:v>
      </x:c>
      <x:c r="D120" s="61" t="str">
        <x:v>Documented</x:v>
      </x:c>
      <x:c r="E120" s="61" t="str">
        <x:v>IMAGE / VIDEO / AUDIO / MEDIA</x:v>
      </x:c>
      <x:c r="F120" s="61" t="str">
        <x:v>Reused-image discovery</x:v>
      </x:c>
      <x:c r="G120" s="61" t="str">
        <x:v>Searches image occurrences, not facial identity. Confirm the linked image and capture date; a matching image does not establish who uploaded it.</x:v>
      </x:c>
      <x:c r="H120" s="61" t="str">
        <x:v>Corroborate before attribution</x:v>
      </x:c>
      <x:c r="I120" s="61" t="str">
        <x:v>Help readable; no image uploaded</x:v>
      </x:c>
      <x:c r="J120" s="61" t="str">
        <x:v>Provider technical documentation</x:v>
      </x:c>
      <x:c r="K120" s="61" t="str">
        <x:v>S071</x:v>
      </x:c>
      <x:c r="L120" s="70" t="str">
        <x:v>https://help.tineye.com/article/235-can-tineye-find-similar-images-does-tineye-do-facial-recognition</x:v>
      </x:c>
      <x:c r="M120" s="70" t="str">
        <x:v>https://tineye.com/</x:v>
      </x:c>
      <x:c r="N120" s="61" t="str">
        <x:v>268392166</x:v>
      </x:c>
      <x:c r="O120" s="61" t="n">
        <x:v>1033</x:v>
      </x:c>
      <x:c r="P120" s="61" t="n">
        <x:v>9</x:v>
      </x:c>
      <x:c r="Q120" s="61" t="str">
        <x:v>2026-09-15</x:v>
      </x:c>
      <x:c r="R120" s="61" t="n">
        <x:v>1</x:v>
      </x:c>
      <x:c r="S120" s="61" t="str">
        <x:v>Contacts / records</x:v>
      </x:c>
      <x:c r="T120" s="61" t="str">
        <x:v>Scoped desk assessment</x:v>
      </x:c>
    </x:row>
    <x:row r="121" ht="105" customHeight="1">
      <x:c r="A121" s="61" t="n">
        <x:v>702</x:v>
      </x:c>
      <x:c r="B121" s="61" t="str">
        <x:v>VINCheck®</x:v>
      </x:c>
      <x:c r="C121" s="61" t="str">
        <x:v>B</x:v>
      </x:c>
      <x:c r="D121" s="61" t="str">
        <x:v>Documented</x:v>
      </x:c>
      <x:c r="E121" s="61" t="str">
        <x:v>LICENSE PLATE / VIN / VEHICLE</x:v>
      </x:c>
      <x:c r="F121" s="61" t="str">
        <x:v>Participating-insurer vehicle records</x:v>
      </x:c>
      <x:c r="G121" s="61" t="str">
        <x:v>NICB checks participating insurers' theft/salvage records, not a complete vehicle history or law-enforcement record. It does not establish who currently owns or drives a vehicle.</x:v>
      </x:c>
      <x:c r="H121" s="61" t="str">
        <x:v>Corroborate before attribution</x:v>
      </x:c>
      <x:c r="I121" s="61" t="str">
        <x:v>Coverage documentation readable; no VIN query</x:v>
      </x:c>
      <x:c r="J121" s="61" t="str">
        <x:v>Provider coverage and limitations</x:v>
      </x:c>
      <x:c r="K121" s="61" t="str">
        <x:v>S086</x:v>
      </x:c>
      <x:c r="L121" s="70" t="str">
        <x:v>https://www.nicb.org/vincheck</x:v>
      </x:c>
      <x:c r="M121" s="70" t="str">
        <x:v>https://www.nicb.org/vincheck</x:v>
      </x:c>
      <x:c r="N121" s="61" t="str">
        <x:v>290381391</x:v>
      </x:c>
      <x:c r="O121" s="61" t="n">
        <x:v>1034</x:v>
      </x:c>
      <x:c r="P121" s="61" t="n">
        <x:v>8</x:v>
      </x:c>
      <x:c r="Q121" s="61" t="str">
        <x:v>2026-09-15</x:v>
      </x:c>
      <x:c r="R121" s="61" t="n">
        <x:v>1</x:v>
      </x:c>
      <x:c r="S121" s="61" t="str">
        <x:v>Contacts / records</x:v>
      </x:c>
      <x:c r="T121" s="61" t="str">
        <x:v>Scoped desk assessment</x:v>
      </x:c>
    </x:row>
    <x:row r="122" ht="105" customHeight="1">
      <x:c r="A122" s="61" t="n">
        <x:v>722</x:v>
      </x:c>
      <x:c r="B122" s="61" t="str">
        <x:v>Vehicle Enquiry</x:v>
      </x:c>
      <x:c r="C122" s="61" t="str">
        <x:v>A</x:v>
      </x:c>
      <x:c r="D122" s="61" t="str">
        <x:v>Documented</x:v>
      </x:c>
      <x:c r="E122" s="61" t="str">
        <x:v>LICENSE PLATE / VIN / VEHICLE</x:v>
      </x:c>
      <x:c r="F122" s="61" t="str">
        <x:v>Official UK vehicle tax / MOT enquiry</x:v>
      </x:c>
      <x:c r="G122" s="61" t="str">
        <x:v>Official vehicle-status enquiry. Tax or MOT information is not proof of the identity of the owner, keeper or driver.</x:v>
      </x:c>
      <x:c r="H122" s="61" t="str">
        <x:v>Verify exact official record</x:v>
      </x:c>
      <x:c r="I122" s="61" t="str">
        <x:v>Official entry form readable; no vehicle query</x:v>
      </x:c>
      <x:c r="J122" s="61" t="str">
        <x:v>Official agency service</x:v>
      </x:c>
      <x:c r="K122" s="61" t="str">
        <x:v>S089</x:v>
      </x:c>
      <x:c r="L122" s="70" t="str">
        <x:v>https://vehicleenquiry.service.gov.uk/?locale=en</x:v>
      </x:c>
      <x:c r="M122" s="70" t="str">
        <x:v>https://vehicleenquiry.service.gov.uk/?locale=en</x:v>
      </x:c>
      <x:c r="N122" s="61" t="str">
        <x:v>311648249</x:v>
      </x:c>
      <x:c r="O122" s="61" t="n">
        <x:v>1034</x:v>
      </x:c>
      <x:c r="P122" s="61" t="n">
        <x:v>28</x:v>
      </x:c>
      <x:c r="Q122" s="61" t="str">
        <x:v>2026-09-15</x:v>
      </x:c>
      <x:c r="R122" s="61" t="n">
        <x:v>1</x:v>
      </x:c>
      <x:c r="S122" s="61" t="str">
        <x:v>Contacts / records</x:v>
      </x:c>
      <x:c r="T122" s="61" t="str">
        <x:v>Scoped desk assessment</x:v>
      </x:c>
    </x:row>
    <x:row r="123" ht="105" customHeight="1">
      <x:c r="A123" s="61" t="n">
        <x:v>1061</x:v>
      </x:c>
      <x:c r="B123" s="61" t="str">
        <x:v>Sanctions List Search</x:v>
      </x:c>
      <x:c r="C123" s="61" t="str">
        <x:v>A</x:v>
      </x:c>
      <x:c r="D123" s="61" t="str">
        <x:v>Documented</x:v>
      </x:c>
      <x:c r="E123" s="61" t="str">
        <x:v>EXTREMIST / FAR-RIGHT</x:v>
      </x:c>
      <x:c r="F123" s="61" t="str">
        <x:v>Official OFAC list entries</x:v>
      </x:c>
      <x:c r="G123" s="61" t="str">
        <x:v>The official tool uses fuzzy name matching. A search score is not an identity probability; match the identifiers on the actual entry.</x:v>
      </x:c>
      <x:c r="H123" s="61" t="str">
        <x:v>Verify exact official record</x:v>
      </x:c>
      <x:c r="I123" s="61" t="str">
        <x:v>Official search instructions readable; no person query</x:v>
      </x:c>
      <x:c r="J123" s="61" t="str">
        <x:v>Official tool instructions</x:v>
      </x:c>
      <x:c r="K123" s="61" t="str">
        <x:v>S047</x:v>
      </x:c>
      <x:c r="L123" s="70" t="str">
        <x:v>https://sanctionssearch.ofac.treas.gov/</x:v>
      </x:c>
      <x:c r="M123" s="70" t="str">
        <x:v>https://sanctionssearch.ofac.treas.gov/</x:v>
      </x:c>
      <x:c r="N123" s="61" t="str">
        <x:v>268456596</x:v>
      </x:c>
      <x:c r="O123" s="61" t="n">
        <x:v>1047</x:v>
      </x:c>
      <x:c r="P123" s="61" t="n">
        <x:v>15</x:v>
      </x:c>
      <x:c r="Q123" s="61" t="str">
        <x:v>2026-09-15</x:v>
      </x:c>
      <x:c r="R123" s="61" t="n">
        <x:v>1</x:v>
      </x:c>
      <x:c r="S123" s="61" t="str">
        <x:v>Contacts / records</x:v>
      </x:c>
      <x:c r="T123" s="61" t="str">
        <x:v>Scoped desk assessment</x:v>
      </x:c>
    </x:row>
    <x:row r="124" ht="105" customHeight="1">
      <x:c r="A124" s="61" t="n">
        <x:v>1071</x:v>
      </x:c>
      <x:c r="B124" s="61" t="str">
        <x:v>Greylist Trace</x:v>
      </x:c>
      <x:c r="C124" s="61" t="str">
        <x:v>U</x:v>
      </x:c>
      <x:c r="D124" s="61" t="str">
        <x:v>Unassessed</x:v>
      </x:c>
      <x:c r="E124" s="61" t="str">
        <x:v>FINANCE</x:v>
      </x:c>
      <x:c r="F124" s="61" t="str">
        <x:v>Business-finance / public funding information</x:v>
      </x:c>
      <x:c r="G124" s="61" t="str">
        <x:v>Verify the originating financial record and entity identifier; funding receipt is not evidence of fraud.</x:v>
      </x:c>
      <x:c r="H124" s="61" t="str">
        <x:v>Verify publisher, source and current function before reliance</x:v>
      </x:c>
      <x:c r="I124" s="61" t="str">
        <x:v>Not checked</x:v>
      </x:c>
      <x:c r="J124" s="61" t="str">
        <x:v>Saved bookmark metadata only</x:v>
      </x:c>
      <x:c r="K124" s="61" t="str"/>
      <x:c r="L124" s="70" t="str"/>
      <x:c r="M124" s="70" t="str">
        <x:v>https://greylisttrace.com/</x:v>
      </x:c>
      <x:c r="N124" s="61" t="str">
        <x:v>297888678</x:v>
      </x:c>
      <x:c r="O124" s="61" t="n">
        <x:v>1049</x:v>
      </x:c>
      <x:c r="P124" s="61" t="n">
        <x:v>1</x:v>
      </x:c>
      <x:c r="Q124" s="61" t="str"/>
      <x:c r="R124" s="61" t="n">
        <x:v>1</x:v>
      </x:c>
      <x:c r="S124" s="61" t="str">
        <x:v>Contacts / records</x:v>
      </x:c>
      <x:c r="T124" s="61" t="str">
        <x:v>Not established</x:v>
      </x:c>
    </x:row>
    <x:row r="125" ht="105" customHeight="1">
      <x:c r="A125" s="61" t="n">
        <x:v>1072</x:v>
      </x:c>
      <x:c r="B125" s="61" t="str">
        <x:v>analytics-engine</x:v>
      </x:c>
      <x:c r="C125" s="61" t="str">
        <x:v>U</x:v>
      </x:c>
      <x:c r="D125" s="61" t="str">
        <x:v>Unassessed</x:v>
      </x:c>
      <x:c r="E125" s="61" t="str">
        <x:v>FINANCE</x:v>
      </x:c>
      <x:c r="F125" s="61" t="str">
        <x:v>Business-finance / public funding information</x:v>
      </x:c>
      <x:c r="G125" s="61" t="str">
        <x:v>Verify the originating financial record and entity identifier; funding receipt is not evidence of fraud.</x:v>
      </x:c>
      <x:c r="H125" s="61" t="str">
        <x:v>Verify publisher, source and current function before reliance</x:v>
      </x:c>
      <x:c r="I125" s="61" t="str">
        <x:v>Not checked</x:v>
      </x:c>
      <x:c r="J125" s="61" t="str">
        <x:v>Saved bookmark metadata only</x:v>
      </x:c>
      <x:c r="K125" s="61" t="str"/>
      <x:c r="L125" s="70" t="str"/>
      <x:c r="M125" s="70" t="str">
        <x:v>https://github.com/mashiox/analytics-engine</x:v>
      </x:c>
      <x:c r="N125" s="61" t="str">
        <x:v>297888632</x:v>
      </x:c>
      <x:c r="O125" s="61" t="n">
        <x:v>1049</x:v>
      </x:c>
      <x:c r="P125" s="61" t="n">
        <x:v>2</x:v>
      </x:c>
      <x:c r="Q125" s="61" t="str"/>
      <x:c r="R125" s="61" t="n">
        <x:v>1</x:v>
      </x:c>
      <x:c r="S125" s="61" t="str">
        <x:v>Contacts / records</x:v>
      </x:c>
      <x:c r="T125" s="61" t="str">
        <x:v>Not established</x:v>
      </x:c>
    </x:row>
    <x:row r="126" ht="105" customHeight="1">
      <x:c r="A126" s="61" t="n">
        <x:v>1073</x:v>
      </x:c>
      <x:c r="B126" s="61" t="str">
        <x:v>Tradint Research Tool</x:v>
      </x:c>
      <x:c r="C126" s="61" t="str">
        <x:v>U</x:v>
      </x:c>
      <x:c r="D126" s="61" t="str">
        <x:v>Unassessed</x:v>
      </x:c>
      <x:c r="E126" s="61" t="str">
        <x:v>FINANCE</x:v>
      </x:c>
      <x:c r="F126" s="61" t="str">
        <x:v>Business-finance / public funding information</x:v>
      </x:c>
      <x:c r="G126" s="61" t="str">
        <x:v>Verify the originating financial record and entity identifier; funding receipt is not evidence of fraud.</x:v>
      </x:c>
      <x:c r="H126" s="61" t="str">
        <x:v>Verify publisher, source and current function before reliance</x:v>
      </x:c>
      <x:c r="I126" s="61" t="str">
        <x:v>Not checked</x:v>
      </x:c>
      <x:c r="J126" s="61" t="str">
        <x:v>Saved bookmark metadata only</x:v>
      </x:c>
      <x:c r="K126" s="61" t="str"/>
      <x:c r="L126" s="70" t="str"/>
      <x:c r="M126" s="70" t="str">
        <x:v>https://tradint.io/</x:v>
      </x:c>
      <x:c r="N126" s="61" t="str">
        <x:v>286015423</x:v>
      </x:c>
      <x:c r="O126" s="61" t="n">
        <x:v>1050</x:v>
      </x:c>
      <x:c r="P126" s="61" t="n">
        <x:v>3</x:v>
      </x:c>
      <x:c r="Q126" s="61" t="str"/>
      <x:c r="R126" s="61" t="n">
        <x:v>1</x:v>
      </x:c>
      <x:c r="S126" s="61" t="str">
        <x:v>Contacts / records</x:v>
      </x:c>
      <x:c r="T126" s="61" t="str">
        <x:v>Not established</x:v>
      </x:c>
    </x:row>
    <x:row r="127" ht="105" customHeight="1">
      <x:c r="A127" s="61" t="n">
        <x:v>1074</x:v>
      </x:c>
      <x:c r="B127" s="61" t="str">
        <x:v>CoVi Analytics</x:v>
      </x:c>
      <x:c r="C127" s="61" t="str">
        <x:v>U</x:v>
      </x:c>
      <x:c r="D127" s="61" t="str">
        <x:v>Unassessed</x:v>
      </x:c>
      <x:c r="E127" s="61" t="str">
        <x:v>FINANCE</x:v>
      </x:c>
      <x:c r="F127" s="61" t="str">
        <x:v>Business-finance / public funding information</x:v>
      </x:c>
      <x:c r="G127" s="61" t="str">
        <x:v>Verify the originating financial record and entity identifier; funding receipt is not evidence of fraud.</x:v>
      </x:c>
      <x:c r="H127" s="61" t="str">
        <x:v>Verify publisher, source and current function before reliance</x:v>
      </x:c>
      <x:c r="I127" s="61" t="str">
        <x:v>Not checked</x:v>
      </x:c>
      <x:c r="J127" s="61" t="str">
        <x:v>Saved bookmark metadata only</x:v>
      </x:c>
      <x:c r="K127" s="61" t="str"/>
      <x:c r="L127" s="70" t="str"/>
      <x:c r="M127" s="70" t="str">
        <x:v>https://www.covianalytics.com/</x:v>
      </x:c>
      <x:c r="N127" s="61" t="str">
        <x:v>297888682</x:v>
      </x:c>
      <x:c r="O127" s="61" t="n">
        <x:v>1050</x:v>
      </x:c>
      <x:c r="P127" s="61" t="n">
        <x:v>4</x:v>
      </x:c>
      <x:c r="Q127" s="61" t="str"/>
      <x:c r="R127" s="61" t="n">
        <x:v>1</x:v>
      </x:c>
      <x:c r="S127" s="61" t="str">
        <x:v>Contacts / records</x:v>
      </x:c>
      <x:c r="T127" s="61" t="str">
        <x:v>Not established</x:v>
      </x:c>
    </x:row>
    <x:row r="128" ht="105" customHeight="1">
      <x:c r="A128" s="61" t="n">
        <x:v>1075</x:v>
      </x:c>
      <x:c r="B128" s="61" t="str">
        <x:v>Ppp.adatascienti.st</x:v>
      </x:c>
      <x:c r="C128" s="61" t="str">
        <x:v>U</x:v>
      </x:c>
      <x:c r="D128" s="61" t="str">
        <x:v>Unassessed</x:v>
      </x:c>
      <x:c r="E128" s="61" t="str">
        <x:v>FINANCE</x:v>
      </x:c>
      <x:c r="F128" s="61" t="str">
        <x:v>Business-finance / public funding information</x:v>
      </x:c>
      <x:c r="G128" s="61" t="str">
        <x:v>Verify the originating financial record and entity identifier; funding receipt is not evidence of fraud.</x:v>
      </x:c>
      <x:c r="H128" s="61" t="str">
        <x:v>Verify publisher, source and current function before reliance</x:v>
      </x:c>
      <x:c r="I128" s="61" t="str">
        <x:v>Not checked</x:v>
      </x:c>
      <x:c r="J128" s="61" t="str">
        <x:v>Saved bookmark metadata only</x:v>
      </x:c>
      <x:c r="K128" s="61" t="str"/>
      <x:c r="L128" s="70" t="str"/>
      <x:c r="M128" s="70" t="str">
        <x:v>https://ppp.adatascienti.st/</x:v>
      </x:c>
      <x:c r="N128" s="61" t="str">
        <x:v>290063442</x:v>
      </x:c>
      <x:c r="O128" s="61" t="n">
        <x:v>1050</x:v>
      </x:c>
      <x:c r="P128" s="61" t="n">
        <x:v>5</x:v>
      </x:c>
      <x:c r="Q128" s="61" t="str"/>
      <x:c r="R128" s="61" t="n">
        <x:v>1</x:v>
      </x:c>
      <x:c r="S128" s="61" t="str">
        <x:v>Contacts / records</x:v>
      </x:c>
      <x:c r="T128" s="61" t="str">
        <x:v>Not established</x:v>
      </x:c>
    </x:row>
    <x:row r="129" ht="105" customHeight="1">
      <x:c r="A129" s="61" t="n">
        <x:v>1076</x:v>
      </x:c>
      <x:c r="B129" s="61" t="str">
        <x:v>Search Our PPP Loan Database</x:v>
      </x:c>
      <x:c r="C129" s="61" t="str">
        <x:v>U</x:v>
      </x:c>
      <x:c r="D129" s="61" t="str">
        <x:v>Unassessed</x:v>
      </x:c>
      <x:c r="E129" s="61" t="str">
        <x:v>FINANCE</x:v>
      </x:c>
      <x:c r="F129" s="61" t="str">
        <x:v>Business-finance / public funding information</x:v>
      </x:c>
      <x:c r="G129" s="61" t="str">
        <x:v>Verify the originating financial record and entity identifier; funding receipt is not evidence of fraud.</x:v>
      </x:c>
      <x:c r="H129" s="61" t="str">
        <x:v>Verify publisher, source and current function before reliance</x:v>
      </x:c>
      <x:c r="I129" s="61" t="str">
        <x:v>Not checked</x:v>
      </x:c>
      <x:c r="J129" s="61" t="str">
        <x:v>Saved bookmark metadata only</x:v>
      </x:c>
      <x:c r="K129" s="61" t="str"/>
      <x:c r="L129" s="70" t="str"/>
      <x:c r="M129" s="70" t="str">
        <x:v>https://ppp.directory/search</x:v>
      </x:c>
      <x:c r="N129" s="61" t="str">
        <x:v>286702863</x:v>
      </x:c>
      <x:c r="O129" s="61" t="n">
        <x:v>1050</x:v>
      </x:c>
      <x:c r="P129" s="61" t="n">
        <x:v>6</x:v>
      </x:c>
      <x:c r="Q129" s="61" t="str"/>
      <x:c r="R129" s="61" t="n">
        <x:v>1</x:v>
      </x:c>
      <x:c r="S129" s="61" t="str">
        <x:v>Contacts / records</x:v>
      </x:c>
      <x:c r="T129" s="61" t="str">
        <x:v>Not established</x:v>
      </x:c>
    </x:row>
    <x:row r="130" ht="105" customHeight="1">
      <x:c r="A130" s="61" t="n">
        <x:v>1077</x:v>
      </x:c>
      <x:c r="B130" s="61" t="str">
        <x:v>TMX</x:v>
      </x:c>
      <x:c r="C130" s="61" t="str">
        <x:v>U</x:v>
      </x:c>
      <x:c r="D130" s="61" t="str">
        <x:v>Unassessed</x:v>
      </x:c>
      <x:c r="E130" s="61" t="str">
        <x:v>FINANCE</x:v>
      </x:c>
      <x:c r="F130" s="61" t="str">
        <x:v>Business-finance / public funding information</x:v>
      </x:c>
      <x:c r="G130" s="61" t="str">
        <x:v>Verify the originating financial record and entity identifier; funding receipt is not evidence of fraud.</x:v>
      </x:c>
      <x:c r="H130" s="61" t="str">
        <x:v>Verify publisher, source and current function before reliance</x:v>
      </x:c>
      <x:c r="I130" s="61" t="str">
        <x:v>Not checked</x:v>
      </x:c>
      <x:c r="J130" s="61" t="str">
        <x:v>Saved bookmark metadata only</x:v>
      </x:c>
      <x:c r="K130" s="61" t="str"/>
      <x:c r="L130" s="70" t="str"/>
      <x:c r="M130" s="70" t="str">
        <x:v>https://www.m-x.ca/en/trading/data/quotes?symbol=</x:v>
      </x:c>
      <x:c r="N130" s="61" t="str">
        <x:v>305288826</x:v>
      </x:c>
      <x:c r="O130" s="61" t="n">
        <x:v>1050</x:v>
      </x:c>
      <x:c r="P130" s="61" t="n">
        <x:v>7</x:v>
      </x:c>
      <x:c r="Q130" s="61" t="str"/>
      <x:c r="R130" s="61" t="n">
        <x:v>1</x:v>
      </x:c>
      <x:c r="S130" s="61" t="str">
        <x:v>Contacts / records</x:v>
      </x:c>
      <x:c r="T130" s="61" t="str">
        <x:v>Not established</x:v>
      </x:c>
    </x:row>
    <x:row r="131" ht="105" customHeight="1">
      <x:c r="A131" s="61" t="n">
        <x:v>1078</x:v>
      </x:c>
      <x:c r="B131" s="61" t="str">
        <x:v>TMX TSX</x:v>
      </x:c>
      <x:c r="C131" s="61" t="str">
        <x:v>U</x:v>
      </x:c>
      <x:c r="D131" s="61" t="str">
        <x:v>Unassessed</x:v>
      </x:c>
      <x:c r="E131" s="61" t="str">
        <x:v>FINANCE</x:v>
      </x:c>
      <x:c r="F131" s="61" t="str">
        <x:v>Business-finance / public funding information</x:v>
      </x:c>
      <x:c r="G131" s="61" t="str">
        <x:v>Verify the originating financial record and entity identifier; funding receipt is not evidence of fraud.</x:v>
      </x:c>
      <x:c r="H131" s="61" t="str">
        <x:v>Verify publisher, source and current function before reliance</x:v>
      </x:c>
      <x:c r="I131" s="61" t="str">
        <x:v>Not checked</x:v>
      </x:c>
      <x:c r="J131" s="61" t="str">
        <x:v>Saved bookmark metadata only</x:v>
      </x:c>
      <x:c r="K131" s="61" t="str"/>
      <x:c r="L131" s="70" t="str"/>
      <x:c r="M131" s="70" t="str">
        <x:v>https://www.tsx.com/listings/listing-with-us/listed-company-directory</x:v>
      </x:c>
      <x:c r="N131" s="61" t="str">
        <x:v>305288827</x:v>
      </x:c>
      <x:c r="O131" s="61" t="n">
        <x:v>1050</x:v>
      </x:c>
      <x:c r="P131" s="61" t="n">
        <x:v>8</x:v>
      </x:c>
      <x:c r="Q131" s="61" t="str"/>
      <x:c r="R131" s="61" t="n">
        <x:v>1</x:v>
      </x:c>
      <x:c r="S131" s="61" t="str">
        <x:v>Contacts / records</x:v>
      </x:c>
      <x:c r="T131" s="61" t="str">
        <x:v>Not established</x:v>
      </x:c>
    </x:row>
    <x:row r="132" ht="105" customHeight="1">
      <x:c r="A132" s="61" t="n">
        <x:v>1079</x:v>
      </x:c>
      <x:c r="B132" s="61" t="str">
        <x:v>Search for Investment Fund Documents</x:v>
      </x:c>
      <x:c r="C132" s="61" t="str">
        <x:v>U</x:v>
      </x:c>
      <x:c r="D132" s="61" t="str">
        <x:v>Unassessed</x:v>
      </x:c>
      <x:c r="E132" s="61" t="str">
        <x:v>FINANCE</x:v>
      </x:c>
      <x:c r="F132" s="61" t="str">
        <x:v>Business-finance / public funding information</x:v>
      </x:c>
      <x:c r="G132" s="61" t="str">
        <x:v>Verify the originating financial record and entity identifier; funding receipt is not evidence of fraud.</x:v>
      </x:c>
      <x:c r="H132" s="61" t="str">
        <x:v>Verify publisher, source and current function before reliance</x:v>
      </x:c>
      <x:c r="I132" s="61" t="str">
        <x:v>Not checked</x:v>
      </x:c>
      <x:c r="J132" s="61" t="str">
        <x:v>Saved bookmark metadata only</x:v>
      </x:c>
      <x:c r="K132" s="61" t="str"/>
      <x:c r="L132" s="70" t="str"/>
      <x:c r="M132" s="70" t="str">
        <x:v>https://www.sedar.com/search/search_form_mf_en.htm</x:v>
      </x:c>
      <x:c r="N132" s="61" t="str">
        <x:v>305288884</x:v>
      </x:c>
      <x:c r="O132" s="61" t="n">
        <x:v>1050</x:v>
      </x:c>
      <x:c r="P132" s="61" t="n">
        <x:v>9</x:v>
      </x:c>
      <x:c r="Q132" s="61" t="str"/>
      <x:c r="R132" s="61" t="n">
        <x:v>1</x:v>
      </x:c>
      <x:c r="S132" s="61" t="str">
        <x:v>Contacts / records</x:v>
      </x:c>
      <x:c r="T132" s="61" t="str">
        <x:v>Not established</x:v>
      </x:c>
    </x:row>
    <x:row r="133" ht="105" customHeight="1">
      <x:c r="A133" s="61" t="n">
        <x:v>1080</x:v>
      </x:c>
      <x:c r="B133" s="61" t="str">
        <x:v>Companies &amp; Orgs Search Engine</x:v>
      </x:c>
      <x:c r="C133" s="61" t="str">
        <x:v>C-P</x:v>
      </x:c>
      <x:c r="D133" s="61" t="str">
        <x:v>Provisional</x:v>
      </x:c>
      <x:c r="E133" s="61" t="str">
        <x:v>BUSINESS</x:v>
      </x:c>
      <x:c r="F133" s="61" t="str">
        <x:v>Custom-search discovery only</x:v>
      </x:c>
      <x:c r="G133" s="61" t="str">
        <x:v>The saved URL identifies a custom search. This engine's configuration, coverage and query results were not tested.</x:v>
      </x:c>
      <x:c r="H133" s="61" t="str">
        <x:v>Open and verify the original result; do not count the search as corroboration</x:v>
      </x:c>
      <x:c r="I133" s="61" t="str">
        <x:v>Not checked</x:v>
      </x:c>
      <x:c r="J133" s="61" t="str">
        <x:v>Saved bookmark metadata only</x:v>
      </x:c>
      <x:c r="K133" s="61" t="str"/>
      <x:c r="L133" s="70" t="str"/>
      <x:c r="M133" s="70" t="str">
        <x:v>https://cse.google.com/cse?cx=72ea9d8cfefc142d3</x:v>
      </x:c>
      <x:c r="N133" s="61" t="str">
        <x:v>286819724</x:v>
      </x:c>
      <x:c r="O133" s="61" t="n">
        <x:v>1050</x:v>
      </x:c>
      <x:c r="P133" s="61" t="n">
        <x:v>1</x:v>
      </x:c>
      <x:c r="Q133" s="61" t="str"/>
      <x:c r="R133" s="61" t="n">
        <x:v>1</x:v>
      </x:c>
      <x:c r="S133" s="61" t="str">
        <x:v>Contacts / records</x:v>
      </x:c>
      <x:c r="T133" s="61" t="str">
        <x:v>Low</x:v>
      </x:c>
    </x:row>
    <x:row r="134" ht="105" customHeight="1">
      <x:c r="A134" s="61" t="n">
        <x:v>1081</x:v>
      </x:c>
      <x:c r="B134" s="61" t="str">
        <x:v>WhaleSlide</x:v>
      </x:c>
      <x:c r="C134" s="61" t="str">
        <x:v>U</x:v>
      </x:c>
      <x:c r="D134" s="61" t="str">
        <x:v>Unassessed</x:v>
      </x:c>
      <x:c r="E134" s="61" t="str">
        <x:v>BUSINESS</x:v>
      </x:c>
      <x:c r="F134" s="61" t="str">
        <x:v>Organization / role / funding records</x:v>
      </x:c>
      <x:c r="G134" s="61" t="str">
        <x:v>Match jurisdiction, entity identifier, role and date; shared agents or addresses do not prove ownership.</x:v>
      </x:c>
      <x:c r="H134" s="61" t="str">
        <x:v>Verify publisher, source and current function before reliance</x:v>
      </x:c>
      <x:c r="I134" s="61" t="str">
        <x:v>Not checked</x:v>
      </x:c>
      <x:c r="J134" s="61" t="str">
        <x:v>Saved bookmark metadata only</x:v>
      </x:c>
      <x:c r="K134" s="61" t="str"/>
      <x:c r="L134" s="70" t="str"/>
      <x:c r="M134" s="70" t="str">
        <x:v>https://whaleslide.com/</x:v>
      </x:c>
      <x:c r="N134" s="61" t="str">
        <x:v>286826152</x:v>
      </x:c>
      <x:c r="O134" s="61" t="n">
        <x:v>1050</x:v>
      </x:c>
      <x:c r="P134" s="61" t="n">
        <x:v>2</x:v>
      </x:c>
      <x:c r="Q134" s="61" t="str"/>
      <x:c r="R134" s="61" t="n">
        <x:v>1</x:v>
      </x:c>
      <x:c r="S134" s="61" t="str">
        <x:v>Contacts / records</x:v>
      </x:c>
      <x:c r="T134" s="61" t="str">
        <x:v>Not established</x:v>
      </x:c>
    </x:row>
    <x:row r="135" ht="105" customHeight="1">
      <x:c r="A135" s="61" t="n">
        <x:v>1082</x:v>
      </x:c>
      <x:c r="B135" s="61" t="str">
        <x:v>AllPeople</x:v>
      </x:c>
      <x:c r="C135" s="61" t="str">
        <x:v>C</x:v>
      </x:c>
      <x:c r="D135" s="61" t="str">
        <x:v>Documented</x:v>
      </x:c>
      <x:c r="E135" s="61" t="str">
        <x:v>BUSINESS</x:v>
      </x:c>
      <x:c r="F135" s="61" t="str">
        <x:v>Business-professional directory leads</x:v>
      </x:c>
      <x:c r="G135" s="61" t="str">
        <x:v>Directory listings are starting points. Independently establish the person's role, employer and relevant dates.</x:v>
      </x:c>
      <x:c r="H135" s="61" t="str">
        <x:v>Corroborate before attribution</x:v>
      </x:c>
      <x:c r="I135" s="61" t="str">
        <x:v>Content readable; lookup not tested</x:v>
      </x:c>
      <x:c r="J135" s="61" t="str">
        <x:v>Provider landing page</x:v>
      </x:c>
      <x:c r="K135" s="61" t="str">
        <x:v>S041</x:v>
      </x:c>
      <x:c r="L135" s="70" t="str">
        <x:v>https://allpeople.com/</x:v>
      </x:c>
      <x:c r="M135" s="70" t="str">
        <x:v>https://allpeople.com/</x:v>
      </x:c>
      <x:c r="N135" s="61" t="str">
        <x:v>268508960</x:v>
      </x:c>
      <x:c r="O135" s="61" t="n">
        <x:v>1050</x:v>
      </x:c>
      <x:c r="P135" s="61" t="n">
        <x:v>3</x:v>
      </x:c>
      <x:c r="Q135" s="61" t="str">
        <x:v>2026-09-15</x:v>
      </x:c>
      <x:c r="R135" s="61" t="n">
        <x:v>1</x:v>
      </x:c>
      <x:c r="S135" s="61" t="str">
        <x:v>Contacts / records</x:v>
      </x:c>
      <x:c r="T135" s="61" t="str">
        <x:v>Scoped desk assessment</x:v>
      </x:c>
    </x:row>
    <x:row r="136" ht="105" customHeight="1">
      <x:c r="A136" s="61" t="n">
        <x:v>1083</x:v>
      </x:c>
      <x:c r="B136" s="61" t="str">
        <x:v>Corporation Wiki</x:v>
      </x:c>
      <x:c r="C136" s="61" t="str">
        <x:v>U</x:v>
      </x:c>
      <x:c r="D136" s="61" t="str">
        <x:v>Access unresolved</x:v>
      </x:c>
      <x:c r="E136" s="61" t="str">
        <x:v>BUSINESS</x:v>
      </x:c>
      <x:c r="F136" s="61" t="str">
        <x:v>Organization / role / funding records</x:v>
      </x:c>
      <x:c r="G136" s="61" t="str">
        <x:v>Match jurisdiction, entity identifier, role and date; shared agents or addresses do not prove ownership.</x:v>
      </x:c>
      <x:c r="H136" s="61" t="str">
        <x:v>Check manually; retrieval failure is not evidence the service is unreliable</x:v>
      </x:c>
      <x:c r="I136" s="61" t="str">
        <x:v>Unresolved reader access; website status unknown</x:v>
      </x:c>
      <x:c r="J136" s="61" t="str">
        <x:v>Fetch attempted; no usable substantive content</x:v>
      </x:c>
      <x:c r="K136" s="61" t="str"/>
      <x:c r="L136" s="70" t="str"/>
      <x:c r="M136" s="70" t="str">
        <x:v>https://www.corporationwiki.com/</x:v>
      </x:c>
      <x:c r="N136" s="61" t="str">
        <x:v>268404186</x:v>
      </x:c>
      <x:c r="O136" s="61" t="n">
        <x:v>1050</x:v>
      </x:c>
      <x:c r="P136" s="61" t="n">
        <x:v>4</x:v>
      </x:c>
      <x:c r="Q136" s="61" t="str">
        <x:v>2026-09-15</x:v>
      </x:c>
      <x:c r="R136" s="61" t="n">
        <x:v>1</x:v>
      </x:c>
      <x:c r="S136" s="61" t="str">
        <x:v>Contacts / records</x:v>
      </x:c>
      <x:c r="T136" s="61" t="str">
        <x:v>Not established</x:v>
      </x:c>
    </x:row>
    <x:row r="137" ht="105" customHeight="1">
      <x:c r="A137" s="61" t="n">
        <x:v>1084</x:v>
      </x:c>
      <x:c r="B137" s="61" t="str">
        <x:v>PA PPP Database</x:v>
      </x:c>
      <x:c r="C137" s="61" t="str">
        <x:v>U</x:v>
      </x:c>
      <x:c r="D137" s="61" t="str">
        <x:v>Unassessed</x:v>
      </x:c>
      <x:c r="E137" s="61" t="str">
        <x:v>BUSINESS</x:v>
      </x:c>
      <x:c r="F137" s="61" t="str">
        <x:v>Organization / role / funding records</x:v>
      </x:c>
      <x:c r="G137" s="61" t="str">
        <x:v>Match jurisdiction, entity identifier, role and date; shared agents or addresses do not prove ownership.</x:v>
      </x:c>
      <x:c r="H137" s="61" t="str">
        <x:v>Verify publisher, source and current function before reliance</x:v>
      </x:c>
      <x:c r="I137" s="61" t="str">
        <x:v>Not checked</x:v>
      </x:c>
      <x:c r="J137" s="61" t="str">
        <x:v>Saved bookmark metadata only</x:v>
      </x:c>
      <x:c r="K137" s="61" t="str"/>
      <x:c r="L137" s="70" t="str"/>
      <x:c r="M137" s="70" t="str">
        <x:v>https://public.flourish.studio/visualisation/3105919/</x:v>
      </x:c>
      <x:c r="N137" s="61" t="str">
        <x:v>268470342</x:v>
      </x:c>
      <x:c r="O137" s="61" t="n">
        <x:v>1050</x:v>
      </x:c>
      <x:c r="P137" s="61" t="n">
        <x:v>5</x:v>
      </x:c>
      <x:c r="Q137" s="61" t="str"/>
      <x:c r="R137" s="61" t="n">
        <x:v>1</x:v>
      </x:c>
      <x:c r="S137" s="61" t="str">
        <x:v>Contacts / records</x:v>
      </x:c>
      <x:c r="T137" s="61" t="str">
        <x:v>Not established</x:v>
      </x:c>
    </x:row>
    <x:row r="138" ht="105" customHeight="1">
      <x:c r="A138" s="61" t="n">
        <x:v>1085</x:v>
      </x:c>
      <x:c r="B138" s="61" t="str">
        <x:v>Michigan PPP loans</x:v>
      </x:c>
      <x:c r="C138" s="61" t="str">
        <x:v>U</x:v>
      </x:c>
      <x:c r="D138" s="61" t="str">
        <x:v>Unassessed</x:v>
      </x:c>
      <x:c r="E138" s="61" t="str">
        <x:v>BUSINESS</x:v>
      </x:c>
      <x:c r="F138" s="61" t="str">
        <x:v>Organization / role / funding records</x:v>
      </x:c>
      <x:c r="G138" s="61" t="str">
        <x:v>Match jurisdiction, entity identifier, role and date; shared agents or addresses do not prove ownership.</x:v>
      </x:c>
      <x:c r="H138" s="61" t="str">
        <x:v>Verify publisher, source and current function before reliance</x:v>
      </x:c>
      <x:c r="I138" s="61" t="str">
        <x:v>Not checked</x:v>
      </x:c>
      <x:c r="J138" s="61" t="str">
        <x:v>Saved bookmark metadata only</x:v>
      </x:c>
      <x:c r="K138" s="61" t="str"/>
      <x:c r="L138" s="70" t="str"/>
      <x:c r="M138" s="70" t="str">
        <x:v>https://c0eib122.caspio.com/dp/74321000d4c16abc2baf480b8934</x:v>
      </x:c>
      <x:c r="N138" s="61" t="str">
        <x:v>286946360</x:v>
      </x:c>
      <x:c r="O138" s="61" t="n">
        <x:v>1050</x:v>
      </x:c>
      <x:c r="P138" s="61" t="n">
        <x:v>6</x:v>
      </x:c>
      <x:c r="Q138" s="61" t="str"/>
      <x:c r="R138" s="61" t="n">
        <x:v>1</x:v>
      </x:c>
      <x:c r="S138" s="61" t="str">
        <x:v>Contacts / records</x:v>
      </x:c>
      <x:c r="T138" s="61" t="str">
        <x:v>Not established</x:v>
      </x:c>
    </x:row>
    <x:row r="139" ht="105" customHeight="1">
      <x:c r="A139" s="61" t="n">
        <x:v>1086</x:v>
      </x:c>
      <x:c r="B139" s="61" t="str">
        <x:v>Companies House</x:v>
      </x:c>
      <x:c r="C139" s="61" t="str">
        <x:v>A</x:v>
      </x:c>
      <x:c r="D139" s="61" t="str">
        <x:v>Documented</x:v>
      </x:c>
      <x:c r="E139" s="61" t="str">
        <x:v>BUSINESS</x:v>
      </x:c>
      <x:c r="F139" s="61" t="str">
        <x:v>Official company filing provenance</x:v>
      </x:c>
      <x:c r="G139" s="61" t="str">
        <x:v>Official registry: a filing's existence is authoritative; submitted statements still require verification. Identity checks do not certify every filed fact.</x:v>
      </x:c>
      <x:c r="H139" s="61" t="str">
        <x:v>Verify exact official record</x:v>
      </x:c>
      <x:c r="I139" s="61" t="str">
        <x:v>Registry notice readable; no entity query</x:v>
      </x:c>
      <x:c r="J139" s="61" t="str">
        <x:v>Official registry notice</x:v>
      </x:c>
      <x:c r="K139" s="61" t="str">
        <x:v>S037</x:v>
      </x:c>
      <x:c r="L139" s="70" t="str">
        <x:v>https://find-and-update.company-information.service.gov.uk/</x:v>
      </x:c>
      <x:c r="M139" s="70" t="str">
        <x:v>https://www.gov.uk/government/organisations/companies-house</x:v>
      </x:c>
      <x:c r="N139" s="61" t="str">
        <x:v>268404188</x:v>
      </x:c>
      <x:c r="O139" s="61" t="n">
        <x:v>1050</x:v>
      </x:c>
      <x:c r="P139" s="61" t="n">
        <x:v>7</x:v>
      </x:c>
      <x:c r="Q139" s="61" t="str">
        <x:v>2026-09-15</x:v>
      </x:c>
      <x:c r="R139" s="61" t="n">
        <x:v>1</x:v>
      </x:c>
      <x:c r="S139" s="61" t="str">
        <x:v>Contacts / records</x:v>
      </x:c>
      <x:c r="T139" s="61" t="str">
        <x:v>Scoped desk assessment</x:v>
      </x:c>
    </x:row>
    <x:row r="140" ht="105" customHeight="1">
      <x:c r="A140" s="61" t="n">
        <x:v>1087</x:v>
      </x:c>
      <x:c r="B140" s="61" t="str">
        <x:v>Global Brownbook</x:v>
      </x:c>
      <x:c r="C140" s="61" t="str">
        <x:v>C</x:v>
      </x:c>
      <x:c r="D140" s="61" t="str">
        <x:v>Documented</x:v>
      </x:c>
      <x:c r="E140" s="61" t="str">
        <x:v>BUSINESS</x:v>
      </x:c>
      <x:c r="F140" s="61" t="str">
        <x:v>Business listing leads</x:v>
      </x:c>
      <x:c r="G140" s="61" t="str">
        <x:v>Business-directory listings, including contributed listings. Verify contact and role claims with the organization or an original record.</x:v>
      </x:c>
      <x:c r="H140" s="61" t="str">
        <x:v>Corroborate before attribution</x:v>
      </x:c>
      <x:c r="I140" s="61" t="str">
        <x:v>Content readable; lookup not tested</x:v>
      </x:c>
      <x:c r="J140" s="61" t="str">
        <x:v>Provider landing page</x:v>
      </x:c>
      <x:c r="K140" s="61" t="str">
        <x:v>S042</x:v>
      </x:c>
      <x:c r="L140" s="70" t="str">
        <x:v>https://www.brownbook.net/</x:v>
      </x:c>
      <x:c r="M140" s="70" t="str">
        <x:v>https://www.brownbook.net/</x:v>
      </x:c>
      <x:c r="N140" s="61" t="str">
        <x:v>268404189</x:v>
      </x:c>
      <x:c r="O140" s="61" t="n">
        <x:v>1050</x:v>
      </x:c>
      <x:c r="P140" s="61" t="n">
        <x:v>8</x:v>
      </x:c>
      <x:c r="Q140" s="61" t="str">
        <x:v>2026-09-15</x:v>
      </x:c>
      <x:c r="R140" s="61" t="n">
        <x:v>1</x:v>
      </x:c>
      <x:c r="S140" s="61" t="str">
        <x:v>Contacts / records</x:v>
      </x:c>
      <x:c r="T140" s="61" t="str">
        <x:v>Scoped desk assessment</x:v>
      </x:c>
    </x:row>
    <x:row r="141" ht="105" customHeight="1">
      <x:c r="A141" s="61" t="n">
        <x:v>1088</x:v>
      </x:c>
      <x:c r="B141" s="61" t="str">
        <x:v>list-org</x:v>
      </x:c>
      <x:c r="C141" s="61" t="str">
        <x:v>C</x:v>
      </x:c>
      <x:c r="D141" s="61" t="str">
        <x:v>Documented</x:v>
      </x:c>
      <x:c r="E141" s="61" t="str">
        <x:v>BUSINESS</x:v>
      </x:c>
      <x:c r="F141" s="61" t="str">
        <x:v>Russian company discovery</x:v>
      </x:c>
      <x:c r="G141" s="61" t="str">
        <x:v>Secondary company-search service. Obtain a dated official registry extract before relying on a director or ownership connection.</x:v>
      </x:c>
      <x:c r="H141" s="61" t="str">
        <x:v>Corroborate before attribution</x:v>
      </x:c>
      <x:c r="I141" s="61" t="str">
        <x:v>Content readable; lookup not tested</x:v>
      </x:c>
      <x:c r="J141" s="61" t="str">
        <x:v>Provider landing page</x:v>
      </x:c>
      <x:c r="K141" s="61" t="str">
        <x:v>S043</x:v>
      </x:c>
      <x:c r="L141" s="70" t="str">
        <x:v>https://www.list-org.com/</x:v>
      </x:c>
      <x:c r="M141" s="70" t="str">
        <x:v>https://www.list-org.com/</x:v>
      </x:c>
      <x:c r="N141" s="61" t="str">
        <x:v>268404193</x:v>
      </x:c>
      <x:c r="O141" s="61" t="n">
        <x:v>1050</x:v>
      </x:c>
      <x:c r="P141" s="61" t="n">
        <x:v>9</x:v>
      </x:c>
      <x:c r="Q141" s="61" t="str">
        <x:v>2026-09-15</x:v>
      </x:c>
      <x:c r="R141" s="61" t="n">
        <x:v>1</x:v>
      </x:c>
      <x:c r="S141" s="61" t="str">
        <x:v>Contacts / records</x:v>
      </x:c>
      <x:c r="T141" s="61" t="str">
        <x:v>Scoped desk assessment</x:v>
      </x:c>
    </x:row>
    <x:row r="142" ht="105" customHeight="1">
      <x:c r="A142" s="61" t="n">
        <x:v>1089</x:v>
      </x:c>
      <x:c r="B142" s="61" t="str">
        <x:v>OpenCorporates</x:v>
      </x:c>
      <x:c r="C142" s="61" t="str">
        <x:v>B</x:v>
      </x:c>
      <x:c r="D142" s="61" t="str">
        <x:v>Documented</x:v>
      </x:c>
      <x:c r="E142" s="61" t="str">
        <x:v>BUSINESS</x:v>
      </x:c>
      <x:c r="F142" s="61" t="str">
        <x:v>Source-linked company discovery</x:v>
      </x:c>
      <x:c r="G142" s="61" t="str">
        <x:v>Registry aggregation with source provenance. Confirm jurisdiction, company number, role and dates against the originating registry.</x:v>
      </x:c>
      <x:c r="H142" s="61" t="str">
        <x:v>Corroborate before attribution</x:v>
      </x:c>
      <x:c r="I142" s="61" t="str">
        <x:v>Content readable; lookup not tested</x:v>
      </x:c>
      <x:c r="J142" s="61" t="str">
        <x:v>Provider documentation</x:v>
      </x:c>
      <x:c r="K142" s="61" t="str">
        <x:v>S038</x:v>
      </x:c>
      <x:c r="L142" s="70" t="str">
        <x:v>https://opencorporates.com/</x:v>
      </x:c>
      <x:c r="M142" s="70" t="str">
        <x:v>https://opencorporates.com/</x:v>
      </x:c>
      <x:c r="N142" s="61" t="str">
        <x:v>268404194</x:v>
      </x:c>
      <x:c r="O142" s="61" t="n">
        <x:v>1050</x:v>
      </x:c>
      <x:c r="P142" s="61" t="n">
        <x:v>10</x:v>
      </x:c>
      <x:c r="Q142" s="61" t="str">
        <x:v>2026-09-15</x:v>
      </x:c>
      <x:c r="R142" s="61" t="n">
        <x:v>1</x:v>
      </x:c>
      <x:c r="S142" s="61" t="str">
        <x:v>Contacts / records</x:v>
      </x:c>
      <x:c r="T142" s="61" t="str">
        <x:v>Scoped desk assessment</x:v>
      </x:c>
    </x:row>
    <x:row r="143" ht="105" customHeight="1">
      <x:c r="A143" s="61" t="n">
        <x:v>1090</x:v>
      </x:c>
      <x:c r="B143" s="61" t="str">
        <x:v>ICIJ Offshore Leaks Database</x:v>
      </x:c>
      <x:c r="C143" s="61" t="str">
        <x:v>B</x:v>
      </x:c>
      <x:c r="D143" s="61" t="str">
        <x:v>Documented</x:v>
      </x:c>
      <x:c r="E143" s="61" t="str">
        <x:v>BUSINESS</x:v>
      </x:c>
      <x:c r="F143" s="61" t="str">
        <x:v>Historical offshore-record connections</x:v>
      </x:c>
      <x:c r="G143" s="61" t="str">
        <x:v>Historical dataset, not a wrongdoing list. Resolve namesakes and follow the specific source documents before attributing a connection.</x:v>
      </x:c>
      <x:c r="H143" s="61" t="str">
        <x:v>Corroborate before attribution</x:v>
      </x:c>
      <x:c r="I143" s="61" t="str">
        <x:v>Content readable; lookup not tested</x:v>
      </x:c>
      <x:c r="J143" s="61" t="str">
        <x:v>Publisher methodology / caveats</x:v>
      </x:c>
      <x:c r="K143" s="61" t="str">
        <x:v>S039</x:v>
      </x:c>
      <x:c r="L143" s="70" t="str">
        <x:v>https://offshoreleaks.icij.org/pages/about</x:v>
      </x:c>
      <x:c r="M143" s="70" t="str">
        <x:v>https://offshoreleaks.icij.org/</x:v>
      </x:c>
      <x:c r="N143" s="61" t="str">
        <x:v>268404195</x:v>
      </x:c>
      <x:c r="O143" s="61" t="n">
        <x:v>1050</x:v>
      </x:c>
      <x:c r="P143" s="61" t="n">
        <x:v>11</x:v>
      </x:c>
      <x:c r="Q143" s="61" t="str">
        <x:v>2026-09-15</x:v>
      </x:c>
      <x:c r="R143" s="61" t="n">
        <x:v>1</x:v>
      </x:c>
      <x:c r="S143" s="61" t="str">
        <x:v>Contacts / records</x:v>
      </x:c>
      <x:c r="T143" s="61" t="str">
        <x:v>Scoped desk assessment</x:v>
      </x:c>
    </x:row>
    <x:row r="144" ht="105" customHeight="1">
      <x:c r="A144" s="61" t="n">
        <x:v>1091</x:v>
      </x:c>
      <x:c r="B144" s="61" t="str">
        <x:v>Home Comptroller.Texas.Gov</x:v>
      </x:c>
      <x:c r="C144" s="61" t="str">
        <x:v>A</x:v>
      </x:c>
      <x:c r="D144" s="61" t="str">
        <x:v>Documented</x:v>
      </x:c>
      <x:c r="E144" s="61" t="str">
        <x:v>BUSINESS</x:v>
      </x:c>
      <x:c r="F144" s="61" t="str">
        <x:v>Official Texas tax / entity records</x:v>
      </x:c>
      <x:c r="G144" s="61" t="str">
        <x:v>Official agency entry point. Use the actual entity or tax-status record; a homepage or name match does not establish ownership.</x:v>
      </x:c>
      <x:c r="H144" s="61" t="str">
        <x:v>Verify exact official record</x:v>
      </x:c>
      <x:c r="I144" s="61" t="str">
        <x:v>Agency page readable; no entity query</x:v>
      </x:c>
      <x:c r="J144" s="61" t="str">
        <x:v>Official agency page</x:v>
      </x:c>
      <x:c r="K144" s="61" t="str">
        <x:v>S040</x:v>
      </x:c>
      <x:c r="L144" s="70" t="str">
        <x:v>https://comptroller.texas.gov/</x:v>
      </x:c>
      <x:c r="M144" s="70" t="str">
        <x:v>https://comptroller.texas.gov/</x:v>
      </x:c>
      <x:c r="N144" s="61" t="str">
        <x:v>268465957</x:v>
      </x:c>
      <x:c r="O144" s="61" t="n">
        <x:v>1050</x:v>
      </x:c>
      <x:c r="P144" s="61" t="n">
        <x:v>12</x:v>
      </x:c>
      <x:c r="Q144" s="61" t="str">
        <x:v>2026-09-15</x:v>
      </x:c>
      <x:c r="R144" s="61" t="n">
        <x:v>1</x:v>
      </x:c>
      <x:c r="S144" s="61" t="str">
        <x:v>Contacts / records</x:v>
      </x:c>
      <x:c r="T144" s="61" t="str">
        <x:v>Scoped desk assessment</x:v>
      </x:c>
    </x:row>
    <x:row r="145" ht="105" customHeight="1">
      <x:c r="A145" s="61" t="n">
        <x:v>1092</x:v>
      </x:c>
      <x:c r="B145" s="61" t="str">
        <x:v>Company search tool</x:v>
      </x:c>
      <x:c r="C145" s="61" t="str">
        <x:v>C</x:v>
      </x:c>
      <x:c r="D145" s="61" t="str">
        <x:v>Documented</x:v>
      </x:c>
      <x:c r="E145" s="61" t="str">
        <x:v>BUSINESS</x:v>
      </x:c>
      <x:c r="F145" s="61" t="str">
        <x:v>Company-search query building</x:v>
      </x:c>
      <x:c r="G145" s="61" t="str">
        <x:v>Search launcher, not independent confirmation. Attribute each returned claim to the original publisher.</x:v>
      </x:c>
      <x:c r="H145" s="61" t="str">
        <x:v>Corroborate before attribution</x:v>
      </x:c>
      <x:c r="I145" s="61" t="str">
        <x:v>Content readable; lookup not tested</x:v>
      </x:c>
      <x:c r="J145" s="61" t="str">
        <x:v>Provider documentation</x:v>
      </x:c>
      <x:c r="K145" s="61" t="str">
        <x:v>S044</x:v>
      </x:c>
      <x:c r="L145" s="70" t="str">
        <x:v>https://www.aware-online.com/en/osint-tools/company-search-tool/</x:v>
      </x:c>
      <x:c r="M145" s="70" t="str">
        <x:v>https://www.aware-online.com/en/osint-tools/company-search-tool/</x:v>
      </x:c>
      <x:c r="N145" s="61" t="str">
        <x:v>268503463</x:v>
      </x:c>
      <x:c r="O145" s="61" t="n">
        <x:v>1050</x:v>
      </x:c>
      <x:c r="P145" s="61" t="n">
        <x:v>13</x:v>
      </x:c>
      <x:c r="Q145" s="61" t="str">
        <x:v>2026-09-15</x:v>
      </x:c>
      <x:c r="R145" s="61" t="n">
        <x:v>1</x:v>
      </x:c>
      <x:c r="S145" s="61" t="str">
        <x:v>Contacts / records</x:v>
      </x:c>
      <x:c r="T145" s="61" t="str">
        <x:v>Scoped desk assessment</x:v>
      </x:c>
    </x:row>
    <x:row r="146" ht="105" customHeight="1">
      <x:c r="A146" s="61" t="n">
        <x:v>1093</x:v>
      </x:c>
      <x:c r="B146" s="61" t="str">
        <x:v>XRefer</x:v>
      </x:c>
      <x:c r="C146" s="61" t="str">
        <x:v>C</x:v>
      </x:c>
      <x:c r="D146" s="61" t="str">
        <x:v>Documented</x:v>
      </x:c>
      <x:c r="E146" s="61" t="str">
        <x:v>BUSINESS</x:v>
      </x:c>
      <x:c r="F146" s="61" t="str">
        <x:v>Local service-provider referral leads</x:v>
      </x:c>
      <x:c r="G146" s="61" t="str">
        <x:v>Current destination is a local-company referral directory. Verification claims on the landing page were not independently tested; this is not a corporate ownership register.</x:v>
      </x:c>
      <x:c r="H146" s="61" t="str">
        <x:v>Corroborate before attribution</x:v>
      </x:c>
      <x:c r="I146" s="61" t="str">
        <x:v>Content readable; lookup not tested</x:v>
      </x:c>
      <x:c r="J146" s="61" t="str">
        <x:v>Provider landing page</x:v>
      </x:c>
      <x:c r="K146" s="61" t="str">
        <x:v>S088</x:v>
      </x:c>
      <x:c r="L146" s="70" t="str">
        <x:v>https://www.xrefer.com/</x:v>
      </x:c>
      <x:c r="M146" s="70" t="str">
        <x:v>https://www.xrefer.com/</x:v>
      </x:c>
      <x:c r="N146" s="61" t="str">
        <x:v>268509011</x:v>
      </x:c>
      <x:c r="O146" s="61" t="n">
        <x:v>1050</x:v>
      </x:c>
      <x:c r="P146" s="61" t="n">
        <x:v>14</x:v>
      </x:c>
      <x:c r="Q146" s="61" t="str">
        <x:v>2026-09-15</x:v>
      </x:c>
      <x:c r="R146" s="61" t="n">
        <x:v>1</x:v>
      </x:c>
      <x:c r="S146" s="61" t="str">
        <x:v>Contacts / records</x:v>
      </x:c>
      <x:c r="T146" s="61" t="str">
        <x:v>Scoped desk assessment</x:v>
      </x:c>
    </x:row>
    <x:row r="147" ht="105" customHeight="1">
      <x:c r="A147" s="61" t="n">
        <x:v>1094</x:v>
      </x:c>
      <x:c r="B147" s="61" t="str">
        <x:v>Ttabcenter.com</x:v>
      </x:c>
      <x:c r="C147" s="61" t="str">
        <x:v>U</x:v>
      </x:c>
      <x:c r="D147" s="61" t="str">
        <x:v>Access unresolved</x:v>
      </x:c>
      <x:c r="E147" s="61" t="str">
        <x:v>BUSINESS</x:v>
      </x:c>
      <x:c r="F147" s="61" t="str">
        <x:v>Organization / role / funding records</x:v>
      </x:c>
      <x:c r="G147" s="61" t="str">
        <x:v>Match jurisdiction, entity identifier, role and date; shared agents or addresses do not prove ownership.</x:v>
      </x:c>
      <x:c r="H147" s="61" t="str">
        <x:v>Check manually; retrieval failure is not evidence the service is unreliable</x:v>
      </x:c>
      <x:c r="I147" s="61" t="str">
        <x:v>Unresolved reader access; website status unknown</x:v>
      </x:c>
      <x:c r="J147" s="61" t="str">
        <x:v>Fetch attempted; no usable substantive content</x:v>
      </x:c>
      <x:c r="K147" s="61" t="str"/>
      <x:c r="L147" s="70" t="str"/>
      <x:c r="M147" s="70" t="str">
        <x:v>https://ttabcenter.com/</x:v>
      </x:c>
      <x:c r="N147" s="61" t="str">
        <x:v>268509686</x:v>
      </x:c>
      <x:c r="O147" s="61" t="n">
        <x:v>1050</x:v>
      </x:c>
      <x:c r="P147" s="61" t="n">
        <x:v>15</x:v>
      </x:c>
      <x:c r="Q147" s="61" t="str">
        <x:v>2026-09-15</x:v>
      </x:c>
      <x:c r="R147" s="61" t="n">
        <x:v>1</x:v>
      </x:c>
      <x:c r="S147" s="61" t="str">
        <x:v>Contacts / records</x:v>
      </x:c>
      <x:c r="T147" s="61" t="str">
        <x:v>Not established</x:v>
      </x:c>
    </x:row>
    <x:row r="148" ht="105" customHeight="1">
      <x:c r="A148" s="61" t="n">
        <x:v>1095</x:v>
      </x:c>
      <x:c r="B148" s="61" t="str">
        <x:v>First Search</x:v>
      </x:c>
      <x:c r="C148" s="61" t="str">
        <x:v>N/A</x:v>
      </x:c>
      <x:c r="D148" s="61" t="str">
        <x:v>Documented</x:v>
      </x:c>
      <x:c r="E148" s="61" t="str">
        <x:v>BUSINESS</x:v>
      </x:c>
      <x:c r="F148" s="61" t="str">
        <x:v>Editorial reference, not a contact database</x:v>
      </x:c>
      <x:c r="G148" s="61" t="str">
        <x:v>The saved search URL redirects to First Round Review. The current destination is editorial material, not evidence of a personal connection.</x:v>
      </x:c>
      <x:c r="H148" s="61" t="str">
        <x:v>Update label; use as reference only</x:v>
      </x:c>
      <x:c r="I148" s="61" t="str">
        <x:v>Redirect to editorial site; old search not validated</x:v>
      </x:c>
      <x:c r="J148" s="61" t="str">
        <x:v>Observed redirect and destination</x:v>
      </x:c>
      <x:c r="K148" s="61" t="str">
        <x:v>S046</x:v>
      </x:c>
      <x:c r="L148" s="70" t="str">
        <x:v>https://review.firstround.com/</x:v>
      </x:c>
      <x:c r="M148" s="70" t="str">
        <x:v>https://search.firstround.com/</x:v>
      </x:c>
      <x:c r="N148" s="61" t="str">
        <x:v>268509781</x:v>
      </x:c>
      <x:c r="O148" s="61" t="n">
        <x:v>1050</x:v>
      </x:c>
      <x:c r="P148" s="61" t="n">
        <x:v>16</x:v>
      </x:c>
      <x:c r="Q148" s="61" t="str">
        <x:v>2026-09-15</x:v>
      </x:c>
      <x:c r="R148" s="61" t="n">
        <x:v>1</x:v>
      </x:c>
      <x:c r="S148" s="61" t="str">
        <x:v>Contacts / records</x:v>
      </x:c>
      <x:c r="T148" s="61" t="str">
        <x:v>Scoped desk assessment</x:v>
      </x:c>
    </x:row>
    <x:row r="149" ht="105" customHeight="1">
      <x:c r="A149" s="61" t="n">
        <x:v>1096</x:v>
      </x:c>
      <x:c r="B149" s="61" t="str">
        <x:v>Findingstartups.com</x:v>
      </x:c>
      <x:c r="C149" s="61" t="str">
        <x:v>U</x:v>
      </x:c>
      <x:c r="D149" s="61" t="str">
        <x:v>Unassessed</x:v>
      </x:c>
      <x:c r="E149" s="61" t="str">
        <x:v>BUSINESS</x:v>
      </x:c>
      <x:c r="F149" s="61" t="str">
        <x:v>Organization / role / funding records</x:v>
      </x:c>
      <x:c r="G149" s="61" t="str">
        <x:v>Match jurisdiction, entity identifier, role and date; shared agents or addresses do not prove ownership.</x:v>
      </x:c>
      <x:c r="H149" s="61" t="str">
        <x:v>Verify publisher, source and current function before reliance</x:v>
      </x:c>
      <x:c r="I149" s="61" t="str">
        <x:v>Not checked</x:v>
      </x:c>
      <x:c r="J149" s="61" t="str">
        <x:v>Saved bookmark metadata only</x:v>
      </x:c>
      <x:c r="K149" s="61" t="str"/>
      <x:c r="L149" s="70" t="str"/>
      <x:c r="M149" s="70" t="str">
        <x:v>https://findingstartups.com/</x:v>
      </x:c>
      <x:c r="N149" s="61" t="str">
        <x:v>268510358</x:v>
      </x:c>
      <x:c r="O149" s="61" t="n">
        <x:v>1050</x:v>
      </x:c>
      <x:c r="P149" s="61" t="n">
        <x:v>17</x:v>
      </x:c>
      <x:c r="Q149" s="61" t="str"/>
      <x:c r="R149" s="61" t="n">
        <x:v>1</x:v>
      </x:c>
      <x:c r="S149" s="61" t="str">
        <x:v>Contacts / records</x:v>
      </x:c>
      <x:c r="T149" s="61" t="str">
        <x:v>Not established</x:v>
      </x:c>
    </x:row>
    <x:row r="150" ht="105" customHeight="1">
      <x:c r="A150" s="61" t="n">
        <x:v>1097</x:v>
      </x:c>
      <x:c r="B150" s="61" t="str">
        <x:v>Startup Tracker</x:v>
      </x:c>
      <x:c r="C150" s="61" t="str">
        <x:v>U</x:v>
      </x:c>
      <x:c r="D150" s="61" t="str">
        <x:v>Access unresolved</x:v>
      </x:c>
      <x:c r="E150" s="61" t="str">
        <x:v>BUSINESS</x:v>
      </x:c>
      <x:c r="F150" s="61" t="str">
        <x:v>Organization / role / funding records</x:v>
      </x:c>
      <x:c r="G150" s="61" t="str">
        <x:v>Match jurisdiction, entity identifier, role and date; shared agents or addresses do not prove ownership.</x:v>
      </x:c>
      <x:c r="H150" s="61" t="str">
        <x:v>Check manually; retrieval failure is not evidence the service is unreliable</x:v>
      </x:c>
      <x:c r="I150" s="61" t="str">
        <x:v>Unresolved reader access; website status unknown</x:v>
      </x:c>
      <x:c r="J150" s="61" t="str">
        <x:v>Fetch attempted; no usable substantive content</x:v>
      </x:c>
      <x:c r="K150" s="61" t="str"/>
      <x:c r="L150" s="70" t="str"/>
      <x:c r="M150" s="70" t="str">
        <x:v>https://startuptracker.io/home</x:v>
      </x:c>
      <x:c r="N150" s="61" t="str">
        <x:v>268510361</x:v>
      </x:c>
      <x:c r="O150" s="61" t="n">
        <x:v>1050</x:v>
      </x:c>
      <x:c r="P150" s="61" t="n">
        <x:v>18</x:v>
      </x:c>
      <x:c r="Q150" s="61" t="str">
        <x:v>2026-09-15</x:v>
      </x:c>
      <x:c r="R150" s="61" t="n">
        <x:v>1</x:v>
      </x:c>
      <x:c r="S150" s="61" t="str">
        <x:v>Contacts / records</x:v>
      </x:c>
      <x:c r="T150" s="61" t="str">
        <x:v>Not established</x:v>
      </x:c>
    </x:row>
    <x:row r="151" ht="105" customHeight="1">
      <x:c r="A151" s="61" t="n">
        <x:v>1098</x:v>
      </x:c>
      <x:c r="B151" s="61" t="str">
        <x:v>Shopsearchengine.com</x:v>
      </x:c>
      <x:c r="C151" s="61" t="str">
        <x:v>U</x:v>
      </x:c>
      <x:c r="D151" s="61" t="str">
        <x:v>Unassessed</x:v>
      </x:c>
      <x:c r="E151" s="61" t="str">
        <x:v>BUSINESS</x:v>
      </x:c>
      <x:c r="F151" s="61" t="str">
        <x:v>Organization / role / funding records</x:v>
      </x:c>
      <x:c r="G151" s="61" t="str">
        <x:v>Match jurisdiction, entity identifier, role and date; shared agents or addresses do not prove ownership.</x:v>
      </x:c>
      <x:c r="H151" s="61" t="str">
        <x:v>Verify publisher, source and current function before reliance</x:v>
      </x:c>
      <x:c r="I151" s="61" t="str">
        <x:v>Not checked</x:v>
      </x:c>
      <x:c r="J151" s="61" t="str">
        <x:v>Saved bookmark metadata only</x:v>
      </x:c>
      <x:c r="K151" s="61" t="str"/>
      <x:c r="L151" s="70" t="str"/>
      <x:c r="M151" s="70" t="str">
        <x:v>http://shopsearchengine.com/</x:v>
      </x:c>
      <x:c r="N151" s="61" t="str">
        <x:v>268514035</x:v>
      </x:c>
      <x:c r="O151" s="61" t="n">
        <x:v>1050</x:v>
      </x:c>
      <x:c r="P151" s="61" t="n">
        <x:v>19</x:v>
      </x:c>
      <x:c r="Q151" s="61" t="str"/>
      <x:c r="R151" s="61" t="n">
        <x:v>1</x:v>
      </x:c>
      <x:c r="S151" s="61" t="str">
        <x:v>Contacts / records</x:v>
      </x:c>
      <x:c r="T151" s="61" t="str">
        <x:v>Not established</x:v>
      </x:c>
    </x:row>
    <x:row r="152" ht="105" customHeight="1">
      <x:c r="A152" s="61" t="n">
        <x:v>1099</x:v>
      </x:c>
      <x:c r="B152" s="61" t="str">
        <x:v>Covidbailouttracker.com</x:v>
      </x:c>
      <x:c r="C152" s="61" t="str">
        <x:v>U</x:v>
      </x:c>
      <x:c r="D152" s="61" t="str">
        <x:v>Unassessed</x:v>
      </x:c>
      <x:c r="E152" s="61" t="str">
        <x:v>BUSINESS</x:v>
      </x:c>
      <x:c r="F152" s="61" t="str">
        <x:v>Organization / role / funding records</x:v>
      </x:c>
      <x:c r="G152" s="61" t="str">
        <x:v>Match jurisdiction, entity identifier, role and date; shared agents or addresses do not prove ownership.</x:v>
      </x:c>
      <x:c r="H152" s="61" t="str">
        <x:v>Verify publisher, source and current function before reliance</x:v>
      </x:c>
      <x:c r="I152" s="61" t="str">
        <x:v>Not checked</x:v>
      </x:c>
      <x:c r="J152" s="61" t="str">
        <x:v>Saved bookmark metadata only</x:v>
      </x:c>
      <x:c r="K152" s="61" t="str"/>
      <x:c r="L152" s="70" t="str"/>
      <x:c r="M152" s="70" t="str">
        <x:v>https://covidbailouttracker.com/</x:v>
      </x:c>
      <x:c r="N152" s="61" t="str">
        <x:v>271266204</x:v>
      </x:c>
      <x:c r="O152" s="61" t="n">
        <x:v>1050</x:v>
      </x:c>
      <x:c r="P152" s="61" t="n">
        <x:v>20</x:v>
      </x:c>
      <x:c r="Q152" s="61" t="str"/>
      <x:c r="R152" s="61" t="n">
        <x:v>1</x:v>
      </x:c>
      <x:c r="S152" s="61" t="str">
        <x:v>Contacts / records</x:v>
      </x:c>
      <x:c r="T152" s="61" t="str">
        <x:v>Not established</x:v>
      </x:c>
    </x:row>
    <x:row r="153" ht="105" customHeight="1">
      <x:c r="A153" s="61" t="n">
        <x:v>1100</x:v>
      </x:c>
      <x:c r="B153" s="61" t="str">
        <x:v>Coronavirus Bailouts: Search Every Company Approved for Federal Loans Over $150k</x:v>
      </x:c>
      <x:c r="C153" s="61" t="str">
        <x:v>B</x:v>
      </x:c>
      <x:c r="D153" s="61" t="str">
        <x:v>Documented</x:v>
      </x:c>
      <x:c r="E153" s="61" t="str">
        <x:v>BUSINESS</x:v>
      </x:c>
      <x:c r="F153" s="61" t="str">
        <x:v>Archived SBA loan-record discovery</x:v>
      </x:c>
      <x:c r="G153" s="61" t="str">
        <x:v>Secondary archive of loan data. Confirm the particular entity and source record; a PPP loan is not evidence of fraud.</x:v>
      </x:c>
      <x:c r="H153" s="61" t="str">
        <x:v>Corroborate before attribution</x:v>
      </x:c>
      <x:c r="I153" s="61" t="str">
        <x:v>Content readable; lookup not tested</x:v>
      </x:c>
      <x:c r="J153" s="61" t="str">
        <x:v>Publisher project / methodology</x:v>
      </x:c>
      <x:c r="K153" s="61" t="str">
        <x:v>S045</x:v>
      </x:c>
      <x:c r="L153" s="70" t="str">
        <x:v>https://projects.propublica.org/coronavirus/bailouts/</x:v>
      </x:c>
      <x:c r="M153" s="70" t="str">
        <x:v>https://projects.propublica.org/coronavirus/bailouts/</x:v>
      </x:c>
      <x:c r="N153" s="61" t="str">
        <x:v>271266209</x:v>
      </x:c>
      <x:c r="O153" s="61" t="n">
        <x:v>1050</x:v>
      </x:c>
      <x:c r="P153" s="61" t="n">
        <x:v>21</x:v>
      </x:c>
      <x:c r="Q153" s="61" t="str">
        <x:v>2026-09-15</x:v>
      </x:c>
      <x:c r="R153" s="61" t="n">
        <x:v>1</x:v>
      </x:c>
      <x:c r="S153" s="61" t="str">
        <x:v>Contacts / records</x:v>
      </x:c>
      <x:c r="T153" s="61" t="str">
        <x:v>Scoped desk assessment</x:v>
      </x:c>
    </x:row>
    <x:row r="154" ht="105" customHeight="1">
      <x:c r="A154" s="61" t="n">
        <x:v>1101</x:v>
      </x:c>
      <x:c r="B154" s="61" t="str">
        <x:v>LA County CA Restaurant Health Violations</x:v>
      </x:c>
      <x:c r="C154" s="61" t="str">
        <x:v>U</x:v>
      </x:c>
      <x:c r="D154" s="61" t="str">
        <x:v>Unassessed</x:v>
      </x:c>
      <x:c r="E154" s="61" t="str">
        <x:v>BUSINESS</x:v>
      </x:c>
      <x:c r="F154" s="61" t="str">
        <x:v>Organization / role / funding records</x:v>
      </x:c>
      <x:c r="G154" s="61" t="str">
        <x:v>Match jurisdiction, entity identifier, role and date; shared agents or addresses do not prove ownership.</x:v>
      </x:c>
      <x:c r="H154" s="61" t="str">
        <x:v>Verify publisher, source and current function before reliance</x:v>
      </x:c>
      <x:c r="I154" s="61" t="str">
        <x:v>Not checked</x:v>
      </x:c>
      <x:c r="J154" s="61" t="str">
        <x:v>Saved bookmark metadata only</x:v>
      </x:c>
      <x:c r="K154" s="61" t="str"/>
      <x:c r="L154" s="70" t="str"/>
      <x:c r="M154" s="70" t="str">
        <x:v>https://b2.caspio.com/dp.asp?AppKey=22341000af0b9c98ebf047f1b9f2</x:v>
      </x:c>
      <x:c r="N154" s="61" t="str">
        <x:v>287037685</x:v>
      </x:c>
      <x:c r="O154" s="61" t="n">
        <x:v>1050</x:v>
      </x:c>
      <x:c r="P154" s="61" t="n">
        <x:v>22</x:v>
      </x:c>
      <x:c r="Q154" s="61" t="str"/>
      <x:c r="R154" s="61" t="n">
        <x:v>1</x:v>
      </x:c>
      <x:c r="S154" s="61" t="str">
        <x:v>Contacts / records</x:v>
      </x:c>
      <x:c r="T154" s="61" t="str">
        <x:v>Not established</x:v>
      </x:c>
    </x:row>
    <x:row r="155" ht="105" customHeight="1">
      <x:c r="A155" s="61" t="n">
        <x:v>1102</x:v>
      </x:c>
      <x:c r="B155" s="61" t="str">
        <x:v>Kansas Restaurant Inspections</x:v>
      </x:c>
      <x:c r="C155" s="61" t="str">
        <x:v>U</x:v>
      </x:c>
      <x:c r="D155" s="61" t="str">
        <x:v>Unassessed</x:v>
      </x:c>
      <x:c r="E155" s="61" t="str">
        <x:v>BUSINESS</x:v>
      </x:c>
      <x:c r="F155" s="61" t="str">
        <x:v>Organization / role / funding records</x:v>
      </x:c>
      <x:c r="G155" s="61" t="str">
        <x:v>Match jurisdiction, entity identifier, role and date; shared agents or addresses do not prove ownership.</x:v>
      </x:c>
      <x:c r="H155" s="61" t="str">
        <x:v>Verify publisher, source and current function before reliance</x:v>
      </x:c>
      <x:c r="I155" s="61" t="str">
        <x:v>Not checked</x:v>
      </x:c>
      <x:c r="J155" s="61" t="str">
        <x:v>Saved bookmark metadata only</x:v>
      </x:c>
      <x:c r="K155" s="61" t="str"/>
      <x:c r="L155" s="70" t="str"/>
      <x:c r="M155" s="70" t="str">
        <x:v>https://b2.caspio.com/dp/a1a31000af3bac4c5e434987a857</x:v>
      </x:c>
      <x:c r="N155" s="61" t="str">
        <x:v>287037043</x:v>
      </x:c>
      <x:c r="O155" s="61" t="n">
        <x:v>1050</x:v>
      </x:c>
      <x:c r="P155" s="61" t="n">
        <x:v>23</x:v>
      </x:c>
      <x:c r="Q155" s="61" t="str"/>
      <x:c r="R155" s="61" t="n">
        <x:v>1</x:v>
      </x:c>
      <x:c r="S155" s="61" t="str">
        <x:v>Contacts / records</x:v>
      </x:c>
      <x:c r="T155" s="61" t="str">
        <x:v>Not established</x:v>
      </x:c>
    </x:row>
    <x:row r="156" ht="105" customHeight="1">
      <x:c r="A156" s="61" t="n">
        <x:v>1103</x:v>
      </x:c>
      <x:c r="B156" s="61" t="str">
        <x:v>Lexington-Fayette County KY Health Department Restaurant Inspections</x:v>
      </x:c>
      <x:c r="C156" s="61" t="str">
        <x:v>U</x:v>
      </x:c>
      <x:c r="D156" s="61" t="str">
        <x:v>Unassessed</x:v>
      </x:c>
      <x:c r="E156" s="61" t="str">
        <x:v>BUSINESS</x:v>
      </x:c>
      <x:c r="F156" s="61" t="str">
        <x:v>Organization / role / funding records</x:v>
      </x:c>
      <x:c r="G156" s="61" t="str">
        <x:v>Match jurisdiction, entity identifier, role and date; shared agents or addresses do not prove ownership.</x:v>
      </x:c>
      <x:c r="H156" s="61" t="str">
        <x:v>Verify publisher, source and current function before reliance</x:v>
      </x:c>
      <x:c r="I156" s="61" t="str">
        <x:v>Not checked</x:v>
      </x:c>
      <x:c r="J156" s="61" t="str">
        <x:v>Saved bookmark metadata only</x:v>
      </x:c>
      <x:c r="K156" s="61" t="str"/>
      <x:c r="L156" s="70" t="str"/>
      <x:c r="M156" s="70" t="str">
        <x:v>https://b2.caspio.com/dp.asp?AppKey=c8521000c641ab80b6d2448e89d9</x:v>
      </x:c>
      <x:c r="N156" s="61" t="str">
        <x:v>287037396</x:v>
      </x:c>
      <x:c r="O156" s="61" t="n">
        <x:v>1050</x:v>
      </x:c>
      <x:c r="P156" s="61" t="n">
        <x:v>24</x:v>
      </x:c>
      <x:c r="Q156" s="61" t="str"/>
      <x:c r="R156" s="61" t="n">
        <x:v>1</x:v>
      </x:c>
      <x:c r="S156" s="61" t="str">
        <x:v>Contacts / records</x:v>
      </x:c>
      <x:c r="T156" s="61" t="str">
        <x:v>Not established</x:v>
      </x:c>
    </x:row>
    <x:row r="157" ht="105" customHeight="1">
      <x:c r="A157" s="61" t="n">
        <x:v>1104</x:v>
      </x:c>
      <x:c r="B157" s="61" t="str">
        <x:v>FL Energy Money in Politics</x:v>
      </x:c>
      <x:c r="C157" s="61" t="str">
        <x:v>U</x:v>
      </x:c>
      <x:c r="D157" s="61" t="str">
        <x:v>Unassessed</x:v>
      </x:c>
      <x:c r="E157" s="61" t="str">
        <x:v>BUSINESS</x:v>
      </x:c>
      <x:c r="F157" s="61" t="str">
        <x:v>Organization / role / funding records</x:v>
      </x:c>
      <x:c r="G157" s="61" t="str">
        <x:v>Match jurisdiction, entity identifier, role and date; shared agents or addresses do not prove ownership.</x:v>
      </x:c>
      <x:c r="H157" s="61" t="str">
        <x:v>Verify publisher, source and current function before reliance</x:v>
      </x:c>
      <x:c r="I157" s="61" t="str">
        <x:v>Not checked</x:v>
      </x:c>
      <x:c r="J157" s="61" t="str">
        <x:v>Saved bookmark metadata only</x:v>
      </x:c>
      <x:c r="K157" s="61" t="str"/>
      <x:c r="L157" s="70" t="str"/>
      <x:c r="M157" s="70" t="str">
        <x:v>https://b2.caspio.com/dp.asp?AppKey=c73210001174b8c2a8d444768f5c</x:v>
      </x:c>
      <x:c r="N157" s="61" t="str">
        <x:v>287037542</x:v>
      </x:c>
      <x:c r="O157" s="61" t="n">
        <x:v>1050</x:v>
      </x:c>
      <x:c r="P157" s="61" t="n">
        <x:v>25</x:v>
      </x:c>
      <x:c r="Q157" s="61" t="str"/>
      <x:c r="R157" s="61" t="n">
        <x:v>1</x:v>
      </x:c>
      <x:c r="S157" s="61" t="str">
        <x:v>Contacts / records</x:v>
      </x:c>
      <x:c r="T157" s="61" t="str">
        <x:v>Not established</x:v>
      </x:c>
    </x:row>
    <x:row r="158" ht="105" customHeight="1">
      <x:c r="A158" s="61" t="n">
        <x:v>1105</x:v>
      </x:c>
      <x:c r="B158" s="61" t="str">
        <x:v>ValidFleetList (unknown Sail Boat database)</x:v>
      </x:c>
      <x:c r="C158" s="61" t="str">
        <x:v>U</x:v>
      </x:c>
      <x:c r="D158" s="61" t="str">
        <x:v>Unassessed</x:v>
      </x:c>
      <x:c r="E158" s="61" t="str">
        <x:v>BUSINESS</x:v>
      </x:c>
      <x:c r="F158" s="61" t="str">
        <x:v>Organization / role / funding records</x:v>
      </x:c>
      <x:c r="G158" s="61" t="str">
        <x:v>Match jurisdiction, entity identifier, role and date; shared agents or addresses do not prove ownership.</x:v>
      </x:c>
      <x:c r="H158" s="61" t="str">
        <x:v>Verify publisher, source and current function before reliance</x:v>
      </x:c>
      <x:c r="I158" s="61" t="str">
        <x:v>Not checked</x:v>
      </x:c>
      <x:c r="J158" s="61" t="str">
        <x:v>Saved bookmark metadata only</x:v>
      </x:c>
      <x:c r="K158" s="61" t="str"/>
      <x:c r="L158" s="70" t="str"/>
      <x:c r="M158" s="70" t="str">
        <x:v>https://c0eru285.caspio.com/dp/0dc330002829dcc1ad864b5bb094</x:v>
      </x:c>
      <x:c r="N158" s="61" t="str">
        <x:v>286945493</x:v>
      </x:c>
      <x:c r="O158" s="61" t="n">
        <x:v>1050</x:v>
      </x:c>
      <x:c r="P158" s="61" t="n">
        <x:v>26</x:v>
      </x:c>
      <x:c r="Q158" s="61" t="str"/>
      <x:c r="R158" s="61" t="n">
        <x:v>1</x:v>
      </x:c>
      <x:c r="S158" s="61" t="str">
        <x:v>Contacts / records</x:v>
      </x:c>
      <x:c r="T158" s="61" t="str">
        <x:v>Not established</x:v>
      </x:c>
    </x:row>
    <x:row r="159" ht="105" customHeight="1">
      <x:c r="A159" s="61" t="n">
        <x:v>1106</x:v>
      </x:c>
      <x:c r="B159" s="61" t="str">
        <x:v>Viking Rifle Series Shooter Live Results</x:v>
      </x:c>
      <x:c r="C159" s="61" t="str">
        <x:v>U</x:v>
      </x:c>
      <x:c r="D159" s="61" t="str">
        <x:v>Unassessed</x:v>
      </x:c>
      <x:c r="E159" s="61" t="str">
        <x:v>BUSINESS</x:v>
      </x:c>
      <x:c r="F159" s="61" t="str">
        <x:v>Organization / role / funding records</x:v>
      </x:c>
      <x:c r="G159" s="61" t="str">
        <x:v>Match jurisdiction, entity identifier, role and date; shared agents or addresses do not prove ownership.</x:v>
      </x:c>
      <x:c r="H159" s="61" t="str">
        <x:v>Verify publisher, source and current function before reliance</x:v>
      </x:c>
      <x:c r="I159" s="61" t="str">
        <x:v>Not checked</x:v>
      </x:c>
      <x:c r="J159" s="61" t="str">
        <x:v>Saved bookmark metadata only</x:v>
      </x:c>
      <x:c r="K159" s="61" t="str"/>
      <x:c r="L159" s="70" t="str"/>
      <x:c r="M159" s="70" t="str">
        <x:v>https://vikingrifleseries.caspio.com/dp/c8ac5000f29041f935cf42b6a641</x:v>
      </x:c>
      <x:c r="N159" s="61" t="str">
        <x:v>286945718</x:v>
      </x:c>
      <x:c r="O159" s="61" t="n">
        <x:v>1050</x:v>
      </x:c>
      <x:c r="P159" s="61" t="n">
        <x:v>27</x:v>
      </x:c>
      <x:c r="Q159" s="61" t="str"/>
      <x:c r="R159" s="61" t="n">
        <x:v>1</x:v>
      </x:c>
      <x:c r="S159" s="61" t="str">
        <x:v>Contacts / records</x:v>
      </x:c>
      <x:c r="T159" s="61" t="str">
        <x:v>Not established</x:v>
      </x:c>
    </x:row>
    <x:row r="160" ht="105" customHeight="1">
      <x:c r="A160" s="61" t="n">
        <x:v>1107</x:v>
      </x:c>
      <x:c r="B160" s="61" t="str">
        <x:v>Openoversight</x:v>
      </x:c>
      <x:c r="C160" s="61" t="str">
        <x:v>C</x:v>
      </x:c>
      <x:c r="D160" s="61" t="str">
        <x:v>Documented</x:v>
      </x:c>
      <x:c r="E160" s="61" t="str">
        <x:v>POLICE / LE / FED</x:v>
      </x:c>
      <x:c r="F160" s="61" t="str">
        <x:v>Public and crowdsourced officer-directory leads</x:v>
      </x:c>
      <x:c r="G160" s="61" t="str">
        <x:v>Crowdsourced/public information needs original-source confirmation. A directory association does not establish an allegation or finding.</x:v>
      </x:c>
      <x:c r="H160" s="61" t="str">
        <x:v>Corroborate before attribution</x:v>
      </x:c>
      <x:c r="I160" s="61" t="str">
        <x:v>Content readable; lookup not tested</x:v>
      </x:c>
      <x:c r="J160" s="61" t="str">
        <x:v>Publisher project description</x:v>
      </x:c>
      <x:c r="K160" s="61" t="str">
        <x:v>S062</x:v>
      </x:c>
      <x:c r="L160" s="70" t="str">
        <x:v>https://openoversight.com/</x:v>
      </x:c>
      <x:c r="M160" s="70" t="str">
        <x:v>https://openoversight.com/</x:v>
      </x:c>
      <x:c r="N160" s="61" t="str">
        <x:v>268390096</x:v>
      </x:c>
      <x:c r="O160" s="61" t="n">
        <x:v>1050</x:v>
      </x:c>
      <x:c r="P160" s="61" t="n">
        <x:v>1</x:v>
      </x:c>
      <x:c r="Q160" s="61" t="str">
        <x:v>2026-09-15</x:v>
      </x:c>
      <x:c r="R160" s="61" t="n">
        <x:v>1</x:v>
      </x:c>
      <x:c r="S160" s="61" t="str">
        <x:v>Contacts / records</x:v>
      </x:c>
      <x:c r="T160" s="61" t="str">
        <x:v>Scoped desk assessment</x:v>
      </x:c>
    </x:row>
    <x:row r="161" ht="105" customHeight="1">
      <x:c r="A161" s="61" t="n">
        <x:v>1108</x:v>
      </x:c>
      <x:c r="B161" s="61" t="str">
        <x:v>Criminal Cop Database Lookup</x:v>
      </x:c>
      <x:c r="C161" s="61" t="str">
        <x:v>U</x:v>
      </x:c>
      <x:c r="D161" s="61" t="str">
        <x:v>Unassessed</x:v>
      </x:c>
      <x:c r="E161" s="61" t="str">
        <x:v>POLICE / LE / FED</x:v>
      </x:c>
      <x:c r="F161" s="61" t="str">
        <x:v>Police records / accountability information</x:v>
      </x:c>
      <x:c r="G161" s="61" t="str">
        <x:v>Distinguish complaint, allegation, charge, investigation and final finding; verify the original record.</x:v>
      </x:c>
      <x:c r="H161" s="61" t="str">
        <x:v>Verify publisher, source and current function before reliance</x:v>
      </x:c>
      <x:c r="I161" s="61" t="str">
        <x:v>Not checked</x:v>
      </x:c>
      <x:c r="J161" s="61" t="str">
        <x:v>Saved bookmark metadata only</x:v>
      </x:c>
      <x:c r="K161" s="61" t="str"/>
      <x:c r="L161" s="70" t="str"/>
      <x:c r="M161" s="70" t="str">
        <x:v>https://extras.mercurynews.com/criminalcops/database/</x:v>
      </x:c>
      <x:c r="N161" s="61" t="str">
        <x:v>268401530</x:v>
      </x:c>
      <x:c r="O161" s="61" t="n">
        <x:v>1050</x:v>
      </x:c>
      <x:c r="P161" s="61" t="n">
        <x:v>2</x:v>
      </x:c>
      <x:c r="Q161" s="61" t="str"/>
      <x:c r="R161" s="61" t="n">
        <x:v>1</x:v>
      </x:c>
      <x:c r="S161" s="61" t="str">
        <x:v>Contacts / records</x:v>
      </x:c>
      <x:c r="T161" s="61" t="str">
        <x:v>Not established</x:v>
      </x:c>
    </x:row>
    <x:row r="162" ht="105" customHeight="1">
      <x:c r="A162" s="61" t="n">
        <x:v>1109</x:v>
      </x:c>
      <x:c r="B162" s="61" t="str">
        <x:v>The Philadelphia Police Misconduct Database</x:v>
      </x:c>
      <x:c r="C162" s="61" t="str">
        <x:v>U</x:v>
      </x:c>
      <x:c r="D162" s="61" t="str">
        <x:v>Unassessed</x:v>
      </x:c>
      <x:c r="E162" s="61" t="str">
        <x:v>POLICE / LE / FED</x:v>
      </x:c>
      <x:c r="F162" s="61" t="str">
        <x:v>Police records / accountability information</x:v>
      </x:c>
      <x:c r="G162" s="61" t="str">
        <x:v>Distinguish complaint, allegation, charge, investigation and final finding; verify the original record.</x:v>
      </x:c>
      <x:c r="H162" s="61" t="str">
        <x:v>Verify publisher, source and current function before reliance</x:v>
      </x:c>
      <x:c r="I162" s="61" t="str">
        <x:v>Not checked</x:v>
      </x:c>
      <x:c r="J162" s="61" t="str">
        <x:v>Saved bookmark metadata only</x:v>
      </x:c>
      <x:c r="K162" s="61" t="str"/>
      <x:c r="L162" s="70" t="str"/>
      <x:c r="M162" s="70" t="str">
        <x:v>https://datawrapper.dwcdn.net/3GbVI/1/</x:v>
      </x:c>
      <x:c r="N162" s="61" t="str">
        <x:v>286944955</x:v>
      </x:c>
      <x:c r="O162" s="61" t="n">
        <x:v>1050</x:v>
      </x:c>
      <x:c r="P162" s="61" t="n">
        <x:v>3</x:v>
      </x:c>
      <x:c r="Q162" s="61" t="str"/>
      <x:c r="R162" s="61" t="n">
        <x:v>1</x:v>
      </x:c>
      <x:c r="S162" s="61" t="str">
        <x:v>Contacts / records</x:v>
      </x:c>
      <x:c r="T162" s="61" t="str">
        <x:v>Not established</x:v>
      </x:c>
    </x:row>
    <x:row r="163" ht="105" customHeight="1">
      <x:c r="A163" s="61" t="n">
        <x:v>1110</x:v>
      </x:c>
      <x:c r="B163" s="61" t="str">
        <x:v>NYPD Misconduct Complaint Database</x:v>
      </x:c>
      <x:c r="C163" s="61" t="str">
        <x:v>U</x:v>
      </x:c>
      <x:c r="D163" s="61" t="str">
        <x:v>Access unresolved</x:v>
      </x:c>
      <x:c r="E163" s="61" t="str">
        <x:v>POLICE / LE / FED</x:v>
      </x:c>
      <x:c r="F163" s="61" t="str">
        <x:v>Police records / accountability information</x:v>
      </x:c>
      <x:c r="G163" s="61" t="str">
        <x:v>Distinguish complaint, allegation, charge, investigation and final finding; verify the original record.</x:v>
      </x:c>
      <x:c r="H163" s="61" t="str">
        <x:v>Check manually; retrieval failure is not evidence the service is unreliable</x:v>
      </x:c>
      <x:c r="I163" s="61" t="str">
        <x:v>Unresolved reader access; website status unknown</x:v>
      </x:c>
      <x:c r="J163" s="61" t="str">
        <x:v>Fetch attempted; no usable substantive content</x:v>
      </x:c>
      <x:c r="K163" s="61" t="str"/>
      <x:c r="L163" s="70" t="str"/>
      <x:c r="M163" s="70" t="str">
        <x:v>https://nyclu.shinyapps.io/CCRB_combo/</x:v>
      </x:c>
      <x:c r="N163" s="61" t="str">
        <x:v>271269316</x:v>
      </x:c>
      <x:c r="O163" s="61" t="n">
        <x:v>1050</x:v>
      </x:c>
      <x:c r="P163" s="61" t="n">
        <x:v>4</x:v>
      </x:c>
      <x:c r="Q163" s="61" t="str">
        <x:v>2026-09-15</x:v>
      </x:c>
      <x:c r="R163" s="61" t="n">
        <x:v>1</x:v>
      </x:c>
      <x:c r="S163" s="61" t="str">
        <x:v>Contacts / records</x:v>
      </x:c>
      <x:c r="T163" s="61" t="str">
        <x:v>Not established</x:v>
      </x:c>
    </x:row>
    <x:row r="164" ht="105" customHeight="1">
      <x:c r="A164" s="61" t="n">
        <x:v>1111</x:v>
      </x:c>
      <x:c r="B164" s="61" t="str">
        <x:v>NYPD Officer Profile</x:v>
      </x:c>
      <x:c r="C164" s="61" t="str">
        <x:v>U</x:v>
      </x:c>
      <x:c r="D164" s="61" t="str">
        <x:v>Unassessed</x:v>
      </x:c>
      <x:c r="E164" s="61" t="str">
        <x:v>POLICE / LE / FED</x:v>
      </x:c>
      <x:c r="F164" s="61" t="str">
        <x:v>Police records / accountability information</x:v>
      </x:c>
      <x:c r="G164" s="61" t="str">
        <x:v>Distinguish complaint, allegation, charge, investigation and final finding; verify the original record.</x:v>
      </x:c>
      <x:c r="H164" s="61" t="str">
        <x:v>Verify publisher, source and current function before reliance</x:v>
      </x:c>
      <x:c r="I164" s="61" t="str">
        <x:v>Not checked</x:v>
      </x:c>
      <x:c r="J164" s="61" t="str">
        <x:v>Saved bookmark metadata only</x:v>
      </x:c>
      <x:c r="K164" s="61" t="str"/>
      <x:c r="L164" s="70" t="str"/>
      <x:c r="M164" s="70" t="str">
        <x:v>https://nypdonline.org/link/2</x:v>
      </x:c>
      <x:c r="N164" s="61" t="str">
        <x:v>286015888</x:v>
      </x:c>
      <x:c r="O164" s="61" t="n">
        <x:v>1050</x:v>
      </x:c>
      <x:c r="P164" s="61" t="n">
        <x:v>5</x:v>
      </x:c>
      <x:c r="Q164" s="61" t="str"/>
      <x:c r="R164" s="61" t="n">
        <x:v>1</x:v>
      </x:c>
      <x:c r="S164" s="61" t="str">
        <x:v>Contacts / records</x:v>
      </x:c>
      <x:c r="T164" s="61" t="str">
        <x:v>Not established</x:v>
      </x:c>
    </x:row>
    <x:row r="165" ht="105" customHeight="1">
      <x:c r="A165" s="61" t="n">
        <x:v>1112</x:v>
      </x:c>
      <x:c r="B165" s="61" t="str">
        <x:v>Maine County Law Enforcement Discipline Chart</x:v>
      </x:c>
      <x:c r="C165" s="61" t="str">
        <x:v>U</x:v>
      </x:c>
      <x:c r="D165" s="61" t="str">
        <x:v>Unassessed</x:v>
      </x:c>
      <x:c r="E165" s="61" t="str">
        <x:v>POLICE / LE / FED</x:v>
      </x:c>
      <x:c r="F165" s="61" t="str">
        <x:v>Police records / accountability information</x:v>
      </x:c>
      <x:c r="G165" s="61" t="str">
        <x:v>Distinguish complaint, allegation, charge, investigation and final finding; verify the original record.</x:v>
      </x:c>
      <x:c r="H165" s="61" t="str">
        <x:v>Verify publisher, source and current function before reliance</x:v>
      </x:c>
      <x:c r="I165" s="61" t="str">
        <x:v>Not checked</x:v>
      </x:c>
      <x:c r="J165" s="61" t="str">
        <x:v>Saved bookmark metadata only</x:v>
      </x:c>
      <x:c r="K165" s="61" t="str"/>
      <x:c r="L165" s="70" t="str"/>
      <x:c r="M165" s="70" t="str">
        <x:v>https://public.flourish.studio/visualisation/4443849/?utm_source=showcase&amp;utm_campaign=visualisation/4443849</x:v>
      </x:c>
      <x:c r="N165" s="61" t="str">
        <x:v>271267701</x:v>
      </x:c>
      <x:c r="O165" s="61" t="n">
        <x:v>1050</x:v>
      </x:c>
      <x:c r="P165" s="61" t="n">
        <x:v>6</x:v>
      </x:c>
      <x:c r="Q165" s="61" t="str"/>
      <x:c r="R165" s="61" t="n">
        <x:v>1</x:v>
      </x:c>
      <x:c r="S165" s="61" t="str">
        <x:v>Contacts / records</x:v>
      </x:c>
      <x:c r="T165" s="61" t="str">
        <x:v>Not established</x:v>
      </x:c>
    </x:row>
    <x:row r="166" ht="105" customHeight="1">
      <x:c r="A166" s="61" t="n">
        <x:v>1113</x:v>
      </x:c>
      <x:c r="B166" s="61" t="str">
        <x:v>Arizona LE Database - ABC15</x:v>
      </x:c>
      <x:c r="C166" s="61" t="str">
        <x:v>U</x:v>
      </x:c>
      <x:c r="D166" s="61" t="str">
        <x:v>Unassessed</x:v>
      </x:c>
      <x:c r="E166" s="61" t="str">
        <x:v>POLICE / LE / FED</x:v>
      </x:c>
      <x:c r="F166" s="61" t="str">
        <x:v>Police records / accountability information</x:v>
      </x:c>
      <x:c r="G166" s="61" t="str">
        <x:v>Distinguish complaint, allegation, charge, investigation and final finding; verify the original record.</x:v>
      </x:c>
      <x:c r="H166" s="61" t="str">
        <x:v>Verify publisher, source and current function before reliance</x:v>
      </x:c>
      <x:c r="I166" s="61" t="str">
        <x:v>Not checked</x:v>
      </x:c>
      <x:c r="J166" s="61" t="str">
        <x:v>Saved bookmark metadata only</x:v>
      </x:c>
      <x:c r="K166" s="61" t="str"/>
      <x:c r="L166" s="70" t="str"/>
      <x:c r="M166" s="70" t="str">
        <x:v>https://datawrapper.dwcdn.net/kkg90/6/</x:v>
      </x:c>
      <x:c r="N166" s="61" t="str">
        <x:v>268467434</x:v>
      </x:c>
      <x:c r="O166" s="61" t="n">
        <x:v>1050</x:v>
      </x:c>
      <x:c r="P166" s="61" t="n">
        <x:v>7</x:v>
      </x:c>
      <x:c r="Q166" s="61" t="str"/>
      <x:c r="R166" s="61" t="n">
        <x:v>1</x:v>
      </x:c>
      <x:c r="S166" s="61" t="str">
        <x:v>Contacts / records</x:v>
      </x:c>
      <x:c r="T166" s="61" t="str">
        <x:v>Not established</x:v>
      </x:c>
    </x:row>
    <x:row r="167" ht="105" customHeight="1">
      <x:c r="A167" s="61" t="n">
        <x:v>1114</x:v>
      </x:c>
      <x:c r="B167" s="61" t="str">
        <x:v>Police Complaint Lookup</x:v>
      </x:c>
      <x:c r="C167" s="61" t="str">
        <x:v>U</x:v>
      </x:c>
      <x:c r="D167" s="61" t="str">
        <x:v>Unassessed</x:v>
      </x:c>
      <x:c r="E167" s="61" t="str">
        <x:v>POLICE / LE / FED</x:v>
      </x:c>
      <x:c r="F167" s="61" t="str">
        <x:v>Police records / accountability information</x:v>
      </x:c>
      <x:c r="G167" s="61" t="str">
        <x:v>Distinguish complaint, allegation, charge, investigation and final finding; verify the original record.</x:v>
      </x:c>
      <x:c r="H167" s="61" t="str">
        <x:v>Verify publisher, source and current function before reliance</x:v>
      </x:c>
      <x:c r="I167" s="61" t="str">
        <x:v>Not checked</x:v>
      </x:c>
      <x:c r="J167" s="61" t="str">
        <x:v>Saved bookmark metadata only</x:v>
      </x:c>
      <x:c r="K167" s="61" t="str"/>
      <x:c r="L167" s="70" t="str"/>
      <x:c r="M167" s="70" t="str">
        <x:v>http://complaints.cuapb.org/</x:v>
      </x:c>
      <x:c r="N167" s="61" t="str">
        <x:v>270264531</x:v>
      </x:c>
      <x:c r="O167" s="61" t="n">
        <x:v>1050</x:v>
      </x:c>
      <x:c r="P167" s="61" t="n">
        <x:v>8</x:v>
      </x:c>
      <x:c r="Q167" s="61" t="str"/>
      <x:c r="R167" s="61" t="n">
        <x:v>1</x:v>
      </x:c>
      <x:c r="S167" s="61" t="str">
        <x:v>Contacts / records</x:v>
      </x:c>
      <x:c r="T167" s="61" t="str">
        <x:v>Not established</x:v>
      </x:c>
    </x:row>
    <x:row r="168" ht="105" customHeight="1">
      <x:c r="A168" s="61" t="n">
        <x:v>1115</x:v>
      </x:c>
      <x:c r="B168" s="61" t="str">
        <x:v>Boston Police Internal Affairs Cases, 2010-2020</x:v>
      </x:c>
      <x:c r="C168" s="61" t="str">
        <x:v>U</x:v>
      </x:c>
      <x:c r="D168" s="61" t="str">
        <x:v>Unassessed</x:v>
      </x:c>
      <x:c r="E168" s="61" t="str">
        <x:v>POLICE / LE / FED</x:v>
      </x:c>
      <x:c r="F168" s="61" t="str">
        <x:v>Police records / accountability information</x:v>
      </x:c>
      <x:c r="G168" s="61" t="str">
        <x:v>Distinguish complaint, allegation, charge, investigation and final finding; verify the original record.</x:v>
      </x:c>
      <x:c r="H168" s="61" t="str">
        <x:v>Verify publisher, source and current function before reliance</x:v>
      </x:c>
      <x:c r="I168" s="61" t="str">
        <x:v>Not checked</x:v>
      </x:c>
      <x:c r="J168" s="61" t="str">
        <x:v>Saved bookmark metadata only</x:v>
      </x:c>
      <x:c r="K168" s="61" t="str"/>
      <x:c r="L168" s="70" t="str"/>
      <x:c r="M168" s="70" t="str">
        <x:v>https://apps.bostonglobe.com/graphics/2020/law-enforcement/index.html?initialWidth=1029&amp;childId=police-embed&amp;parentTitle=Database%3A%20Search%2010%20years%27%20worth%20of%20Boston%20Police%20Department%20disciplinary%20action&amp;parentUrl=https%3A%2F%2Fwww.bostonglobe.com%2F2020%2F11%2F24%2Fmetro%2Fheres-searchable-database-boston-police-department-internal-investigations-disciplinary-actions-more%2F</x:v>
      </x:c>
      <x:c r="N168" s="61" t="str">
        <x:v>271265805</x:v>
      </x:c>
      <x:c r="O168" s="61" t="n">
        <x:v>1050</x:v>
      </x:c>
      <x:c r="P168" s="61" t="n">
        <x:v>9</x:v>
      </x:c>
      <x:c r="Q168" s="61" t="str"/>
      <x:c r="R168" s="61" t="n">
        <x:v>1</x:v>
      </x:c>
      <x:c r="S168" s="61" t="str">
        <x:v>Contacts / records</x:v>
      </x:c>
      <x:c r="T168" s="61" t="str">
        <x:v>Not established</x:v>
      </x:c>
    </x:row>
    <x:row r="169" ht="105" customHeight="1">
      <x:c r="A169" s="61" t="n">
        <x:v>1116</x:v>
      </x:c>
      <x:c r="B169" s="61" t="str">
        <x:v>Police Decertifcations Search and Report</x:v>
      </x:c>
      <x:c r="C169" s="61" t="str">
        <x:v>U</x:v>
      </x:c>
      <x:c r="D169" s="61" t="str">
        <x:v>Unassessed</x:v>
      </x:c>
      <x:c r="E169" s="61" t="str">
        <x:v>POLICE / LE / FED</x:v>
      </x:c>
      <x:c r="F169" s="61" t="str">
        <x:v>Police records / accountability information</x:v>
      </x:c>
      <x:c r="G169" s="61" t="str">
        <x:v>Distinguish complaint, allegation, charge, investigation and final finding; verify the original record.</x:v>
      </x:c>
      <x:c r="H169" s="61" t="str">
        <x:v>Verify publisher, source and current function before reliance</x:v>
      </x:c>
      <x:c r="I169" s="61" t="str">
        <x:v>Not checked</x:v>
      </x:c>
      <x:c r="J169" s="61" t="str">
        <x:v>Saved bookmark metadata only</x:v>
      </x:c>
      <x:c r="K169" s="61" t="str"/>
      <x:c r="L169" s="70" t="str"/>
      <x:c r="M169" s="70" t="str">
        <x:v>https://c0acu882.caspio.com/dp/07da6000e467ebc2a444430c9c1d</x:v>
      </x:c>
      <x:c r="N169" s="61" t="str">
        <x:v>268401539</x:v>
      </x:c>
      <x:c r="O169" s="61" t="n">
        <x:v>1050</x:v>
      </x:c>
      <x:c r="P169" s="61" t="n">
        <x:v>10</x:v>
      </x:c>
      <x:c r="Q169" s="61" t="str"/>
      <x:c r="R169" s="61" t="n">
        <x:v>1</x:v>
      </x:c>
      <x:c r="S169" s="61" t="str">
        <x:v>Contacts / records</x:v>
      </x:c>
      <x:c r="T169" s="61" t="str">
        <x:v>Not established</x:v>
      </x:c>
    </x:row>
    <x:row r="170" ht="105" customHeight="1">
      <x:c r="A170" s="61" t="n">
        <x:v>1117</x:v>
      </x:c>
      <x:c r="B170" s="61" t="str">
        <x:v>San Francisco CopWatch Database</x:v>
      </x:c>
      <x:c r="C170" s="61" t="str">
        <x:v>U</x:v>
      </x:c>
      <x:c r="D170" s="61" t="str">
        <x:v>Unassessed</x:v>
      </x:c>
      <x:c r="E170" s="61" t="str">
        <x:v>POLICE / LE / FED</x:v>
      </x:c>
      <x:c r="F170" s="61" t="str">
        <x:v>Police records / accountability information</x:v>
      </x:c>
      <x:c r="G170" s="61" t="str">
        <x:v>Distinguish complaint, allegation, charge, investigation and final finding; verify the original record.</x:v>
      </x:c>
      <x:c r="H170" s="61" t="str">
        <x:v>Verify publisher, source and current function before reliance</x:v>
      </x:c>
      <x:c r="I170" s="61" t="str">
        <x:v>Not checked</x:v>
      </x:c>
      <x:c r="J170" s="61" t="str">
        <x:v>Saved bookmark metadata only</x:v>
      </x:c>
      <x:c r="K170" s="61" t="str"/>
      <x:c r="L170" s="70" t="str"/>
      <x:c r="M170" s="70" t="str">
        <x:v>https://airtable.com/embed/shreS9yA6eWiJAmHZ/tbl0A1AfPBOaPNBhH?backgroundColor=blue</x:v>
      </x:c>
      <x:c r="N170" s="61" t="str">
        <x:v>268466230</x:v>
      </x:c>
      <x:c r="O170" s="61" t="n">
        <x:v>1050</x:v>
      </x:c>
      <x:c r="P170" s="61" t="n">
        <x:v>11</x:v>
      </x:c>
      <x:c r="Q170" s="61" t="str"/>
      <x:c r="R170" s="61" t="n">
        <x:v>1</x:v>
      </x:c>
      <x:c r="S170" s="61" t="str">
        <x:v>Contacts / records</x:v>
      </x:c>
      <x:c r="T170" s="61" t="str">
        <x:v>Not established</x:v>
      </x:c>
    </x:row>
    <x:row r="171" ht="105" customHeight="1">
      <x:c r="A171" s="61" t="n">
        <x:v>1118</x:v>
      </x:c>
      <x:c r="B171" s="61" t="str">
        <x:v>NJ Police and Fire FY 2011 Pension contribution</x:v>
      </x:c>
      <x:c r="C171" s="61" t="str">
        <x:v>U</x:v>
      </x:c>
      <x:c r="D171" s="61" t="str">
        <x:v>Unassessed</x:v>
      </x:c>
      <x:c r="E171" s="61" t="str">
        <x:v>POLICE / LE / FED</x:v>
      </x:c>
      <x:c r="F171" s="61" t="str">
        <x:v>Police records / accountability information</x:v>
      </x:c>
      <x:c r="G171" s="61" t="str">
        <x:v>Distinguish complaint, allegation, charge, investigation and final finding; verify the original record.</x:v>
      </x:c>
      <x:c r="H171" s="61" t="str">
        <x:v>Verify publisher, source and current function before reliance</x:v>
      </x:c>
      <x:c r="I171" s="61" t="str">
        <x:v>Not checked</x:v>
      </x:c>
      <x:c r="J171" s="61" t="str">
        <x:v>Saved bookmark metadata only</x:v>
      </x:c>
      <x:c r="K171" s="61" t="str"/>
      <x:c r="L171" s="70" t="str"/>
      <x:c r="M171" s="70" t="str">
        <x:v>https://b2.caspio.com/dp.asp?AppKey=c43d100007eedbb0f0e740188660</x:v>
      </x:c>
      <x:c r="N171" s="61" t="str">
        <x:v>287037492</x:v>
      </x:c>
      <x:c r="O171" s="61" t="n">
        <x:v>1051</x:v>
      </x:c>
      <x:c r="P171" s="61" t="n">
        <x:v>12</x:v>
      </x:c>
      <x:c r="Q171" s="61" t="str"/>
      <x:c r="R171" s="61" t="n">
        <x:v>1</x:v>
      </x:c>
      <x:c r="S171" s="61" t="str">
        <x:v>Contacts / records</x:v>
      </x:c>
      <x:c r="T171" s="61" t="str">
        <x:v>Not established</x:v>
      </x:c>
    </x:row>
    <x:row r="172" ht="105" customHeight="1">
      <x:c r="A172" s="61" t="n">
        <x:v>1119</x:v>
      </x:c>
      <x:c r="B172" s="61" t="str">
        <x:v>EFF Atlas of Surveillance</x:v>
      </x:c>
      <x:c r="C172" s="61" t="str">
        <x:v>B</x:v>
      </x:c>
      <x:c r="D172" s="61" t="str">
        <x:v>Documented</x:v>
      </x:c>
      <x:c r="E172" s="61" t="str">
        <x:v>POLICE / LE / FED</x:v>
      </x:c>
      <x:c r="F172" s="61" t="str">
        <x:v>Source-linked surveillance-technology adoption</x:v>
      </x:c>
      <x:c r="G172" s="61" t="str">
        <x:v>Published source-linked research about agencies and technology. It does not identify who an agency surveilled or prove individual misconduct.</x:v>
      </x:c>
      <x:c r="H172" s="61" t="str">
        <x:v>Corroborate before attribution</x:v>
      </x:c>
      <x:c r="I172" s="61" t="str">
        <x:v>Content readable; lookup not tested</x:v>
      </x:c>
      <x:c r="J172" s="61" t="str">
        <x:v>Publisher project description</x:v>
      </x:c>
      <x:c r="K172" s="61" t="str">
        <x:v>S053</x:v>
      </x:c>
      <x:c r="L172" s="70" t="str">
        <x:v>https://www.atlasofsurveillance.org/</x:v>
      </x:c>
      <x:c r="M172" s="70" t="str">
        <x:v>https://atlasofsurveillance.org/</x:v>
      </x:c>
      <x:c r="N172" s="61" t="str">
        <x:v>268466399</x:v>
      </x:c>
      <x:c r="O172" s="61" t="n">
        <x:v>1051</x:v>
      </x:c>
      <x:c r="P172" s="61" t="n">
        <x:v>13</x:v>
      </x:c>
      <x:c r="Q172" s="61" t="str">
        <x:v>2026-09-15</x:v>
      </x:c>
      <x:c r="R172" s="61" t="n">
        <x:v>1</x:v>
      </x:c>
      <x:c r="S172" s="61" t="str">
        <x:v>Contacts / records</x:v>
      </x:c>
      <x:c r="T172" s="61" t="str">
        <x:v>Scoped desk assessment</x:v>
      </x:c>
    </x:row>
    <x:row r="173" ht="105" customHeight="1">
      <x:c r="A173" s="61" t="n">
        <x:v>1120</x:v>
      </x:c>
      <x:c r="B173" s="61" t="str">
        <x:v>Clearview AI US taxpayer-funded entities</x:v>
      </x:c>
      <x:c r="C173" s="61" t="str">
        <x:v>U</x:v>
      </x:c>
      <x:c r="D173" s="61" t="str">
        <x:v>Unassessed</x:v>
      </x:c>
      <x:c r="E173" s="61" t="str">
        <x:v>POLICE / LE / FED</x:v>
      </x:c>
      <x:c r="F173" s="61" t="str">
        <x:v>Police records / accountability information</x:v>
      </x:c>
      <x:c r="G173" s="61" t="str">
        <x:v>Distinguish complaint, allegation, charge, investigation and final finding; verify the original record.</x:v>
      </x:c>
      <x:c r="H173" s="61" t="str">
        <x:v>Verify publisher, source and current function before reliance</x:v>
      </x:c>
      <x:c r="I173" s="61" t="str">
        <x:v>Not checked</x:v>
      </x:c>
      <x:c r="J173" s="61" t="str">
        <x:v>Saved bookmark metadata only</x:v>
      </x:c>
      <x:c r="K173" s="61" t="str"/>
      <x:c r="L173" s="70" t="str"/>
      <x:c r="M173" s="70" t="str">
        <x:v>https://datawrapper.dwcdn.net/VOOIE/16/</x:v>
      </x:c>
      <x:c r="N173" s="61" t="str">
        <x:v>286015864</x:v>
      </x:c>
      <x:c r="O173" s="61" t="n">
        <x:v>1051</x:v>
      </x:c>
      <x:c r="P173" s="61" t="n">
        <x:v>14</x:v>
      </x:c>
      <x:c r="Q173" s="61" t="str"/>
      <x:c r="R173" s="61" t="n">
        <x:v>1</x:v>
      </x:c>
      <x:c r="S173" s="61" t="str">
        <x:v>Contacts / records</x:v>
      </x:c>
      <x:c r="T173" s="61" t="str">
        <x:v>Not established</x:v>
      </x:c>
    </x:row>
    <x:row r="174" ht="105" customHeight="1">
      <x:c r="A174" s="61" t="n">
        <x:v>1121</x:v>
      </x:c>
      <x:c r="B174" s="61" t="str">
        <x:v>Oregon DPSST Professional Standards Cases Database</x:v>
      </x:c>
      <x:c r="C174" s="61" t="str">
        <x:v>A</x:v>
      </x:c>
      <x:c r="D174" s="61" t="str">
        <x:v>Documented</x:v>
      </x:c>
      <x:c r="E174" s="61" t="str">
        <x:v>POLICE / LE / FED</x:v>
      </x:c>
      <x:c r="F174" s="61" t="str">
        <x:v>Official Oregon certification-case status</x:v>
      </x:c>
      <x:c r="G174" s="61" t="str">
        <x:v>DPSST expressly says Under Review is not proof of misconduct. Read the case status and final document before stating a finding.</x:v>
      </x:c>
      <x:c r="H174" s="61" t="str">
        <x:v>Verify exact official record</x:v>
      </x:c>
      <x:c r="I174" s="61" t="str">
        <x:v>Content readable; lookup not tested</x:v>
      </x:c>
      <x:c r="J174" s="61" t="str">
        <x:v>Official agency status definitions</x:v>
      </x:c>
      <x:c r="K174" s="61" t="str">
        <x:v>S051</x:v>
      </x:c>
      <x:c r="L174" s="70" t="str">
        <x:v>https://www.oregon.gov/dpsst/CJ/Pages/Cases.aspx</x:v>
      </x:c>
      <x:c r="M174" s="70" t="str">
        <x:v>https://www.oregon.gov/dpsst/CJ/Pages/Cases.aspx</x:v>
      </x:c>
      <x:c r="N174" s="61" t="str">
        <x:v>268466582</x:v>
      </x:c>
      <x:c r="O174" s="61" t="n">
        <x:v>1051</x:v>
      </x:c>
      <x:c r="P174" s="61" t="n">
        <x:v>15</x:v>
      </x:c>
      <x:c r="Q174" s="61" t="str">
        <x:v>2026-09-15</x:v>
      </x:c>
      <x:c r="R174" s="61" t="n">
        <x:v>1</x:v>
      </x:c>
      <x:c r="S174" s="61" t="str">
        <x:v>Contacts / records</x:v>
      </x:c>
      <x:c r="T174" s="61" t="str">
        <x:v>Scoped desk assessment</x:v>
      </x:c>
    </x:row>
    <x:row r="175" ht="105" customHeight="1">
      <x:c r="A175" s="61" t="n">
        <x:v>1122</x:v>
      </x:c>
      <x:c r="B175" s="61" t="str">
        <x:v>PA Forfeiture 2010-2016 Search</x:v>
      </x:c>
      <x:c r="C175" s="61" t="str">
        <x:v>U</x:v>
      </x:c>
      <x:c r="D175" s="61" t="str">
        <x:v>Unassessed</x:v>
      </x:c>
      <x:c r="E175" s="61" t="str">
        <x:v>POLICE / LE / FED</x:v>
      </x:c>
      <x:c r="F175" s="61" t="str">
        <x:v>Police records / accountability information</x:v>
      </x:c>
      <x:c r="G175" s="61" t="str">
        <x:v>Distinguish complaint, allegation, charge, investigation and final finding; verify the original record.</x:v>
      </x:c>
      <x:c r="H175" s="61" t="str">
        <x:v>Verify publisher, source and current function before reliance</x:v>
      </x:c>
      <x:c r="I175" s="61" t="str">
        <x:v>Not checked</x:v>
      </x:c>
      <x:c r="J175" s="61" t="str">
        <x:v>Saved bookmark metadata only</x:v>
      </x:c>
      <x:c r="K175" s="61" t="str"/>
      <x:c r="L175" s="70" t="str"/>
      <x:c r="M175" s="70" t="str">
        <x:v>https://b2.caspio.com/dp/0a921000328dc970793c4364bb2a</x:v>
      </x:c>
      <x:c r="N175" s="61" t="str">
        <x:v>287037754</x:v>
      </x:c>
      <x:c r="O175" s="61" t="n">
        <x:v>1051</x:v>
      </x:c>
      <x:c r="P175" s="61" t="n">
        <x:v>16</x:v>
      </x:c>
      <x:c r="Q175" s="61" t="str"/>
      <x:c r="R175" s="61" t="n">
        <x:v>1</x:v>
      </x:c>
      <x:c r="S175" s="61" t="str">
        <x:v>Contacts / records</x:v>
      </x:c>
      <x:c r="T175" s="61" t="str">
        <x:v>Not established</x:v>
      </x:c>
    </x:row>
    <x:row r="176" ht="105" customHeight="1">
      <x:c r="A176" s="61" t="n">
        <x:v>1123</x:v>
      </x:c>
      <x:c r="B176" s="61" t="str">
        <x:v>BlueLeaks</x:v>
      </x:c>
      <x:c r="C176" s="61" t="str">
        <x:v>U</x:v>
      </x:c>
      <x:c r="D176" s="61" t="str">
        <x:v>Unassessed</x:v>
      </x:c>
      <x:c r="E176" s="61" t="str">
        <x:v>POLICE / LE / FED</x:v>
      </x:c>
      <x:c r="F176" s="61" t="str">
        <x:v>Police records / accountability information</x:v>
      </x:c>
      <x:c r="G176" s="61" t="str">
        <x:v>Distinguish complaint, allegation, charge, investigation and final finding; verify the original record.</x:v>
      </x:c>
      <x:c r="H176" s="61" t="str">
        <x:v>Verify publisher, source and current function before reliance</x:v>
      </x:c>
      <x:c r="I176" s="61" t="str">
        <x:v>Not checked</x:v>
      </x:c>
      <x:c r="J176" s="61" t="str">
        <x:v>Saved bookmark metadata only</x:v>
      </x:c>
      <x:c r="K176" s="61" t="str"/>
      <x:c r="L176" s="70" t="str"/>
      <x:c r="M176" s="70" t="str">
        <x:v>https://blueleaks.io/index.html</x:v>
      </x:c>
      <x:c r="N176" s="61" t="str">
        <x:v>268470624</x:v>
      </x:c>
      <x:c r="O176" s="61" t="n">
        <x:v>1051</x:v>
      </x:c>
      <x:c r="P176" s="61" t="n">
        <x:v>17</x:v>
      </x:c>
      <x:c r="Q176" s="61" t="str"/>
      <x:c r="R176" s="61" t="n">
        <x:v>1</x:v>
      </x:c>
      <x:c r="S176" s="61" t="str">
        <x:v>Contacts / records</x:v>
      </x:c>
      <x:c r="T176" s="61" t="str">
        <x:v>Not established</x:v>
      </x:c>
    </x:row>
    <x:row r="177" ht="105" customHeight="1">
      <x:c r="A177" s="61" t="n">
        <x:v>1124</x:v>
      </x:c>
      <x:c r="B177" s="61" t="str">
        <x:v>Plain View Project</x:v>
      </x:c>
      <x:c r="C177" s="61" t="str">
        <x:v>B</x:v>
      </x:c>
      <x:c r="D177" s="61" t="str">
        <x:v>Documented</x:v>
      </x:c>
      <x:c r="E177" s="61" t="str">
        <x:v>POLICE / LE / FED</x:v>
      </x:c>
      <x:c r="F177" s="61" t="str">
        <x:v>Selected archived public-post evidence</x:v>
      </x:c>
      <x:c r="G177" s="61" t="str">
        <x:v>Selected posts with source links; metadata is not continually updated. A shared post does not necessarily represent all of an author's views.</x:v>
      </x:c>
      <x:c r="H177" s="61" t="str">
        <x:v>Corroborate before attribution</x:v>
      </x:c>
      <x:c r="I177" s="61" t="str">
        <x:v>Dataset documentation readable; not a current complete profile</x:v>
      </x:c>
      <x:c r="J177" s="61" t="str">
        <x:v>Publisher methodology / caveats</x:v>
      </x:c>
      <x:c r="K177" s="61" t="str">
        <x:v>S063</x:v>
      </x:c>
      <x:c r="L177" s="70" t="str">
        <x:v>https://www.plainviewproject.org/data</x:v>
      </x:c>
      <x:c r="M177" s="70" t="str">
        <x:v>https://www.plainviewproject.org/data</x:v>
      </x:c>
      <x:c r="N177" s="61" t="str">
        <x:v>268470604</x:v>
      </x:c>
      <x:c r="O177" s="61" t="n">
        <x:v>1051</x:v>
      </x:c>
      <x:c r="P177" s="61" t="n">
        <x:v>18</x:v>
      </x:c>
      <x:c r="Q177" s="61" t="str">
        <x:v>2026-09-15</x:v>
      </x:c>
      <x:c r="R177" s="61" t="n">
        <x:v>1</x:v>
      </x:c>
      <x:c r="S177" s="61" t="str">
        <x:v>Contacts / records</x:v>
      </x:c>
      <x:c r="T177" s="61" t="str">
        <x:v>Scoped desk assessment</x:v>
      </x:c>
    </x:row>
    <x:row r="178" ht="105" customHeight="1">
      <x:c r="A178" s="61" t="n">
        <x:v>1125</x:v>
      </x:c>
      <x:c r="B178" s="61" t="str">
        <x:v>ICE Patrol</x:v>
      </x:c>
      <x:c r="C178" s="61" t="str">
        <x:v>U</x:v>
      </x:c>
      <x:c r="D178" s="61" t="str">
        <x:v>Unassessed</x:v>
      </x:c>
      <x:c r="E178" s="61" t="str">
        <x:v>POLICE / LE / FED</x:v>
      </x:c>
      <x:c r="F178" s="61" t="str">
        <x:v>Police records / accountability information</x:v>
      </x:c>
      <x:c r="G178" s="61" t="str">
        <x:v>Distinguish complaint, allegation, charge, investigation and final finding; verify the original record.</x:v>
      </x:c>
      <x:c r="H178" s="61" t="str">
        <x:v>Verify publisher, source and current function before reliance</x:v>
      </x:c>
      <x:c r="I178" s="61" t="str">
        <x:v>Not checked</x:v>
      </x:c>
      <x:c r="J178" s="61" t="str">
        <x:v>Saved bookmark metadata only</x:v>
      </x:c>
      <x:c r="K178" s="61" t="str"/>
      <x:c r="L178" s="70" t="str"/>
      <x:c r="M178" s="70" t="str">
        <x:v>https://ice.wikileaks.org/search</x:v>
      </x:c>
      <x:c r="N178" s="61" t="str">
        <x:v>268390104</x:v>
      </x:c>
      <x:c r="O178" s="61" t="n">
        <x:v>1051</x:v>
      </x:c>
      <x:c r="P178" s="61" t="n">
        <x:v>19</x:v>
      </x:c>
      <x:c r="Q178" s="61" t="str"/>
      <x:c r="R178" s="61" t="n">
        <x:v>1</x:v>
      </x:c>
      <x:c r="S178" s="61" t="str">
        <x:v>Contacts / records</x:v>
      </x:c>
      <x:c r="T178" s="61" t="str">
        <x:v>Not established</x:v>
      </x:c>
    </x:row>
    <x:row r="179" ht="105" customHeight="1">
      <x:c r="A179" s="61" t="n">
        <x:v>1126</x:v>
      </x:c>
      <x:c r="B179" s="61" t="str">
        <x:v>Policecrime.bgsu.edu</x:v>
      </x:c>
      <x:c r="C179" s="61" t="str">
        <x:v>B</x:v>
      </x:c>
      <x:c r="D179" s="61" t="str">
        <x:v>Documented</x:v>
      </x:c>
      <x:c r="E179" s="61" t="str">
        <x:v>POLICE / LE / FED</x:v>
      </x:c>
      <x:c r="F179" s="61" t="str">
        <x:v>Research dataset of officer criminal charges</x:v>
      </x:c>
      <x:c r="G179" s="61" t="str">
        <x:v>The described coverage is 2005–2021. Charges and arrests are not convictions; confirm disposition in the underlying court record.</x:v>
      </x:c>
      <x:c r="H179" s="61" t="str">
        <x:v>Corroborate before attribution</x:v>
      </x:c>
      <x:c r="I179" s="61" t="str">
        <x:v>Historical dataset description readable; no person query</x:v>
      </x:c>
      <x:c r="J179" s="61" t="str">
        <x:v>University dataset documentation</x:v>
      </x:c>
      <x:c r="K179" s="61" t="str">
        <x:v>S064</x:v>
      </x:c>
      <x:c r="L179" s="70" t="str">
        <x:v>https://policecrime.bgsu.edu/</x:v>
      </x:c>
      <x:c r="M179" s="70" t="str">
        <x:v>https://policecrime.bgsu.edu/</x:v>
      </x:c>
      <x:c r="N179" s="61" t="str">
        <x:v>268390880</x:v>
      </x:c>
      <x:c r="O179" s="61" t="n">
        <x:v>1051</x:v>
      </x:c>
      <x:c r="P179" s="61" t="n">
        <x:v>20</x:v>
      </x:c>
      <x:c r="Q179" s="61" t="str">
        <x:v>2026-09-15</x:v>
      </x:c>
      <x:c r="R179" s="61" t="n">
        <x:v>1</x:v>
      </x:c>
      <x:c r="S179" s="61" t="str">
        <x:v>Contacts / records</x:v>
      </x:c>
      <x:c r="T179" s="61" t="str">
        <x:v>Scoped desk assessment</x:v>
      </x:c>
    </x:row>
    <x:row r="180" ht="105" customHeight="1">
      <x:c r="A180" s="61" t="n">
        <x:v>1127</x:v>
      </x:c>
      <x:c r="B180" s="61" t="str">
        <x:v>CAPstat.nyc</x:v>
      </x:c>
      <x:c r="C180" s="61" t="str">
        <x:v>U</x:v>
      </x:c>
      <x:c r="D180" s="61" t="str">
        <x:v>Access unresolved</x:v>
      </x:c>
      <x:c r="E180" s="61" t="str">
        <x:v>POLICE / LE / FED</x:v>
      </x:c>
      <x:c r="F180" s="61" t="str">
        <x:v>Police records / accountability information</x:v>
      </x:c>
      <x:c r="G180" s="61" t="str">
        <x:v>Distinguish complaint, allegation, charge, investigation and final finding; verify the original record.</x:v>
      </x:c>
      <x:c r="H180" s="61" t="str">
        <x:v>Check manually; retrieval failure is not evidence the service is unreliable</x:v>
      </x:c>
      <x:c r="I180" s="61" t="str">
        <x:v>Unresolved reader access; website status unknown</x:v>
      </x:c>
      <x:c r="J180" s="61" t="str">
        <x:v>Fetch attempted; no usable substantive content</x:v>
      </x:c>
      <x:c r="K180" s="61" t="str"/>
      <x:c r="L180" s="70" t="str"/>
      <x:c r="M180" s="70" t="str">
        <x:v>https://www.capstat.nyc/</x:v>
      </x:c>
      <x:c r="N180" s="61" t="str">
        <x:v>268390094</x:v>
      </x:c>
      <x:c r="O180" s="61" t="n">
        <x:v>1051</x:v>
      </x:c>
      <x:c r="P180" s="61" t="n">
        <x:v>21</x:v>
      </x:c>
      <x:c r="Q180" s="61" t="str">
        <x:v>2026-09-15</x:v>
      </x:c>
      <x:c r="R180" s="61" t="n">
        <x:v>1</x:v>
      </x:c>
      <x:c r="S180" s="61" t="str">
        <x:v>Contacts / records</x:v>
      </x:c>
      <x:c r="T180" s="61" t="str">
        <x:v>Not established</x:v>
      </x:c>
    </x:row>
    <x:row r="181" ht="105" customHeight="1">
      <x:c r="A181" s="61" t="n">
        <x:v>1128</x:v>
      </x:c>
      <x:c r="B181" s="61" t="str">
        <x:v>Citizens Police Data Project</x:v>
      </x:c>
      <x:c r="C181" s="61" t="str">
        <x:v>U</x:v>
      </x:c>
      <x:c r="D181" s="61" t="str">
        <x:v>Access unresolved</x:v>
      </x:c>
      <x:c r="E181" s="61" t="str">
        <x:v>POLICE / LE / FED</x:v>
      </x:c>
      <x:c r="F181" s="61" t="str">
        <x:v>Police records / accountability information</x:v>
      </x:c>
      <x:c r="G181" s="61" t="str">
        <x:v>Distinguish complaint, allegation, charge, investigation and final finding; verify the original record.</x:v>
      </x:c>
      <x:c r="H181" s="61" t="str">
        <x:v>Check manually; retrieval failure is not evidence the service is unreliable</x:v>
      </x:c>
      <x:c r="I181" s="61" t="str">
        <x:v>Unresolved reader access; website status unknown</x:v>
      </x:c>
      <x:c r="J181" s="61" t="str">
        <x:v>Fetch attempted; no usable substantive content</x:v>
      </x:c>
      <x:c r="K181" s="61" t="str"/>
      <x:c r="L181" s="70" t="str"/>
      <x:c r="M181" s="70" t="str">
        <x:v>https://beta.cpdp.co/</x:v>
      </x:c>
      <x:c r="N181" s="61" t="str">
        <x:v>268390089</x:v>
      </x:c>
      <x:c r="O181" s="61" t="n">
        <x:v>1051</x:v>
      </x:c>
      <x:c r="P181" s="61" t="n">
        <x:v>22</x:v>
      </x:c>
      <x:c r="Q181" s="61" t="str">
        <x:v>2026-09-15</x:v>
      </x:c>
      <x:c r="R181" s="61" t="n">
        <x:v>1</x:v>
      </x:c>
      <x:c r="S181" s="61" t="str">
        <x:v>Contacts / records</x:v>
      </x:c>
      <x:c r="T181" s="61" t="str">
        <x:v>Not established</x:v>
      </x:c>
    </x:row>
    <x:row r="182" ht="105" customHeight="1">
      <x:c r="A182" s="61" t="n">
        <x:v>1129</x:v>
      </x:c>
      <x:c r="B182" s="61" t="str">
        <x:v>Fatal Encounters</x:v>
      </x:c>
      <x:c r="C182" s="61" t="str">
        <x:v>B</x:v>
      </x:c>
      <x:c r="D182" s="61" t="str">
        <x:v>Documented</x:v>
      </x:c>
      <x:c r="E182" s="61" t="str">
        <x:v>POLICE / LE / FED</x:v>
      </x:c>
      <x:c r="F182" s="61" t="str">
        <x:v>Fatal-encounter research records</x:v>
      </x:c>
      <x:c r="G182" s="61" t="str">
        <x:v>Publisher documents coverage gaps and field limitations. A recorded encounter alone does not establish unlawful conduct.</x:v>
      </x:c>
      <x:c r="H182" s="61" t="str">
        <x:v>Corroborate before attribution</x:v>
      </x:c>
      <x:c r="I182" s="61" t="str">
        <x:v>Content readable; lookup not tested</x:v>
      </x:c>
      <x:c r="J182" s="61" t="str">
        <x:v>Publisher methodology / caveats</x:v>
      </x:c>
      <x:c r="K182" s="61" t="str">
        <x:v>S065</x:v>
      </x:c>
      <x:c r="L182" s="70" t="str">
        <x:v>https://fatalencounters.org/people-search/</x:v>
      </x:c>
      <x:c r="M182" s="70" t="str">
        <x:v>https://fatalencounters.org/people-search/</x:v>
      </x:c>
      <x:c r="N182" s="61" t="str">
        <x:v>268390151</x:v>
      </x:c>
      <x:c r="O182" s="61" t="n">
        <x:v>1051</x:v>
      </x:c>
      <x:c r="P182" s="61" t="n">
        <x:v>23</x:v>
      </x:c>
      <x:c r="Q182" s="61" t="str">
        <x:v>2026-09-15</x:v>
      </x:c>
      <x:c r="R182" s="61" t="n">
        <x:v>1</x:v>
      </x:c>
      <x:c r="S182" s="61" t="str">
        <x:v>Contacts / records</x:v>
      </x:c>
      <x:c r="T182" s="61" t="str">
        <x:v>Scoped desk assessment</x:v>
      </x:c>
    </x:row>
    <x:row r="183" ht="105" customHeight="1">
      <x:c r="A183" s="61" t="n">
        <x:v>1130</x:v>
      </x:c>
      <x:c r="B183" s="61" t="str">
        <x:v>The NYPD Files</x:v>
      </x:c>
      <x:c r="C183" s="61" t="str">
        <x:v>B</x:v>
      </x:c>
      <x:c r="D183" s="61" t="str">
        <x:v>Documented</x:v>
      </x:c>
      <x:c r="E183" s="61" t="str">
        <x:v>POLICE / LE / FED</x:v>
      </x:c>
      <x:c r="F183" s="61" t="str">
        <x:v>Historical NYPD complaint archive only</x:v>
      </x:c>
      <x:c r="G183" s="61" t="str">
        <x:v>Publisher says last updated July 2020 and no longer updated. Records cover a defined historical subset; allegations differ from substantiated findings.</x:v>
      </x:c>
      <x:c r="H183" s="61" t="str">
        <x:v>Historical only; use current official records for present status</x:v>
      </x:c>
      <x:c r="I183" s="61" t="str">
        <x:v>Archived: no longer updated after July 2020</x:v>
      </x:c>
      <x:c r="J183" s="61" t="str">
        <x:v>Publisher update and methodology notice</x:v>
      </x:c>
      <x:c r="K183" s="61" t="str">
        <x:v>S066</x:v>
      </x:c>
      <x:c r="L183" s="70" t="str">
        <x:v>https://projects.propublica.org/nypd-ccrb/</x:v>
      </x:c>
      <x:c r="M183" s="70" t="str">
        <x:v>https://projects.propublica.org/nypd-ccrb/</x:v>
      </x:c>
      <x:c r="N183" s="61" t="str">
        <x:v>268390161</x:v>
      </x:c>
      <x:c r="O183" s="61" t="n">
        <x:v>1051</x:v>
      </x:c>
      <x:c r="P183" s="61" t="n">
        <x:v>24</x:v>
      </x:c>
      <x:c r="Q183" s="61" t="str">
        <x:v>2026-09-15</x:v>
      </x:c>
      <x:c r="R183" s="61" t="n">
        <x:v>1</x:v>
      </x:c>
      <x:c r="S183" s="61" t="str">
        <x:v>Contacts / records</x:v>
      </x:c>
      <x:c r="T183" s="61" t="str">
        <x:v>Scoped desk assessment</x:v>
      </x:c>
    </x:row>
    <x:row r="184" ht="105" customHeight="1">
      <x:c r="A184" s="61" t="n">
        <x:v>1131</x:v>
      </x:c>
      <x:c r="B184" s="61" t="str">
        <x:v>Open Data Policing</x:v>
      </x:c>
      <x:c r="C184" s="61" t="str">
        <x:v>U</x:v>
      </x:c>
      <x:c r="D184" s="61" t="str">
        <x:v>Access unresolved</x:v>
      </x:c>
      <x:c r="E184" s="61" t="str">
        <x:v>POLICE / LE / FED</x:v>
      </x:c>
      <x:c r="F184" s="61" t="str">
        <x:v>Police records / accountability information</x:v>
      </x:c>
      <x:c r="G184" s="61" t="str">
        <x:v>Distinguish complaint, allegation, charge, investigation and final finding; verify the original record.</x:v>
      </x:c>
      <x:c r="H184" s="61" t="str">
        <x:v>Check manually; retrieval failure is not evidence the service is unreliable</x:v>
      </x:c>
      <x:c r="I184" s="61" t="str">
        <x:v>Unresolved reader access; website status unknown</x:v>
      </x:c>
      <x:c r="J184" s="61" t="str">
        <x:v>Fetch attempted; no usable substantive content</x:v>
      </x:c>
      <x:c r="K184" s="61" t="str"/>
      <x:c r="L184" s="70" t="str"/>
      <x:c r="M184" s="70" t="str">
        <x:v>https://opendatapolicing.com/</x:v>
      </x:c>
      <x:c r="N184" s="61" t="str">
        <x:v>268390292</x:v>
      </x:c>
      <x:c r="O184" s="61" t="n">
        <x:v>1051</x:v>
      </x:c>
      <x:c r="P184" s="61" t="n">
        <x:v>25</x:v>
      </x:c>
      <x:c r="Q184" s="61" t="str">
        <x:v>2026-09-15</x:v>
      </x:c>
      <x:c r="R184" s="61" t="n">
        <x:v>1</x:v>
      </x:c>
      <x:c r="S184" s="61" t="str">
        <x:v>Contacts / records</x:v>
      </x:c>
      <x:c r="T184" s="61" t="str">
        <x:v>Not established</x:v>
      </x:c>
    </x:row>
    <x:row r="185" ht="105" customHeight="1">
      <x:c r="A185" s="61" t="n">
        <x:v>1132</x:v>
      </x:c>
      <x:c r="B185" s="61" t="str">
        <x:v>Police Surveillance in Chicago</x:v>
      </x:c>
      <x:c r="C185" s="61" t="str">
        <x:v>U</x:v>
      </x:c>
      <x:c r="D185" s="61" t="str">
        <x:v>Unassessed</x:v>
      </x:c>
      <x:c r="E185" s="61" t="str">
        <x:v>POLICE / LE / FED</x:v>
      </x:c>
      <x:c r="F185" s="61" t="str">
        <x:v>Police records / accountability information</x:v>
      </x:c>
      <x:c r="G185" s="61" t="str">
        <x:v>Distinguish complaint, allegation, charge, investigation and final finding; verify the original record.</x:v>
      </x:c>
      <x:c r="H185" s="61" t="str">
        <x:v>Verify publisher, source and current function before reliance</x:v>
      </x:c>
      <x:c r="I185" s="61" t="str">
        <x:v>Not checked</x:v>
      </x:c>
      <x:c r="J185" s="61" t="str">
        <x:v>Saved bookmark metadata only</x:v>
      </x:c>
      <x:c r="K185" s="61" t="str"/>
      <x:c r="L185" s="70" t="str"/>
      <x:c r="M185" s="70" t="str">
        <x:v>https://redshiftzero.github.io/policesurveillance/</x:v>
      </x:c>
      <x:c r="N185" s="61" t="str">
        <x:v>268391180</x:v>
      </x:c>
      <x:c r="O185" s="61" t="n">
        <x:v>1051</x:v>
      </x:c>
      <x:c r="P185" s="61" t="n">
        <x:v>26</x:v>
      </x:c>
      <x:c r="Q185" s="61" t="str"/>
      <x:c r="R185" s="61" t="n">
        <x:v>1</x:v>
      </x:c>
      <x:c r="S185" s="61" t="str">
        <x:v>Contacts / records</x:v>
      </x:c>
      <x:c r="T185" s="61" t="str">
        <x:v>Not established</x:v>
      </x:c>
    </x:row>
    <x:row r="186" ht="105" customHeight="1">
      <x:c r="A186" s="61" t="n">
        <x:v>1133</x:v>
      </x:c>
      <x:c r="B186" s="61" t="str">
        <x:v>Mappingpoliceviolence.org</x:v>
      </x:c>
      <x:c r="C186" s="61" t="str">
        <x:v>B</x:v>
      </x:c>
      <x:c r="D186" s="61" t="str">
        <x:v>Documented</x:v>
      </x:c>
      <x:c r="E186" s="61" t="str">
        <x:v>POLICE / LE / FED</x:v>
      </x:c>
      <x:c r="F186" s="61" t="str">
        <x:v>Defined fatal-encounter dataset</x:v>
      </x:c>
      <x:c r="G186" s="61" t="str">
        <x:v>Published coding and review process. Definition includes legally justified and unjustified encounters; coding changes and data dates matter.</x:v>
      </x:c>
      <x:c r="H186" s="61" t="str">
        <x:v>Corroborate before attribution</x:v>
      </x:c>
      <x:c r="I186" s="61" t="str">
        <x:v>Methodology readable; data marked updated August 31, 2026</x:v>
      </x:c>
      <x:c r="J186" s="61" t="str">
        <x:v>Publisher methodology</x:v>
      </x:c>
      <x:c r="K186" s="61" t="str">
        <x:v>S077</x:v>
      </x:c>
      <x:c r="L186" s="70" t="str">
        <x:v>https://mappingpoliceviolence.org/methodology</x:v>
      </x:c>
      <x:c r="M186" s="70" t="str">
        <x:v>https://mappingpoliceviolence.org/</x:v>
      </x:c>
      <x:c r="N186" s="61" t="str">
        <x:v>268401482</x:v>
      </x:c>
      <x:c r="O186" s="61" t="n">
        <x:v>1051</x:v>
      </x:c>
      <x:c r="P186" s="61" t="n">
        <x:v>27</x:v>
      </x:c>
      <x:c r="Q186" s="61" t="str">
        <x:v>2026-09-15</x:v>
      </x:c>
      <x:c r="R186" s="61" t="n">
        <x:v>1</x:v>
      </x:c>
      <x:c r="S186" s="61" t="str">
        <x:v>Contacts / records</x:v>
      </x:c>
      <x:c r="T186" s="61" t="str">
        <x:v>Scoped desk assessment</x:v>
      </x:c>
    </x:row>
    <x:row r="187" ht="105" customHeight="1">
      <x:c r="A187" s="61" t="n">
        <x:v>1134</x:v>
      </x:c>
      <x:c r="B187" s="61" t="str">
        <x:v>Police Protest Videos</x:v>
      </x:c>
      <x:c r="C187" s="61" t="str">
        <x:v>U</x:v>
      </x:c>
      <x:c r="D187" s="61" t="str">
        <x:v>Unassessed</x:v>
      </x:c>
      <x:c r="E187" s="61" t="str">
        <x:v>POLICE / LE / FED</x:v>
      </x:c>
      <x:c r="F187" s="61" t="str">
        <x:v>Police records / accountability information</x:v>
      </x:c>
      <x:c r="G187" s="61" t="str">
        <x:v>Distinguish complaint, allegation, charge, investigation and final finding; verify the original record.</x:v>
      </x:c>
      <x:c r="H187" s="61" t="str">
        <x:v>Verify publisher, source and current function before reliance</x:v>
      </x:c>
      <x:c r="I187" s="61" t="str">
        <x:v>Not checked</x:v>
      </x:c>
      <x:c r="J187" s="61" t="str">
        <x:v>Saved bookmark metadata only</x:v>
      </x:c>
      <x:c r="K187" s="61" t="str"/>
      <x:c r="L187" s="70" t="str"/>
      <x:c r="M187" s="70" t="str">
        <x:v>https://projects.propublica.org/protest-police-videos/</x:v>
      </x:c>
      <x:c r="N187" s="61" t="str">
        <x:v>286105922</x:v>
      </x:c>
      <x:c r="O187" s="61" t="n">
        <x:v>1051</x:v>
      </x:c>
      <x:c r="P187" s="61" t="n">
        <x:v>28</x:v>
      </x:c>
      <x:c r="Q187" s="61" t="str"/>
      <x:c r="R187" s="61" t="n">
        <x:v>1</x:v>
      </x:c>
      <x:c r="S187" s="61" t="str">
        <x:v>Contacts / records</x:v>
      </x:c>
      <x:c r="T187" s="61" t="str">
        <x:v>Not established</x:v>
      </x:c>
    </x:row>
    <x:row r="188" ht="105" customHeight="1">
      <x:c r="A188" s="61" t="n">
        <x:v>1135</x:v>
      </x:c>
      <x:c r="B188" s="61" t="str">
        <x:v>GeorgeFloyd Protest police brutality videos</x:v>
      </x:c>
      <x:c r="C188" s="61" t="str">
        <x:v>U</x:v>
      </x:c>
      <x:c r="D188" s="61" t="str">
        <x:v>Unassessed</x:v>
      </x:c>
      <x:c r="E188" s="61" t="str">
        <x:v>POLICE / LE / FED</x:v>
      </x:c>
      <x:c r="F188" s="61" t="str">
        <x:v>Police records / accountability information</x:v>
      </x:c>
      <x:c r="G188" s="61" t="str">
        <x:v>Distinguish complaint, allegation, charge, investigation and final finding; verify the original record.</x:v>
      </x:c>
      <x:c r="H188" s="61" t="str">
        <x:v>Verify publisher, source and current function before reliance</x:v>
      </x:c>
      <x:c r="I188" s="61" t="str">
        <x:v>Not checked</x:v>
      </x:c>
      <x:c r="J188" s="61" t="str">
        <x:v>Saved bookmark metadata only</x:v>
      </x:c>
      <x:c r="K188" s="61" t="str"/>
      <x:c r="L188" s="70" t="str"/>
      <x:c r="M188" s="70" t="str">
        <x:v>https://docs.google.com/spreadsheets/u/1/d/1YmZeSxpz52qT-10tkCjWOwOGkQqle7Wd1P7ZM1wMW0E/htmlview?pru=AAABcql6DI8*mIHYeMnoj9XWUp3Svb_KZA#</x:v>
      </x:c>
      <x:c r="N188" s="61" t="str">
        <x:v>268401495</x:v>
      </x:c>
      <x:c r="O188" s="61" t="n">
        <x:v>1051</x:v>
      </x:c>
      <x:c r="P188" s="61" t="n">
        <x:v>29</x:v>
      </x:c>
      <x:c r="Q188" s="61" t="str"/>
      <x:c r="R188" s="61" t="n">
        <x:v>1</x:v>
      </x:c>
      <x:c r="S188" s="61" t="str">
        <x:v>Contacts / records</x:v>
      </x:c>
      <x:c r="T188" s="61" t="str">
        <x:v>Not established</x:v>
      </x:c>
    </x:row>
    <x:row r="189" ht="105" customHeight="1">
      <x:c r="A189" s="61" t="n">
        <x:v>1136</x:v>
      </x:c>
      <x:c r="B189" s="61" t="str">
        <x:v>Police Body-Worn Camera Footage Access Map</x:v>
      </x:c>
      <x:c r="C189" s="61" t="str">
        <x:v>N/A</x:v>
      </x:c>
      <x:c r="D189" s="61" t="str">
        <x:v>Documented</x:v>
      </x:c>
      <x:c r="E189" s="61" t="str">
        <x:v>POLICE / LE / FED</x:v>
      </x:c>
      <x:c r="F189" s="61" t="str">
        <x:v>Body-camera access reference</x:v>
      </x:c>
      <x:c r="G189" s="61" t="str">
        <x:v>Information about records-access rules, not a database establishing individual conduct. Check the applicable current rule before a records request.</x:v>
      </x:c>
      <x:c r="H189" s="61" t="str">
        <x:v>Reference only; verify applicable current rule</x:v>
      </x:c>
      <x:c r="I189" s="61" t="str">
        <x:v>Content readable; lookup not tested</x:v>
      </x:c>
      <x:c r="J189" s="61" t="str">
        <x:v>Publisher reference guide</x:v>
      </x:c>
      <x:c r="K189" s="61" t="str">
        <x:v>S054</x:v>
      </x:c>
      <x:c r="L189" s="70" t="str">
        <x:v>https://www.rcfp.org/resources/bodycams/</x:v>
      </x:c>
      <x:c r="M189" s="70" t="str">
        <x:v>https://www.rcfp.org/resources/bodycams/</x:v>
      </x:c>
      <x:c r="N189" s="61" t="str">
        <x:v>268401534</x:v>
      </x:c>
      <x:c r="O189" s="61" t="n">
        <x:v>1051</x:v>
      </x:c>
      <x:c r="P189" s="61" t="n">
        <x:v>30</x:v>
      </x:c>
      <x:c r="Q189" s="61" t="str">
        <x:v>2026-09-15</x:v>
      </x:c>
      <x:c r="R189" s="61" t="n">
        <x:v>1</x:v>
      </x:c>
      <x:c r="S189" s="61" t="str">
        <x:v>Contacts / records</x:v>
      </x:c>
      <x:c r="T189" s="61" t="str">
        <x:v>Scoped desk assessment</x:v>
      </x:c>
    </x:row>
    <x:row r="190" ht="105" customHeight="1">
      <x:c r="A190" s="61" t="n">
        <x:v>1137</x:v>
      </x:c>
      <x:c r="B190" s="61" t="str">
        <x:v>Policebrutalitydatabase.org</x:v>
      </x:c>
      <x:c r="C190" s="61" t="str">
        <x:v>U</x:v>
      </x:c>
      <x:c r="D190" s="61" t="str">
        <x:v>Unassessed</x:v>
      </x:c>
      <x:c r="E190" s="61" t="str">
        <x:v>POLICE / LE / FED</x:v>
      </x:c>
      <x:c r="F190" s="61" t="str">
        <x:v>Police records / accountability information</x:v>
      </x:c>
      <x:c r="G190" s="61" t="str">
        <x:v>Distinguish complaint, allegation, charge, investigation and final finding; verify the original record.</x:v>
      </x:c>
      <x:c r="H190" s="61" t="str">
        <x:v>Verify publisher, source and current function before reliance</x:v>
      </x:c>
      <x:c r="I190" s="61" t="str">
        <x:v>Not checked</x:v>
      </x:c>
      <x:c r="J190" s="61" t="str">
        <x:v>Saved bookmark metadata only</x:v>
      </x:c>
      <x:c r="K190" s="61" t="str"/>
      <x:c r="L190" s="70" t="str"/>
      <x:c r="M190" s="70" t="str">
        <x:v>https://www.policebrutalitydatabase.org/</x:v>
      </x:c>
      <x:c r="N190" s="61" t="str">
        <x:v>268401874</x:v>
      </x:c>
      <x:c r="O190" s="61" t="n">
        <x:v>1051</x:v>
      </x:c>
      <x:c r="P190" s="61" t="n">
        <x:v>31</x:v>
      </x:c>
      <x:c r="Q190" s="61" t="str"/>
      <x:c r="R190" s="61" t="n">
        <x:v>1</x:v>
      </x:c>
      <x:c r="S190" s="61" t="str">
        <x:v>Contacts / records</x:v>
      </x:c>
      <x:c r="T190" s="61" t="str">
        <x:v>Not established</x:v>
      </x:c>
    </x:row>
    <x:row r="191" ht="105" customHeight="1">
      <x:c r="A191" s="61" t="n">
        <x:v>1138</x:v>
      </x:c>
      <x:c r="B191" s="61" t="str">
        <x:v>Civilian Office of Police Accountability</x:v>
      </x:c>
      <x:c r="C191" s="61" t="str">
        <x:v>A</x:v>
      </x:c>
      <x:c r="D191" s="61" t="str">
        <x:v>Documented</x:v>
      </x:c>
      <x:c r="E191" s="61" t="str">
        <x:v>POLICE / LE / FED</x:v>
      </x:c>
      <x:c r="F191" s="61" t="str">
        <x:v>Official Chicago COPA case reports</x:v>
      </x:c>
      <x:c r="G191" s="61" t="str">
        <x:v>Official investigative reports cover differing findings and outcomes. Read the final finding, not just the existence of a case.</x:v>
      </x:c>
      <x:c r="H191" s="61" t="str">
        <x:v>Verify exact official record</x:v>
      </x:c>
      <x:c r="I191" s="61" t="str">
        <x:v>Content readable; lookup not tested</x:v>
      </x:c>
      <x:c r="J191" s="61" t="str">
        <x:v>Official case-portal methodology</x:v>
      </x:c>
      <x:c r="K191" s="61" t="str">
        <x:v>S052</x:v>
      </x:c>
      <x:c r="L191" s="70" t="str">
        <x:v>https://www.chicagocopa.org/data-cases/case-portal/</x:v>
      </x:c>
      <x:c r="M191" s="70" t="str">
        <x:v>https://www.chicagocopa.org/data-cases/case-portal/</x:v>
      </x:c>
      <x:c r="N191" s="61" t="str">
        <x:v>268470018</x:v>
      </x:c>
      <x:c r="O191" s="61" t="n">
        <x:v>1051</x:v>
      </x:c>
      <x:c r="P191" s="61" t="n">
        <x:v>32</x:v>
      </x:c>
      <x:c r="Q191" s="61" t="str">
        <x:v>2026-09-15</x:v>
      </x:c>
      <x:c r="R191" s="61" t="n">
        <x:v>1</x:v>
      </x:c>
      <x:c r="S191" s="61" t="str">
        <x:v>Contacts / records</x:v>
      </x:c>
      <x:c r="T191" s="61" t="str">
        <x:v>Scoped desk assessment</x:v>
      </x:c>
    </x:row>
    <x:row r="192" ht="105" customHeight="1">
      <x:c r="A192" s="61" t="n">
        <x:v>1139</x:v>
      </x:c>
      <x:c r="B192" s="61" t="str">
        <x:v>Coplookup.com</x:v>
      </x:c>
      <x:c r="C192" s="61" t="str">
        <x:v>U</x:v>
      </x:c>
      <x:c r="D192" s="61" t="str">
        <x:v>Unassessed</x:v>
      </x:c>
      <x:c r="E192" s="61" t="str">
        <x:v>POLICE / LE / FED</x:v>
      </x:c>
      <x:c r="F192" s="61" t="str">
        <x:v>Police records / accountability information</x:v>
      </x:c>
      <x:c r="G192" s="61" t="str">
        <x:v>Distinguish complaint, allegation, charge, investigation and final finding; verify the original record.</x:v>
      </x:c>
      <x:c r="H192" s="61" t="str">
        <x:v>Verify publisher, source and current function before reliance</x:v>
      </x:c>
      <x:c r="I192" s="61" t="str">
        <x:v>Not checked</x:v>
      </x:c>
      <x:c r="J192" s="61" t="str">
        <x:v>Saved bookmark metadata only</x:v>
      </x:c>
      <x:c r="K192" s="61" t="str"/>
      <x:c r="L192" s="70" t="str"/>
      <x:c r="M192" s="70" t="str">
        <x:v>https://coplookup.com/</x:v>
      </x:c>
      <x:c r="N192" s="61" t="str">
        <x:v>268390092</x:v>
      </x:c>
      <x:c r="O192" s="61" t="n">
        <x:v>1051</x:v>
      </x:c>
      <x:c r="P192" s="61" t="n">
        <x:v>33</x:v>
      </x:c>
      <x:c r="Q192" s="61" t="str"/>
      <x:c r="R192" s="61" t="n">
        <x:v>1</x:v>
      </x:c>
      <x:c r="S192" s="61" t="str">
        <x:v>Contacts / records</x:v>
      </x:c>
      <x:c r="T192" s="61" t="str">
        <x:v>Not established</x:v>
      </x:c>
    </x:row>
    <x:row r="193" ht="105" customHeight="1">
      <x:c r="A193" s="61" t="n">
        <x:v>1140</x:v>
      </x:c>
      <x:c r="B193" s="61" t="str">
        <x:v>Project Comport - IMPD/BPD/WPD [Datasets]</x:v>
      </x:c>
      <x:c r="C193" s="61" t="str">
        <x:v>U</x:v>
      </x:c>
      <x:c r="D193" s="61" t="str">
        <x:v>Unassessed</x:v>
      </x:c>
      <x:c r="E193" s="61" t="str">
        <x:v>POLICE / LE / FED</x:v>
      </x:c>
      <x:c r="F193" s="61" t="str">
        <x:v>Police records / accountability information</x:v>
      </x:c>
      <x:c r="G193" s="61" t="str">
        <x:v>Distinguish complaint, allegation, charge, investigation and final finding; verify the original record.</x:v>
      </x:c>
      <x:c r="H193" s="61" t="str">
        <x:v>Verify publisher, source and current function before reliance</x:v>
      </x:c>
      <x:c r="I193" s="61" t="str">
        <x:v>Not checked</x:v>
      </x:c>
      <x:c r="J193" s="61" t="str">
        <x:v>Saved bookmark metadata only</x:v>
      </x:c>
      <x:c r="K193" s="61" t="str"/>
      <x:c r="L193" s="70" t="str"/>
      <x:c r="M193" s="70" t="str">
        <x:v>https://www.projectcomport.org/</x:v>
      </x:c>
      <x:c r="N193" s="61" t="str">
        <x:v>271265730</x:v>
      </x:c>
      <x:c r="O193" s="61" t="n">
        <x:v>1051</x:v>
      </x:c>
      <x:c r="P193" s="61" t="n">
        <x:v>34</x:v>
      </x:c>
      <x:c r="Q193" s="61" t="str"/>
      <x:c r="R193" s="61" t="n">
        <x:v>1</x:v>
      </x:c>
      <x:c r="S193" s="61" t="str">
        <x:v>Contacts / records</x:v>
      </x:c>
      <x:c r="T193" s="61" t="str">
        <x:v>Not established</x:v>
      </x:c>
    </x:row>
    <x:row r="194" ht="105" customHeight="1">
      <x:c r="A194" s="61" t="n">
        <x:v>1141</x:v>
      </x:c>
      <x:c r="B194" s="61" t="str">
        <x:v>How many untested rape kits does your city police department or county sheriff's office have?</x:v>
      </x:c>
      <x:c r="C194" s="61" t="str">
        <x:v>U</x:v>
      </x:c>
      <x:c r="D194" s="61" t="str">
        <x:v>Unassessed</x:v>
      </x:c>
      <x:c r="E194" s="61" t="str">
        <x:v>POLICE / LE / FED</x:v>
      </x:c>
      <x:c r="F194" s="61" t="str">
        <x:v>Police records / accountability information</x:v>
      </x:c>
      <x:c r="G194" s="61" t="str">
        <x:v>Distinguish complaint, allegation, charge, investigation and final finding; verify the original record.</x:v>
      </x:c>
      <x:c r="H194" s="61" t="str">
        <x:v>Verify publisher, source and current function before reliance</x:v>
      </x:c>
      <x:c r="I194" s="61" t="str">
        <x:v>Not checked</x:v>
      </x:c>
      <x:c r="J194" s="61" t="str">
        <x:v>Saved bookmark metadata only</x:v>
      </x:c>
      <x:c r="K194" s="61" t="str"/>
      <x:c r="L194" s="70" t="str"/>
      <x:c r="M194" s="70" t="str">
        <x:v>https://datawrapper.dwcdn.net/uOdaT/4/</x:v>
      </x:c>
      <x:c r="N194" s="61" t="str">
        <x:v>286945014</x:v>
      </x:c>
      <x:c r="O194" s="61" t="n">
        <x:v>1051</x:v>
      </x:c>
      <x:c r="P194" s="61" t="n">
        <x:v>35</x:v>
      </x:c>
      <x:c r="Q194" s="61" t="str"/>
      <x:c r="R194" s="61" t="n">
        <x:v>1</x:v>
      </x:c>
      <x:c r="S194" s="61" t="str">
        <x:v>Contacts / records</x:v>
      </x:c>
      <x:c r="T194" s="61" t="str">
        <x:v>Not established</x:v>
      </x:c>
    </x:row>
    <x:row r="195" ht="105" customHeight="1">
      <x:c r="A195" s="61" t="n">
        <x:v>1142</x:v>
      </x:c>
      <x:c r="B195" s="61" t="str">
        <x:v>Gun Dealer Inspections | The Trace</x:v>
      </x:c>
      <x:c r="C195" s="61" t="str">
        <x:v>U</x:v>
      </x:c>
      <x:c r="D195" s="61" t="str">
        <x:v>Unassessed</x:v>
      </x:c>
      <x:c r="E195" s="61" t="str">
        <x:v>POLICE / LE / FED</x:v>
      </x:c>
      <x:c r="F195" s="61" t="str">
        <x:v>Police records / accountability information</x:v>
      </x:c>
      <x:c r="G195" s="61" t="str">
        <x:v>Distinguish complaint, allegation, charge, investigation and final finding; verify the original record.</x:v>
      </x:c>
      <x:c r="H195" s="61" t="str">
        <x:v>Verify publisher, source and current function before reliance</x:v>
      </x:c>
      <x:c r="I195" s="61" t="str">
        <x:v>Not checked</x:v>
      </x:c>
      <x:c r="J195" s="61" t="str">
        <x:v>Saved bookmark metadata only</x:v>
      </x:c>
      <x:c r="K195" s="61" t="str"/>
      <x:c r="L195" s="70" t="str"/>
      <x:c r="M195" s="70" t="str">
        <x:v>https://projects.thetrace.org/inspections/</x:v>
      </x:c>
      <x:c r="N195" s="61" t="str">
        <x:v>286101611</x:v>
      </x:c>
      <x:c r="O195" s="61" t="n">
        <x:v>1051</x:v>
      </x:c>
      <x:c r="P195" s="61" t="n">
        <x:v>36</x:v>
      </x:c>
      <x:c r="Q195" s="61" t="str"/>
      <x:c r="R195" s="61" t="n">
        <x:v>1</x:v>
      </x:c>
      <x:c r="S195" s="61" t="str">
        <x:v>Contacts / records</x:v>
      </x:c>
      <x:c r="T195" s="61" t="str">
        <x:v>Not established</x:v>
      </x:c>
    </x:row>
    <x:row r="196" ht="105" customHeight="1">
      <x:c r="A196" s="61" t="n">
        <x:v>1143</x:v>
      </x:c>
      <x:c r="B196" s="61" t="str">
        <x:v>Secret Surveillance Catalogue</x:v>
      </x:c>
      <x:c r="C196" s="61" t="str">
        <x:v>U</x:v>
      </x:c>
      <x:c r="D196" s="61" t="str">
        <x:v>Unassessed</x:v>
      </x:c>
      <x:c r="E196" s="61" t="str">
        <x:v>POLICE / LE / FED</x:v>
      </x:c>
      <x:c r="F196" s="61" t="str">
        <x:v>Police records / accountability information</x:v>
      </x:c>
      <x:c r="G196" s="61" t="str">
        <x:v>Distinguish complaint, allegation, charge, investigation and final finding; verify the original record.</x:v>
      </x:c>
      <x:c r="H196" s="61" t="str">
        <x:v>Verify publisher, source and current function before reliance</x:v>
      </x:c>
      <x:c r="I196" s="61" t="str">
        <x:v>Not checked</x:v>
      </x:c>
      <x:c r="J196" s="61" t="str">
        <x:v>Saved bookmark metadata only</x:v>
      </x:c>
      <x:c r="K196" s="61" t="str"/>
      <x:c r="L196" s="70" t="str"/>
      <x:c r="M196" s="70" t="str">
        <x:v>https://theintercept.com/surveillance-catalogue/</x:v>
      </x:c>
      <x:c r="N196" s="61" t="str">
        <x:v>286105706</x:v>
      </x:c>
      <x:c r="O196" s="61" t="n">
        <x:v>1051</x:v>
      </x:c>
      <x:c r="P196" s="61" t="n">
        <x:v>37</x:v>
      </x:c>
      <x:c r="Q196" s="61" t="str"/>
      <x:c r="R196" s="61" t="n">
        <x:v>1</x:v>
      </x:c>
      <x:c r="S196" s="61" t="str">
        <x:v>Contacts / records</x:v>
      </x:c>
      <x:c r="T196" s="61" t="str">
        <x:v>Not established</x:v>
      </x:c>
    </x:row>
    <x:row r="197" ht="105" customHeight="1">
      <x:c r="A197" s="61" t="n">
        <x:v>1144</x:v>
      </x:c>
      <x:c r="B197" s="61" t="str">
        <x:v>Chicago Police Department Demographics</x:v>
      </x:c>
      <x:c r="C197" s="61" t="str">
        <x:v>U</x:v>
      </x:c>
      <x:c r="D197" s="61" t="str">
        <x:v>Unassessed</x:v>
      </x:c>
      <x:c r="E197" s="61" t="str">
        <x:v>POLICE / LE / FED</x:v>
      </x:c>
      <x:c r="F197" s="61" t="str">
        <x:v>Police records / accountability information</x:v>
      </x:c>
      <x:c r="G197" s="61" t="str">
        <x:v>Distinguish complaint, allegation, charge, investigation and final finding; verify the original record.</x:v>
      </x:c>
      <x:c r="H197" s="61" t="str">
        <x:v>Verify publisher, source and current function before reliance</x:v>
      </x:c>
      <x:c r="I197" s="61" t="str">
        <x:v>Not checked</x:v>
      </x:c>
      <x:c r="J197" s="61" t="str">
        <x:v>Saved bookmark metadata only</x:v>
      </x:c>
      <x:c r="K197" s="61" t="str"/>
      <x:c r="L197" s="70" t="str"/>
      <x:c r="M197" s="70" t="str">
        <x:v>https://public.flourish.studio/visualisation/1089756/</x:v>
      </x:c>
      <x:c r="N197" s="61" t="str">
        <x:v>286944849</x:v>
      </x:c>
      <x:c r="O197" s="61" t="n">
        <x:v>1051</x:v>
      </x:c>
      <x:c r="P197" s="61" t="n">
        <x:v>38</x:v>
      </x:c>
      <x:c r="Q197" s="61" t="str"/>
      <x:c r="R197" s="61" t="n">
        <x:v>1</x:v>
      </x:c>
      <x:c r="S197" s="61" t="str">
        <x:v>Contacts / records</x:v>
      </x:c>
      <x:c r="T197" s="61" t="str">
        <x:v>Not established</x:v>
      </x:c>
    </x:row>
    <x:row r="198" ht="105" customHeight="1">
      <x:c r="A198" s="61" t="n">
        <x:v>1145</x:v>
      </x:c>
      <x:c r="B198" s="61" t="str">
        <x:v>George Floyd - Where black people are most disproportionately killed by police</x:v>
      </x:c>
      <x:c r="C198" s="61" t="str">
        <x:v>U</x:v>
      </x:c>
      <x:c r="D198" s="61" t="str">
        <x:v>Unassessed</x:v>
      </x:c>
      <x:c r="E198" s="61" t="str">
        <x:v>POLICE / LE / FED</x:v>
      </x:c>
      <x:c r="F198" s="61" t="str">
        <x:v>Police records / accountability information</x:v>
      </x:c>
      <x:c r="G198" s="61" t="str">
        <x:v>Distinguish complaint, allegation, charge, investigation and final finding; verify the original record.</x:v>
      </x:c>
      <x:c r="H198" s="61" t="str">
        <x:v>Verify publisher, source and current function before reliance</x:v>
      </x:c>
      <x:c r="I198" s="61" t="str">
        <x:v>Not checked</x:v>
      </x:c>
      <x:c r="J198" s="61" t="str">
        <x:v>Saved bookmark metadata only</x:v>
      </x:c>
      <x:c r="K198" s="61" t="str"/>
      <x:c r="L198" s="70" t="str"/>
      <x:c r="M198" s="70" t="str">
        <x:v>https://public.flourish.studio/visualisation/2646234/</x:v>
      </x:c>
      <x:c r="N198" s="61" t="str">
        <x:v>286944851</x:v>
      </x:c>
      <x:c r="O198" s="61" t="n">
        <x:v>1051</x:v>
      </x:c>
      <x:c r="P198" s="61" t="n">
        <x:v>39</x:v>
      </x:c>
      <x:c r="Q198" s="61" t="str"/>
      <x:c r="R198" s="61" t="n">
        <x:v>1</x:v>
      </x:c>
      <x:c r="S198" s="61" t="str">
        <x:v>Contacts / records</x:v>
      </x:c>
      <x:c r="T198" s="61" t="str">
        <x:v>Not established</x:v>
      </x:c>
    </x:row>
    <x:row r="199" ht="105" customHeight="1">
      <x:c r="A199" s="61" t="n">
        <x:v>1146</x:v>
      </x:c>
      <x:c r="B199" s="61" t="str">
        <x:v>Iowa Cities police budgets</x:v>
      </x:c>
      <x:c r="C199" s="61" t="str">
        <x:v>U</x:v>
      </x:c>
      <x:c r="D199" s="61" t="str">
        <x:v>Unassessed</x:v>
      </x:c>
      <x:c r="E199" s="61" t="str">
        <x:v>POLICE / LE / FED</x:v>
      </x:c>
      <x:c r="F199" s="61" t="str">
        <x:v>Police records / accountability information</x:v>
      </x:c>
      <x:c r="G199" s="61" t="str">
        <x:v>Distinguish complaint, allegation, charge, investigation and final finding; verify the original record.</x:v>
      </x:c>
      <x:c r="H199" s="61" t="str">
        <x:v>Verify publisher, source and current function before reliance</x:v>
      </x:c>
      <x:c r="I199" s="61" t="str">
        <x:v>Not checked</x:v>
      </x:c>
      <x:c r="J199" s="61" t="str">
        <x:v>Saved bookmark metadata only</x:v>
      </x:c>
      <x:c r="K199" s="61" t="str"/>
      <x:c r="L199" s="70" t="str"/>
      <x:c r="M199" s="70" t="str">
        <x:v>https://public.flourish.studio/visualisation/3168834/</x:v>
      </x:c>
      <x:c r="N199" s="61" t="str">
        <x:v>286944900</x:v>
      </x:c>
      <x:c r="O199" s="61" t="n">
        <x:v>1051</x:v>
      </x:c>
      <x:c r="P199" s="61" t="n">
        <x:v>40</x:v>
      </x:c>
      <x:c r="Q199" s="61" t="str"/>
      <x:c r="R199" s="61" t="n">
        <x:v>1</x:v>
      </x:c>
      <x:c r="S199" s="61" t="str">
        <x:v>Contacts / records</x:v>
      </x:c>
      <x:c r="T199" s="61" t="str">
        <x:v>Not established</x:v>
      </x:c>
    </x:row>
    <x:row r="200" ht="105" customHeight="1">
      <x:c r="A200" s="61" t="n">
        <x:v>1147</x:v>
      </x:c>
      <x:c r="B200" s="61" t="str">
        <x:v>TGCG Members Page</x:v>
      </x:c>
      <x:c r="C200" s="61" t="str">
        <x:v>U</x:v>
      </x:c>
      <x:c r="D200" s="61" t="str">
        <x:v>Unassessed</x:v>
      </x:c>
      <x:c r="E200" s="61" t="str">
        <x:v>POLICE / LE / FED</x:v>
      </x:c>
      <x:c r="F200" s="61" t="str">
        <x:v>Police records / accountability information</x:v>
      </x:c>
      <x:c r="G200" s="61" t="str">
        <x:v>Distinguish complaint, allegation, charge, investigation and final finding; verify the original record.</x:v>
      </x:c>
      <x:c r="H200" s="61" t="str">
        <x:v>Verify publisher, source and current function before reliance</x:v>
      </x:c>
      <x:c r="I200" s="61" t="str">
        <x:v>Not checked</x:v>
      </x:c>
      <x:c r="J200" s="61" t="str">
        <x:v>Saved bookmark metadata only</x:v>
      </x:c>
      <x:c r="K200" s="61" t="str"/>
      <x:c r="L200" s="70" t="str"/>
      <x:c r="M200" s="70" t="str">
        <x:v>https://c2ffn114.caspio.com/dp/e6a74000833e44e23c324a10987c</x:v>
      </x:c>
      <x:c r="N200" s="61" t="str">
        <x:v>286945516</x:v>
      </x:c>
      <x:c r="O200" s="61" t="n">
        <x:v>1051</x:v>
      </x:c>
      <x:c r="P200" s="61" t="n">
        <x:v>41</x:v>
      </x:c>
      <x:c r="Q200" s="61" t="str"/>
      <x:c r="R200" s="61" t="n">
        <x:v>1</x:v>
      </x:c>
      <x:c r="S200" s="61" t="str">
        <x:v>Contacts / records</x:v>
      </x:c>
      <x:c r="T200" s="61" t="str">
        <x:v>Not established</x:v>
      </x:c>
    </x:row>
    <x:row r="201" ht="105" customHeight="1">
      <x:c r="A201" s="61" t="n">
        <x:v>1148</x:v>
      </x:c>
      <x:c r="B201" s="61" t="str">
        <x:v>Buffalo Police</x:v>
      </x:c>
      <x:c r="C201" s="61" t="str">
        <x:v>U</x:v>
      </x:c>
      <x:c r="D201" s="61" t="str">
        <x:v>Unassessed</x:v>
      </x:c>
      <x:c r="E201" s="61" t="str">
        <x:v>POLICE / LE / FED</x:v>
      </x:c>
      <x:c r="F201" s="61" t="str">
        <x:v>Police records / accountability information</x:v>
      </x:c>
      <x:c r="G201" s="61" t="str">
        <x:v>Distinguish complaint, allegation, charge, investigation and final finding; verify the original record.</x:v>
      </x:c>
      <x:c r="H201" s="61" t="str">
        <x:v>Verify publisher, source and current function before reliance</x:v>
      </x:c>
      <x:c r="I201" s="61" t="str">
        <x:v>Not checked</x:v>
      </x:c>
      <x:c r="J201" s="61" t="str">
        <x:v>Saved bookmark metadata only</x:v>
      </x:c>
      <x:c r="K201" s="61" t="str"/>
      <x:c r="L201" s="70" t="str"/>
      <x:c r="M201" s="70" t="str">
        <x:v>https://airtable.com/embed/shra4F3cAE7H2PV5m?backgroundColor=gray&amp;amp;viewControls=on</x:v>
      </x:c>
      <x:c r="N201" s="61" t="str">
        <x:v>313463214</x:v>
      </x:c>
      <x:c r="O201" s="61" t="n">
        <x:v>1051</x:v>
      </x:c>
      <x:c r="P201" s="61" t="n">
        <x:v>42</x:v>
      </x:c>
      <x:c r="Q201" s="61" t="str"/>
      <x:c r="R201" s="61" t="n">
        <x:v>1</x:v>
      </x:c>
      <x:c r="S201" s="61" t="str">
        <x:v>Contacts / records</x:v>
      </x:c>
      <x:c r="T201" s="61" t="str">
        <x:v>Not established</x:v>
      </x:c>
    </x:row>
    <x:row r="202" ht="105" customHeight="1">
      <x:c r="A202" s="61" t="n">
        <x:v>1149</x:v>
      </x:c>
      <x:c r="B202" s="61" t="str">
        <x:v>postcert</x:v>
      </x:c>
      <x:c r="C202" s="61" t="str">
        <x:v>U</x:v>
      </x:c>
      <x:c r="D202" s="61" t="str">
        <x:v>Access unresolved</x:v>
      </x:c>
      <x:c r="E202" s="61" t="str">
        <x:v>POLICE / LE / FED</x:v>
      </x:c>
      <x:c r="F202" s="61" t="str">
        <x:v>Police records / accountability information</x:v>
      </x:c>
      <x:c r="G202" s="61" t="str">
        <x:v>Distinguish complaint, allegation, charge, investigation and final finding; verify the original record.</x:v>
      </x:c>
      <x:c r="H202" s="61" t="str">
        <x:v>Check manually; retrieval failure is not evidence the service is unreliable</x:v>
      </x:c>
      <x:c r="I202" s="61" t="str">
        <x:v>Unresolved reader access; website status unknown</x:v>
      </x:c>
      <x:c r="J202" s="61" t="str">
        <x:v>Fetch attempted; no usable substantive content</x:v>
      </x:c>
      <x:c r="K202" s="61" t="str"/>
      <x:c r="L202" s="70" t="str"/>
      <x:c r="M202" s="70" t="str">
        <x:v>https://post.coag.gov/s/?tabset-1eada=4b5ff</x:v>
      </x:c>
      <x:c r="N202" s="61" t="str">
        <x:v>313463264</x:v>
      </x:c>
      <x:c r="O202" s="61" t="n">
        <x:v>1051</x:v>
      </x:c>
      <x:c r="P202" s="61" t="n">
        <x:v>43</x:v>
      </x:c>
      <x:c r="Q202" s="61" t="str">
        <x:v>2026-09-15</x:v>
      </x:c>
      <x:c r="R202" s="61" t="n">
        <x:v>1</x:v>
      </x:c>
      <x:c r="S202" s="61" t="str">
        <x:v>Contacts / records</x:v>
      </x:c>
      <x:c r="T202" s="61" t="str">
        <x:v>Not established</x:v>
      </x:c>
    </x:row>
    <x:row r="203" ht="105" customHeight="1">
      <x:c r="A203" s="61" t="n">
        <x:v>1150</x:v>
      </x:c>
      <x:c r="B203" s="61" t="str">
        <x:v>Alberta Police Misconduct Database</x:v>
      </x:c>
      <x:c r="C203" s="61" t="str">
        <x:v>U</x:v>
      </x:c>
      <x:c r="D203" s="61" t="str">
        <x:v>Access unresolved</x:v>
      </x:c>
      <x:c r="E203" s="61" t="str">
        <x:v>[CAN] POLICE</x:v>
      </x:c>
      <x:c r="F203" s="61" t="str">
        <x:v>Canadian police-accountability information</x:v>
      </x:c>
      <x:c r="G203" s="61" t="str">
        <x:v>Check source documents, jurisdiction and outcome; a recorded allegation is not a substantiated finding.</x:v>
      </x:c>
      <x:c r="H203" s="61" t="str">
        <x:v>Check manually; retrieval failure is not evidence the service is unreliable</x:v>
      </x:c>
      <x:c r="I203" s="61" t="str">
        <x:v>Unresolved reader access; website status unknown</x:v>
      </x:c>
      <x:c r="J203" s="61" t="str">
        <x:v>Fetch attempted; no usable substantive content</x:v>
      </x:c>
      <x:c r="K203" s="61" t="str"/>
      <x:c r="L203" s="70" t="str"/>
      <x:c r="M203" s="70" t="str">
        <x:v>https://www.policemisconductdatabase.ca/database/</x:v>
      </x:c>
      <x:c r="N203" s="61" t="str">
        <x:v>313463077</x:v>
      </x:c>
      <x:c r="O203" s="61" t="n">
        <x:v>1051</x:v>
      </x:c>
      <x:c r="P203" s="61" t="n">
        <x:v>1</x:v>
      </x:c>
      <x:c r="Q203" s="61" t="str">
        <x:v>2026-09-15</x:v>
      </x:c>
      <x:c r="R203" s="61" t="n">
        <x:v>1</x:v>
      </x:c>
      <x:c r="S203" s="61" t="str">
        <x:v>Contacts / records</x:v>
      </x:c>
      <x:c r="T203" s="61" t="str">
        <x:v>Not established</x:v>
      </x:c>
    </x:row>
    <x:row r="204" ht="105" customHeight="1">
      <x:c r="A204" s="61" t="n">
        <x:v>1151</x:v>
      </x:c>
      <x:c r="B204" s="61" t="str">
        <x:v>RCMP Death Search</x:v>
      </x:c>
      <x:c r="C204" s="61" t="str">
        <x:v>U</x:v>
      </x:c>
      <x:c r="D204" s="61" t="str">
        <x:v>Unassessed</x:v>
      </x:c>
      <x:c r="E204" s="61" t="str">
        <x:v>[CAN] POLICE</x:v>
      </x:c>
      <x:c r="F204" s="61" t="str">
        <x:v>Canadian police-accountability information</x:v>
      </x:c>
      <x:c r="G204" s="61" t="str">
        <x:v>Check source documents, jurisdiction and outcome; a recorded allegation is not a substantiated finding.</x:v>
      </x:c>
      <x:c r="H204" s="61" t="str">
        <x:v>Verify publisher, source and current function before reliance</x:v>
      </x:c>
      <x:c r="I204" s="61" t="str">
        <x:v>Not checked</x:v>
      </x:c>
      <x:c r="J204" s="61" t="str">
        <x:v>Saved bookmark metadata only</x:v>
      </x:c>
      <x:c r="K204" s="61" t="str"/>
      <x:c r="L204" s="70" t="str"/>
      <x:c r="M204" s="70" t="str">
        <x:v>https://c0cqk108.caspio.com/dp/9156100036f195cdf0934662917c</x:v>
      </x:c>
      <x:c r="N204" s="61" t="str">
        <x:v>286946244</x:v>
      </x:c>
      <x:c r="O204" s="61" t="n">
        <x:v>1051</x:v>
      </x:c>
      <x:c r="P204" s="61" t="n">
        <x:v>2</x:v>
      </x:c>
      <x:c r="Q204" s="61" t="str"/>
      <x:c r="R204" s="61" t="n">
        <x:v>1</x:v>
      </x:c>
      <x:c r="S204" s="61" t="str">
        <x:v>Contacts / records</x:v>
      </x:c>
      <x:c r="T204" s="61" t="str">
        <x:v>Not established</x:v>
      </x:c>
    </x:row>
    <x:row r="205" ht="105" customHeight="1">
      <x:c r="A205" s="61" t="n">
        <x:v>1152</x:v>
      </x:c>
      <x:c r="B205" s="61" t="str">
        <x:v>RCMP Death Search 2</x:v>
      </x:c>
      <x:c r="C205" s="61" t="str">
        <x:v>U</x:v>
      </x:c>
      <x:c r="D205" s="61" t="str">
        <x:v>Unassessed</x:v>
      </x:c>
      <x:c r="E205" s="61" t="str">
        <x:v>[CAN] POLICE</x:v>
      </x:c>
      <x:c r="F205" s="61" t="str">
        <x:v>Canadian police-accountability information</x:v>
      </x:c>
      <x:c r="G205" s="61" t="str">
        <x:v>Check source documents, jurisdiction and outcome; a recorded allegation is not a substantiated finding.</x:v>
      </x:c>
      <x:c r="H205" s="61" t="str">
        <x:v>Verify publisher, source and current function before reliance</x:v>
      </x:c>
      <x:c r="I205" s="61" t="str">
        <x:v>Not checked</x:v>
      </x:c>
      <x:c r="J205" s="61" t="str">
        <x:v>Saved bookmark metadata only</x:v>
      </x:c>
      <x:c r="K205" s="61" t="str"/>
      <x:c r="L205" s="70" t="str"/>
      <x:c r="M205" s="70" t="str">
        <x:v>https://c0cqk108.caspio.com/dp/915610007f161cceda514e33a0b7</x:v>
      </x:c>
      <x:c r="N205" s="61" t="str">
        <x:v>286946247</x:v>
      </x:c>
      <x:c r="O205" s="61" t="n">
        <x:v>1051</x:v>
      </x:c>
      <x:c r="P205" s="61" t="n">
        <x:v>3</x:v>
      </x:c>
      <x:c r="Q205" s="61" t="str"/>
      <x:c r="R205" s="61" t="n">
        <x:v>1</x:v>
      </x:c>
      <x:c r="S205" s="61" t="str">
        <x:v>Contacts / records</x:v>
      </x:c>
      <x:c r="T205" s="61" t="str">
        <x:v>Not established</x:v>
      </x:c>
    </x:row>
    <x:row r="206" ht="105" customHeight="1">
      <x:c r="A206" s="61" t="n">
        <x:v>1153</x:v>
      </x:c>
      <x:c r="B206" s="61" t="str">
        <x:v>RCMP Death Search 3</x:v>
      </x:c>
      <x:c r="C206" s="61" t="str">
        <x:v>U</x:v>
      </x:c>
      <x:c r="D206" s="61" t="str">
        <x:v>Unassessed</x:v>
      </x:c>
      <x:c r="E206" s="61" t="str">
        <x:v>[CAN] POLICE</x:v>
      </x:c>
      <x:c r="F206" s="61" t="str">
        <x:v>Canadian police-accountability information</x:v>
      </x:c>
      <x:c r="G206" s="61" t="str">
        <x:v>Check source documents, jurisdiction and outcome; a recorded allegation is not a substantiated finding.</x:v>
      </x:c>
      <x:c r="H206" s="61" t="str">
        <x:v>Verify publisher, source and current function before reliance</x:v>
      </x:c>
      <x:c r="I206" s="61" t="str">
        <x:v>Not checked</x:v>
      </x:c>
      <x:c r="J206" s="61" t="str">
        <x:v>Saved bookmark metadata only</x:v>
      </x:c>
      <x:c r="K206" s="61" t="str"/>
      <x:c r="L206" s="70" t="str"/>
      <x:c r="M206" s="70" t="str">
        <x:v>https://b2.caspio.com/dp/91561000c38ca49de99e4ecf9619</x:v>
      </x:c>
      <x:c r="N206" s="61" t="str">
        <x:v>287037799</x:v>
      </x:c>
      <x:c r="O206" s="61" t="n">
        <x:v>1051</x:v>
      </x:c>
      <x:c r="P206" s="61" t="n">
        <x:v>4</x:v>
      </x:c>
      <x:c r="Q206" s="61" t="str"/>
      <x:c r="R206" s="61" t="n">
        <x:v>1</x:v>
      </x:c>
      <x:c r="S206" s="61" t="str">
        <x:v>Contacts / records</x:v>
      </x:c>
      <x:c r="T206" s="61" t="str">
        <x:v>Not established</x:v>
      </x:c>
    </x:row>
    <x:row r="207" ht="105" customHeight="1">
      <x:c r="A207" s="61" t="n">
        <x:v>1154</x:v>
      </x:c>
      <x:c r="B207" s="61" t="str">
        <x:v>WhosaRat.com</x:v>
      </x:c>
      <x:c r="C207" s="61" t="str">
        <x:v>U</x:v>
      </x:c>
      <x:c r="D207" s="61" t="str">
        <x:v>Unassessed</x:v>
      </x:c>
      <x:c r="E207" s="61" t="str">
        <x:v>INFORMANT</x:v>
      </x:c>
      <x:c r="F207" s="61" t="str">
        <x:v>High-consequence allegation lists</x:v>
      </x:c>
      <x:c r="G207" s="61" t="str">
        <x:v>Do not use unverified accusation lists to identify or accuse a person. No raw allegations were reviewed.</x:v>
      </x:c>
      <x:c r="H207" s="61" t="str">
        <x:v>Verify publisher, source and current function before reliance</x:v>
      </x:c>
      <x:c r="I207" s="61" t="str">
        <x:v>Not checked</x:v>
      </x:c>
      <x:c r="J207" s="61" t="str">
        <x:v>Saved bookmark metadata only</x:v>
      </x:c>
      <x:c r="K207" s="61" t="str"/>
      <x:c r="L207" s="70" t="str"/>
      <x:c r="M207" s="70" t="str">
        <x:v>https://whosarat.com/</x:v>
      </x:c>
      <x:c r="N207" s="61" t="str">
        <x:v>291767514</x:v>
      </x:c>
      <x:c r="O207" s="61" t="n">
        <x:v>1051</x:v>
      </x:c>
      <x:c r="P207" s="61" t="n">
        <x:v>1</x:v>
      </x:c>
      <x:c r="Q207" s="61" t="str"/>
      <x:c r="R207" s="61" t="n">
        <x:v>1</x:v>
      </x:c>
      <x:c r="S207" s="61" t="str">
        <x:v>Contacts / records</x:v>
      </x:c>
      <x:c r="T207" s="61" t="str">
        <x:v>Not established</x:v>
      </x:c>
    </x:row>
    <x:row r="208" ht="105" customHeight="1">
      <x:c r="A208" s="61" t="n">
        <x:v>1155</x:v>
      </x:c>
      <x:c r="B208" s="61" t="str">
        <x:v>Snitch List</x:v>
      </x:c>
      <x:c r="C208" s="61" t="str">
        <x:v>U</x:v>
      </x:c>
      <x:c r="D208" s="61" t="str">
        <x:v>Unassessed</x:v>
      </x:c>
      <x:c r="E208" s="61" t="str">
        <x:v>INFORMANT</x:v>
      </x:c>
      <x:c r="F208" s="61" t="str">
        <x:v>High-consequence allegation lists</x:v>
      </x:c>
      <x:c r="G208" s="61" t="str">
        <x:v>Do not use unverified accusation lists to identify or accuse a person. No raw allegations were reviewed.</x:v>
      </x:c>
      <x:c r="H208" s="61" t="str">
        <x:v>Verify publisher, source and current function before reliance</x:v>
      </x:c>
      <x:c r="I208" s="61" t="str">
        <x:v>Not checked</x:v>
      </x:c>
      <x:c r="J208" s="61" t="str">
        <x:v>Saved bookmark metadata only</x:v>
      </x:c>
      <x:c r="K208" s="61" t="str"/>
      <x:c r="L208" s="70" t="str"/>
      <x:c r="M208" s="70" t="str">
        <x:v>https://web.archive.org/web/20200115091633/http://sniitch.com/all/</x:v>
      </x:c>
      <x:c r="N208" s="61" t="str">
        <x:v>291767852</x:v>
      </x:c>
      <x:c r="O208" s="61" t="n">
        <x:v>1051</x:v>
      </x:c>
      <x:c r="P208" s="61" t="n">
        <x:v>2</x:v>
      </x:c>
      <x:c r="Q208" s="61" t="str"/>
      <x:c r="R208" s="61" t="n">
        <x:v>1</x:v>
      </x:c>
      <x:c r="S208" s="61" t="str">
        <x:v>Contacts / records</x:v>
      </x:c>
      <x:c r="T208" s="61" t="str">
        <x:v>Not established</x:v>
      </x:c>
    </x:row>
    <x:row r="209" ht="105" customHeight="1">
      <x:c r="A209" s="61" t="n">
        <x:v>1156</x:v>
      </x:c>
      <x:c r="B209" s="61" t="str">
        <x:v>Goldensnitches</x:v>
      </x:c>
      <x:c r="C209" s="61" t="str">
        <x:v>U</x:v>
      </x:c>
      <x:c r="D209" s="61" t="str">
        <x:v>Unassessed</x:v>
      </x:c>
      <x:c r="E209" s="61" t="str">
        <x:v>INFORMANT</x:v>
      </x:c>
      <x:c r="F209" s="61" t="str">
        <x:v>High-consequence allegation lists</x:v>
      </x:c>
      <x:c r="G209" s="61" t="str">
        <x:v>Do not use unverified accusation lists to identify or accuse a person. No raw allegations were reviewed.</x:v>
      </x:c>
      <x:c r="H209" s="61" t="str">
        <x:v>Verify publisher, source and current function before reliance</x:v>
      </x:c>
      <x:c r="I209" s="61" t="str">
        <x:v>Not checked</x:v>
      </x:c>
      <x:c r="J209" s="61" t="str">
        <x:v>Saved bookmark metadata only</x:v>
      </x:c>
      <x:c r="K209" s="61" t="str"/>
      <x:c r="L209" s="70" t="str"/>
      <x:c r="M209" s="70" t="str">
        <x:v>https://goldensnitches.com/</x:v>
      </x:c>
      <x:c r="N209" s="61" t="str">
        <x:v>291767525</x:v>
      </x:c>
      <x:c r="O209" s="61" t="n">
        <x:v>1051</x:v>
      </x:c>
      <x:c r="P209" s="61" t="n">
        <x:v>3</x:v>
      </x:c>
      <x:c r="Q209" s="61" t="str"/>
      <x:c r="R209" s="61" t="n">
        <x:v>1</x:v>
      </x:c>
      <x:c r="S209" s="61" t="str">
        <x:v>Contacts / records</x:v>
      </x:c>
      <x:c r="T209" s="61" t="str">
        <x:v>Not established</x:v>
      </x:c>
    </x:row>
    <x:row r="210" ht="105" customHeight="1">
      <x:c r="A210" s="61" t="n">
        <x:v>1157</x:v>
      </x:c>
      <x:c r="B210" s="61" t="str">
        <x:v>OSINT list of public sex offenders registers – osintme.com</x:v>
      </x:c>
      <x:c r="C210" s="61" t="str">
        <x:v>U</x:v>
      </x:c>
      <x:c r="D210" s="61" t="str">
        <x:v>Unassessed</x:v>
      </x:c>
      <x:c r="E210" s="61" t="str">
        <x:v>SEX OFFENDER</x:v>
      </x:c>
      <x:c r="F210" s="61" t="str">
        <x:v>Registry / notice information</x:v>
      </x:c>
      <x:c r="G210" s="61" t="str">
        <x:v>Use the issuing jurisdiction's current record and identifiers; discovery results are not a background-check clearance.</x:v>
      </x:c>
      <x:c r="H210" s="61" t="str">
        <x:v>Verify publisher, source and current function before reliance</x:v>
      </x:c>
      <x:c r="I210" s="61" t="str">
        <x:v>Not checked</x:v>
      </x:c>
      <x:c r="J210" s="61" t="str">
        <x:v>Saved bookmark metadata only</x:v>
      </x:c>
      <x:c r="K210" s="61" t="str"/>
      <x:c r="L210" s="70" t="str"/>
      <x:c r="M210" s="70" t="str">
        <x:v>https://www.osintme.com/index.php/2021/08/31/osint-list-of-public-sex-offenders-registers/</x:v>
      </x:c>
      <x:c r="N210" s="61" t="str">
        <x:v>290985519</x:v>
      </x:c>
      <x:c r="O210" s="61" t="n">
        <x:v>1051</x:v>
      </x:c>
      <x:c r="P210" s="61" t="n">
        <x:v>1</x:v>
      </x:c>
      <x:c r="Q210" s="61" t="str"/>
      <x:c r="R210" s="61" t="n">
        <x:v>1</x:v>
      </x:c>
      <x:c r="S210" s="61" t="str">
        <x:v>Contacts / records</x:v>
      </x:c>
      <x:c r="T210" s="61" t="str">
        <x:v>Not established</x:v>
      </x:c>
    </x:row>
    <x:row r="211" ht="105" customHeight="1">
      <x:c r="A211" s="61" t="n">
        <x:v>1158</x:v>
      </x:c>
      <x:c r="B211" s="61" t="str">
        <x:v>NSOPW</x:v>
      </x:c>
      <x:c r="C211" s="61" t="str">
        <x:v>A</x:v>
      </x:c>
      <x:c r="D211" s="61" t="str">
        <x:v>Documented</x:v>
      </x:c>
      <x:c r="E211" s="61" t="str">
        <x:v>SEX OFFENDER</x:v>
      </x:c>
      <x:c r="F211" s="61" t="str">
        <x:v>Official U.S. registry-source portal</x:v>
      </x:c>
      <x:c r="G211" s="61" t="str">
        <x:v>DOJ-linked jurisdictional registry search. Check the originating registry, identifiers and dates; it is not a general criminal-record clearance.</x:v>
      </x:c>
      <x:c r="H211" s="61" t="str">
        <x:v>Verify exact official record</x:v>
      </x:c>
      <x:c r="I211" s="61" t="str">
        <x:v>Official portal readable; no person query</x:v>
      </x:c>
      <x:c r="J211" s="61" t="str">
        <x:v>Official portal</x:v>
      </x:c>
      <x:c r="K211" s="61" t="str">
        <x:v>S048</x:v>
      </x:c>
      <x:c r="L211" s="70" t="str">
        <x:v>https://www.nsopw.gov/?home=</x:v>
      </x:c>
      <x:c r="M211" s="70" t="str">
        <x:v>https://www.nsopw.gov/</x:v>
      </x:c>
      <x:c r="N211" s="61" t="str">
        <x:v>290985455</x:v>
      </x:c>
      <x:c r="O211" s="61" t="n">
        <x:v>1051</x:v>
      </x:c>
      <x:c r="P211" s="61" t="n">
        <x:v>2</x:v>
      </x:c>
      <x:c r="Q211" s="61" t="str">
        <x:v>2026-09-15</x:v>
      </x:c>
      <x:c r="R211" s="61" t="n">
        <x:v>1</x:v>
      </x:c>
      <x:c r="S211" s="61" t="str">
        <x:v>Contacts / records</x:v>
      </x:c>
      <x:c r="T211" s="61" t="str">
        <x:v>Scoped desk assessment</x:v>
      </x:c>
    </x:row>
    <x:row r="212" ht="105" customHeight="1">
      <x:c r="A212" s="61" t="n">
        <x:v>1159</x:v>
      </x:c>
      <x:c r="B212" s="61" t="str">
        <x:v>Sex Offender Registry Websites</x:v>
      </x:c>
      <x:c r="C212" s="61" t="str">
        <x:v>A</x:v>
      </x:c>
      <x:c r="D212" s="61" t="str">
        <x:v>Documented</x:v>
      </x:c>
      <x:c r="E212" s="61" t="str">
        <x:v>SEX OFFENDER</x:v>
      </x:c>
      <x:c r="F212" s="61" t="str">
        <x:v>Official directory of registry links</x:v>
      </x:c>
      <x:c r="G212" s="61" t="str">
        <x:v>FBI links to jurisdictional resources. This is a directory, not a second independently corroborating offender record.</x:v>
      </x:c>
      <x:c r="H212" s="61" t="str">
        <x:v>Follow the original jurisdiction's record</x:v>
      </x:c>
      <x:c r="I212" s="61" t="str">
        <x:v>Old bookmark redirects to official directory</x:v>
      </x:c>
      <x:c r="J212" s="61" t="str">
        <x:v>Official agency directory</x:v>
      </x:c>
      <x:c r="K212" s="61" t="str">
        <x:v>S049</x:v>
      </x:c>
      <x:c r="L212" s="70" t="str">
        <x:v>https://www.fbi.gov/how-we-can-help-you/online-safety/sex-offender-registry</x:v>
      </x:c>
      <x:c r="M212" s="70" t="str">
        <x:v>https://www.fbi.gov/scams-and-safety/sex-offender-registry</x:v>
      </x:c>
      <x:c r="N212" s="61" t="str">
        <x:v>290985457</x:v>
      </x:c>
      <x:c r="O212" s="61" t="n">
        <x:v>1051</x:v>
      </x:c>
      <x:c r="P212" s="61" t="n">
        <x:v>3</x:v>
      </x:c>
      <x:c r="Q212" s="61" t="str">
        <x:v>2026-09-15</x:v>
      </x:c>
      <x:c r="R212" s="61" t="n">
        <x:v>1</x:v>
      </x:c>
      <x:c r="S212" s="61" t="str">
        <x:v>Contacts / records</x:v>
      </x:c>
      <x:c r="T212" s="61" t="str">
        <x:v>Scoped desk assessment</x:v>
      </x:c>
    </x:row>
    <x:row r="213" ht="105" customHeight="1">
      <x:c r="A213" s="61" t="n">
        <x:v>1160</x:v>
      </x:c>
      <x:c r="B213" s="61" t="str">
        <x:v>Sex Offender Korea</x:v>
      </x:c>
      <x:c r="C213" s="61" t="str">
        <x:v>U</x:v>
      </x:c>
      <x:c r="D213" s="61" t="str">
        <x:v>Unassessed</x:v>
      </x:c>
      <x:c r="E213" s="61" t="str">
        <x:v>SEX OFFENDER</x:v>
      </x:c>
      <x:c r="F213" s="61" t="str">
        <x:v>Registry / notice information</x:v>
      </x:c>
      <x:c r="G213" s="61" t="str">
        <x:v>Use the issuing jurisdiction's current record and identifiers; discovery results are not a background-check clearance.</x:v>
      </x:c>
      <x:c r="H213" s="61" t="str">
        <x:v>Verify publisher, source and current function before reliance</x:v>
      </x:c>
      <x:c r="I213" s="61" t="str">
        <x:v>Not checked</x:v>
      </x:c>
      <x:c r="J213" s="61" t="str">
        <x:v>Saved bookmark metadata only</x:v>
      </x:c>
      <x:c r="K213" s="61" t="str"/>
      <x:c r="L213" s="70" t="str"/>
      <x:c r="M213" s="70" t="str">
        <x:v>https://www.sexoffender.go.kr/indexN.nsc</x:v>
      </x:c>
      <x:c r="N213" s="61" t="str">
        <x:v>290985466</x:v>
      </x:c>
      <x:c r="O213" s="61" t="n">
        <x:v>1051</x:v>
      </x:c>
      <x:c r="P213" s="61" t="n">
        <x:v>4</x:v>
      </x:c>
      <x:c r="Q213" s="61" t="str"/>
      <x:c r="R213" s="61" t="n">
        <x:v>1</x:v>
      </x:c>
      <x:c r="S213" s="61" t="str">
        <x:v>Contacts / records</x:v>
      </x:c>
      <x:c r="T213" s="61" t="str">
        <x:v>Not established</x:v>
      </x:c>
    </x:row>
    <x:row r="214" ht="105" customHeight="1">
      <x:c r="A214" s="61" t="n">
        <x:v>1161</x:v>
      </x:c>
      <x:c r="B214" s="61" t="str">
        <x:v>Manitoba Sex Offender</x:v>
      </x:c>
      <x:c r="C214" s="61" t="str">
        <x:v>A</x:v>
      </x:c>
      <x:c r="D214" s="61" t="str">
        <x:v>Documented</x:v>
      </x:c>
      <x:c r="E214" s="61" t="str">
        <x:v>SEX OFFENDER</x:v>
      </x:c>
      <x:c r="F214" s="61" t="str">
        <x:v>Official Manitoba public notices</x:v>
      </x:c>
      <x:c r="G214" s="61" t="str">
        <x:v>Official public-notification page. Its scope is specific notices, not a complete Canada-wide list or a general background check.</x:v>
      </x:c>
      <x:c r="H214" s="61" t="str">
        <x:v>Verify exact official record</x:v>
      </x:c>
      <x:c r="I214" s="61" t="str">
        <x:v>Agency page readable; no person query</x:v>
      </x:c>
      <x:c r="J214" s="61" t="str">
        <x:v>Official agency page</x:v>
      </x:c>
      <x:c r="K214" s="61" t="str">
        <x:v>S050</x:v>
      </x:c>
      <x:c r="L214" s="70" t="str">
        <x:v>https://www.gov.mb.ca/justice/commsafe/notification/index.html</x:v>
      </x:c>
      <x:c r="M214" s="70" t="str">
        <x:v>https://www.gov.mb.ca/justice/commsafe/notification/index.html</x:v>
      </x:c>
      <x:c r="N214" s="61" t="str">
        <x:v>290985470</x:v>
      </x:c>
      <x:c r="O214" s="61" t="n">
        <x:v>1051</x:v>
      </x:c>
      <x:c r="P214" s="61" t="n">
        <x:v>5</x:v>
      </x:c>
      <x:c r="Q214" s="61" t="str">
        <x:v>2026-09-15</x:v>
      </x:c>
      <x:c r="R214" s="61" t="n">
        <x:v>1</x:v>
      </x:c>
      <x:c r="S214" s="61" t="str">
        <x:v>Contacts / records</x:v>
      </x:c>
      <x:c r="T214" s="61" t="str">
        <x:v>Scoped desk assessment</x:v>
      </x:c>
    </x:row>
    <x:row r="215" ht="105" customHeight="1">
      <x:c r="A215" s="61" t="n">
        <x:v>1162</x:v>
      </x:c>
      <x:c r="B215" s="61" t="str">
        <x:v>Convicted Alberta Sex Offender</x:v>
      </x:c>
      <x:c r="C215" s="61" t="str">
        <x:v>U</x:v>
      </x:c>
      <x:c r="D215" s="61" t="str">
        <x:v>Unassessed</x:v>
      </x:c>
      <x:c r="E215" s="61" t="str">
        <x:v>SEX OFFENDER</x:v>
      </x:c>
      <x:c r="F215" s="61" t="str">
        <x:v>Registry / notice information</x:v>
      </x:c>
      <x:c r="G215" s="61" t="str">
        <x:v>Use the issuing jurisdiction's current record and identifiers; discovery results are not a background-check clearance.</x:v>
      </x:c>
      <x:c r="H215" s="61" t="str">
        <x:v>Verify publisher, source and current function before reliance</x:v>
      </x:c>
      <x:c r="I215" s="61" t="str">
        <x:v>Not checked</x:v>
      </x:c>
      <x:c r="J215" s="61" t="str">
        <x:v>Saved bookmark metadata only</x:v>
      </x:c>
      <x:c r="K215" s="61" t="str"/>
      <x:c r="L215" s="70" t="str"/>
      <x:c r="M215" s="70" t="str">
        <x:v>http://stoppedophiles.ca/convicted-AB.html</x:v>
      </x:c>
      <x:c r="N215" s="61" t="str">
        <x:v>290985475</x:v>
      </x:c>
      <x:c r="O215" s="61" t="n">
        <x:v>1051</x:v>
      </x:c>
      <x:c r="P215" s="61" t="n">
        <x:v>6</x:v>
      </x:c>
      <x:c r="Q215" s="61" t="str"/>
      <x:c r="R215" s="61" t="n">
        <x:v>1</x:v>
      </x:c>
      <x:c r="S215" s="61" t="str">
        <x:v>Contacts / records</x:v>
      </x:c>
      <x:c r="T215" s="61" t="str">
        <x:v>Not established</x:v>
      </x:c>
    </x:row>
    <x:row r="216" ht="105" customHeight="1">
      <x:c r="A216" s="61" t="n">
        <x:v>1163</x:v>
      </x:c>
      <x:c r="B216" s="61" t="str">
        <x:v>Convicted Sex Offenders List</x:v>
      </x:c>
      <x:c r="C216" s="61" t="str">
        <x:v>U</x:v>
      </x:c>
      <x:c r="D216" s="61" t="str">
        <x:v>Unassessed</x:v>
      </x:c>
      <x:c r="E216" s="61" t="str">
        <x:v>SEX OFFENDER</x:v>
      </x:c>
      <x:c r="F216" s="61" t="str">
        <x:v>Registry / notice information</x:v>
      </x:c>
      <x:c r="G216" s="61" t="str">
        <x:v>Use the issuing jurisdiction's current record and identifiers; discovery results are not a background-check clearance.</x:v>
      </x:c>
      <x:c r="H216" s="61" t="str">
        <x:v>Verify publisher, source and current function before reliance</x:v>
      </x:c>
      <x:c r="I216" s="61" t="str">
        <x:v>Not checked</x:v>
      </x:c>
      <x:c r="J216" s="61" t="str">
        <x:v>Saved bookmark metadata only</x:v>
      </x:c>
      <x:c r="K216" s="61" t="str"/>
      <x:c r="L216" s="70" t="str"/>
      <x:c r="M216" s="70" t="str">
        <x:v>https://www.ibbclaims.co.uk/site/services/child-abuse-and-trafficking/convicted-offenders/</x:v>
      </x:c>
      <x:c r="N216" s="61" t="str">
        <x:v>290985478</x:v>
      </x:c>
      <x:c r="O216" s="61" t="n">
        <x:v>1051</x:v>
      </x:c>
      <x:c r="P216" s="61" t="n">
        <x:v>7</x:v>
      </x:c>
      <x:c r="Q216" s="61" t="str"/>
      <x:c r="R216" s="61" t="n">
        <x:v>1</x:v>
      </x:c>
      <x:c r="S216" s="61" t="str">
        <x:v>Contacts / records</x:v>
      </x:c>
      <x:c r="T216" s="61" t="str">
        <x:v>Not established</x:v>
      </x:c>
    </x:row>
    <x:row r="217" ht="105" customHeight="1">
      <x:c r="A217" s="61" t="n">
        <x:v>1164</x:v>
      </x:c>
      <x:c r="B217" s="61" t="str">
        <x:v>Family Watchdog</x:v>
      </x:c>
      <x:c r="C217" s="61" t="str">
        <x:v>U</x:v>
      </x:c>
      <x:c r="D217" s="61" t="str">
        <x:v>Unassessed</x:v>
      </x:c>
      <x:c r="E217" s="61" t="str">
        <x:v>SEX OFFENDER</x:v>
      </x:c>
      <x:c r="F217" s="61" t="str">
        <x:v>Registry / notice information</x:v>
      </x:c>
      <x:c r="G217" s="61" t="str">
        <x:v>Use the issuing jurisdiction's current record and identifiers; discovery results are not a background-check clearance.</x:v>
      </x:c>
      <x:c r="H217" s="61" t="str">
        <x:v>Verify publisher, source and current function before reliance</x:v>
      </x:c>
      <x:c r="I217" s="61" t="str">
        <x:v>Not checked</x:v>
      </x:c>
      <x:c r="J217" s="61" t="str">
        <x:v>Saved bookmark metadata only</x:v>
      </x:c>
      <x:c r="K217" s="61" t="str"/>
      <x:c r="L217" s="70" t="str"/>
      <x:c r="M217" s="70" t="str">
        <x:v>https://www.familywatchdog.us/</x:v>
      </x:c>
      <x:c r="N217" s="61" t="str">
        <x:v>268467687</x:v>
      </x:c>
      <x:c r="O217" s="61" t="n">
        <x:v>1051</x:v>
      </x:c>
      <x:c r="P217" s="61" t="n">
        <x:v>8</x:v>
      </x:c>
      <x:c r="Q217" s="61" t="str"/>
      <x:c r="R217" s="61" t="n">
        <x:v>1</x:v>
      </x:c>
      <x:c r="S217" s="61" t="str">
        <x:v>Contacts / records</x:v>
      </x:c>
      <x:c r="T217" s="61" t="str">
        <x:v>Not established</x:v>
      </x:c>
    </x:row>
    <x:row r="218" ht="105" customHeight="1">
      <x:c r="A218" s="61" t="n">
        <x:v>1165</x:v>
      </x:c>
      <x:c r="B218" s="61" t="str">
        <x:v>Nigeria Sexual Offenders Registers</x:v>
      </x:c>
      <x:c r="C218" s="61" t="str">
        <x:v>U</x:v>
      </x:c>
      <x:c r="D218" s="61" t="str">
        <x:v>Unassessed</x:v>
      </x:c>
      <x:c r="E218" s="61" t="str">
        <x:v>SEX OFFENDER</x:v>
      </x:c>
      <x:c r="F218" s="61" t="str">
        <x:v>Registry / notice information</x:v>
      </x:c>
      <x:c r="G218" s="61" t="str">
        <x:v>Use the issuing jurisdiction's current record and identifiers; discovery results are not a background-check clearance.</x:v>
      </x:c>
      <x:c r="H218" s="61" t="str">
        <x:v>Verify publisher, source and current function before reliance</x:v>
      </x:c>
      <x:c r="I218" s="61" t="str">
        <x:v>Not checked</x:v>
      </x:c>
      <x:c r="J218" s="61" t="str">
        <x:v>Saved bookmark metadata only</x:v>
      </x:c>
      <x:c r="K218" s="61" t="str"/>
      <x:c r="L218" s="70" t="str"/>
      <x:c r="M218" s="70" t="str">
        <x:v>https://nsod.naptip.gov.ng/view_cases.php</x:v>
      </x:c>
      <x:c r="N218" s="61" t="str">
        <x:v>290985508</x:v>
      </x:c>
      <x:c r="O218" s="61" t="n">
        <x:v>1051</x:v>
      </x:c>
      <x:c r="P218" s="61" t="n">
        <x:v>9</x:v>
      </x:c>
      <x:c r="Q218" s="61" t="str"/>
      <x:c r="R218" s="61" t="n">
        <x:v>1</x:v>
      </x:c>
      <x:c r="S218" s="61" t="str">
        <x:v>Contacts / records</x:v>
      </x:c>
      <x:c r="T218" s="61" t="str">
        <x:v>Not established</x:v>
      </x:c>
    </x:row>
    <x:row r="219" ht="105" customHeight="1">
      <x:c r="A219" s="61" t="n">
        <x:v>1166</x:v>
      </x:c>
      <x:c r="B219" s="61" t="str">
        <x:v>Rejestr Sprawców Przestępstw na Tle Seksualnym</x:v>
      </x:c>
      <x:c r="C219" s="61" t="str">
        <x:v>U</x:v>
      </x:c>
      <x:c r="D219" s="61" t="str">
        <x:v>Unassessed</x:v>
      </x:c>
      <x:c r="E219" s="61" t="str">
        <x:v>SEX OFFENDER</x:v>
      </x:c>
      <x:c r="F219" s="61" t="str">
        <x:v>Registry / notice information</x:v>
      </x:c>
      <x:c r="G219" s="61" t="str">
        <x:v>Use the issuing jurisdiction's current record and identifiers; discovery results are not a background-check clearance.</x:v>
      </x:c>
      <x:c r="H219" s="61" t="str">
        <x:v>Verify publisher, source and current function before reliance</x:v>
      </x:c>
      <x:c r="I219" s="61" t="str">
        <x:v>Not checked</x:v>
      </x:c>
      <x:c r="J219" s="61" t="str">
        <x:v>Saved bookmark metadata only</x:v>
      </x:c>
      <x:c r="K219" s="61" t="str"/>
      <x:c r="L219" s="70" t="str"/>
      <x:c r="M219" s="70" t="str">
        <x:v>https://rps.ms.gov.pl/pl-PL/Public#/home</x:v>
      </x:c>
      <x:c r="N219" s="61" t="str">
        <x:v>290985511</x:v>
      </x:c>
      <x:c r="O219" s="61" t="n">
        <x:v>1051</x:v>
      </x:c>
      <x:c r="P219" s="61" t="n">
        <x:v>10</x:v>
      </x:c>
      <x:c r="Q219" s="61" t="str"/>
      <x:c r="R219" s="61" t="n">
        <x:v>1</x:v>
      </x:c>
      <x:c r="S219" s="61" t="str">
        <x:v>Contacts / records</x:v>
      </x:c>
      <x:c r="T219" s="61" t="str">
        <x:v>Not established</x:v>
      </x:c>
    </x:row>
    <x:row r="220" ht="105" customHeight="1">
      <x:c r="A220" s="61" t="n">
        <x:v>1167</x:v>
      </x:c>
      <x:c r="B220" s="61" t="str">
        <x:v>Maldives Sex Offender</x:v>
      </x:c>
      <x:c r="C220" s="61" t="str">
        <x:v>U</x:v>
      </x:c>
      <x:c r="D220" s="61" t="str">
        <x:v>Unassessed</x:v>
      </x:c>
      <x:c r="E220" s="61" t="str">
        <x:v>SEX OFFENDER</x:v>
      </x:c>
      <x:c r="F220" s="61" t="str">
        <x:v>Registry / notice information</x:v>
      </x:c>
      <x:c r="G220" s="61" t="str">
        <x:v>Use the issuing jurisdiction's current record and identifiers; discovery results are not a background-check clearance.</x:v>
      </x:c>
      <x:c r="H220" s="61" t="str">
        <x:v>Verify publisher, source and current function before reliance</x:v>
      </x:c>
      <x:c r="I220" s="61" t="str">
        <x:v>Not checked</x:v>
      </x:c>
      <x:c r="J220" s="61" t="str">
        <x:v>Saved bookmark metadata only</x:v>
      </x:c>
      <x:c r="K220" s="61" t="str"/>
      <x:c r="L220" s="70" t="str"/>
      <x:c r="M220" s="70" t="str">
        <x:v>http://www.offenders.mv/offenders/</x:v>
      </x:c>
      <x:c r="N220" s="61" t="str">
        <x:v>290985515</x:v>
      </x:c>
      <x:c r="O220" s="61" t="n">
        <x:v>1051</x:v>
      </x:c>
      <x:c r="P220" s="61" t="n">
        <x:v>11</x:v>
      </x:c>
      <x:c r="Q220" s="61" t="str"/>
      <x:c r="R220" s="61" t="n">
        <x:v>1</x:v>
      </x:c>
      <x:c r="S220" s="61" t="str">
        <x:v>Contacts / records</x:v>
      </x:c>
      <x:c r="T220" s="61" t="str">
        <x:v>Not established</x:v>
      </x:c>
    </x:row>
    <x:row r="221" ht="105" customHeight="1">
      <x:c r="A221" s="61" t="n">
        <x:v>1168</x:v>
      </x:c>
      <x:c r="B221" s="61" t="str">
        <x:v>Michigan Resident Database</x:v>
      </x:c>
      <x:c r="C221" s="61" t="str">
        <x:v>U</x:v>
      </x:c>
      <x:c r="D221" s="61" t="str">
        <x:v>Unassessed</x:v>
      </x:c>
      <x:c r="E221" s="61" t="str">
        <x:v>RESIDENT DATABASE</x:v>
      </x:c>
      <x:c r="F221" s="61" t="str">
        <x:v>Resident / property-related information</x:v>
      </x:c>
      <x:c r="G221" s="61" t="str">
        <x:v>Verify origin and record date. An inferred resident or property association does not prove current residence.</x:v>
      </x:c>
      <x:c r="H221" s="61" t="str">
        <x:v>Verify publisher, source and current function before reliance</x:v>
      </x:c>
      <x:c r="I221" s="61" t="str">
        <x:v>Not checked</x:v>
      </x:c>
      <x:c r="J221" s="61" t="str">
        <x:v>Saved bookmark metadata only</x:v>
      </x:c>
      <x:c r="K221" s="61" t="str"/>
      <x:c r="L221" s="70" t="str"/>
      <x:c r="M221" s="70" t="str">
        <x:v>https://www.michiganresidentdatabase.com/</x:v>
      </x:c>
      <x:c r="N221" s="61" t="str">
        <x:v>271647019</x:v>
      </x:c>
      <x:c r="O221" s="61" t="n">
        <x:v>1051</x:v>
      </x:c>
      <x:c r="P221" s="61" t="n">
        <x:v>1</x:v>
      </x:c>
      <x:c r="Q221" s="61" t="str"/>
      <x:c r="R221" s="61" t="n">
        <x:v>1</x:v>
      </x:c>
      <x:c r="S221" s="61" t="str">
        <x:v>Contacts / records</x:v>
      </x:c>
      <x:c r="T221" s="61" t="str">
        <x:v>Not established</x:v>
      </x:c>
    </x:row>
    <x:row r="222" ht="105" customHeight="1">
      <x:c r="A222" s="61" t="n">
        <x:v>1169</x:v>
      </x:c>
      <x:c r="B222" s="61" t="str">
        <x:v>Ohio Resident Database</x:v>
      </x:c>
      <x:c r="C222" s="61" t="str">
        <x:v>U</x:v>
      </x:c>
      <x:c r="D222" s="61" t="str">
        <x:v>Unassessed</x:v>
      </x:c>
      <x:c r="E222" s="61" t="str">
        <x:v>RESIDENT DATABASE</x:v>
      </x:c>
      <x:c r="F222" s="61" t="str">
        <x:v>Resident / property-related information</x:v>
      </x:c>
      <x:c r="G222" s="61" t="str">
        <x:v>Verify origin and record date. An inferred resident or property association does not prove current residence.</x:v>
      </x:c>
      <x:c r="H222" s="61" t="str">
        <x:v>Verify publisher, source and current function before reliance</x:v>
      </x:c>
      <x:c r="I222" s="61" t="str">
        <x:v>Not checked</x:v>
      </x:c>
      <x:c r="J222" s="61" t="str">
        <x:v>Saved bookmark metadata only</x:v>
      </x:c>
      <x:c r="K222" s="61" t="str"/>
      <x:c r="L222" s="70" t="str"/>
      <x:c r="M222" s="70" t="str">
        <x:v>https://www.ohioresidentdatabase.com/</x:v>
      </x:c>
      <x:c r="N222" s="61" t="str">
        <x:v>268513099</x:v>
      </x:c>
      <x:c r="O222" s="61" t="n">
        <x:v>1051</x:v>
      </x:c>
      <x:c r="P222" s="61" t="n">
        <x:v>2</x:v>
      </x:c>
      <x:c r="Q222" s="61" t="str"/>
      <x:c r="R222" s="61" t="n">
        <x:v>1</x:v>
      </x:c>
      <x:c r="S222" s="61" t="str">
        <x:v>Contacts / records</x:v>
      </x:c>
      <x:c r="T222" s="61" t="str">
        <x:v>Not established</x:v>
      </x:c>
    </x:row>
    <x:row r="223" ht="105" customHeight="1">
      <x:c r="A223" s="61" t="n">
        <x:v>1170</x:v>
      </x:c>
      <x:c r="B223" s="61" t="str">
        <x:v>Florida Residents Directory</x:v>
      </x:c>
      <x:c r="C223" s="61" t="str">
        <x:v>U</x:v>
      </x:c>
      <x:c r="D223" s="61" t="str">
        <x:v>Unassessed</x:v>
      </x:c>
      <x:c r="E223" s="61" t="str">
        <x:v>RESIDENT DATABASE</x:v>
      </x:c>
      <x:c r="F223" s="61" t="str">
        <x:v>Resident / property-related information</x:v>
      </x:c>
      <x:c r="G223" s="61" t="str">
        <x:v>Verify origin and record date. An inferred resident or property association does not prove current residence.</x:v>
      </x:c>
      <x:c r="H223" s="61" t="str">
        <x:v>Verify publisher, source and current function before reliance</x:v>
      </x:c>
      <x:c r="I223" s="61" t="str">
        <x:v>Not checked</x:v>
      </x:c>
      <x:c r="J223" s="61" t="str">
        <x:v>Saved bookmark metadata only</x:v>
      </x:c>
      <x:c r="K223" s="61" t="str"/>
      <x:c r="L223" s="70" t="str"/>
      <x:c r="M223" s="70" t="str">
        <x:v>https://www.floridaresidentsdirectory.com/</x:v>
      </x:c>
      <x:c r="N223" s="61" t="str">
        <x:v>271647027</x:v>
      </x:c>
      <x:c r="O223" s="61" t="n">
        <x:v>1051</x:v>
      </x:c>
      <x:c r="P223" s="61" t="n">
        <x:v>3</x:v>
      </x:c>
      <x:c r="Q223" s="61" t="str"/>
      <x:c r="R223" s="61" t="n">
        <x:v>1</x:v>
      </x:c>
      <x:c r="S223" s="61" t="str">
        <x:v>Contacts / records</x:v>
      </x:c>
      <x:c r="T223" s="61" t="str">
        <x:v>Not established</x:v>
      </x:c>
    </x:row>
    <x:row r="224" ht="105" customHeight="1">
      <x:c r="A224" s="61" t="n">
        <x:v>1171</x:v>
      </x:c>
      <x:c r="B224" s="61" t="str">
        <x:v>North Carolina Resident Database</x:v>
      </x:c>
      <x:c r="C224" s="61" t="str">
        <x:v>U</x:v>
      </x:c>
      <x:c r="D224" s="61" t="str">
        <x:v>Unassessed</x:v>
      </x:c>
      <x:c r="E224" s="61" t="str">
        <x:v>RESIDENT DATABASE</x:v>
      </x:c>
      <x:c r="F224" s="61" t="str">
        <x:v>Resident / property-related information</x:v>
      </x:c>
      <x:c r="G224" s="61" t="str">
        <x:v>Verify origin and record date. An inferred resident or property association does not prove current residence.</x:v>
      </x:c>
      <x:c r="H224" s="61" t="str">
        <x:v>Verify publisher, source and current function before reliance</x:v>
      </x:c>
      <x:c r="I224" s="61" t="str">
        <x:v>Not checked</x:v>
      </x:c>
      <x:c r="J224" s="61" t="str">
        <x:v>Saved bookmark metadata only</x:v>
      </x:c>
      <x:c r="K224" s="61" t="str"/>
      <x:c r="L224" s="70" t="str"/>
      <x:c r="M224" s="70" t="str">
        <x:v>https://northcarolinaresidentdatabase.com/</x:v>
      </x:c>
      <x:c r="N224" s="61" t="str">
        <x:v>271647295</x:v>
      </x:c>
      <x:c r="O224" s="61" t="n">
        <x:v>1051</x:v>
      </x:c>
      <x:c r="P224" s="61" t="n">
        <x:v>4</x:v>
      </x:c>
      <x:c r="Q224" s="61" t="str"/>
      <x:c r="R224" s="61" t="n">
        <x:v>1</x:v>
      </x:c>
      <x:c r="S224" s="61" t="str">
        <x:v>Contacts / records</x:v>
      </x:c>
      <x:c r="T224" s="61" t="str">
        <x:v>Not established</x:v>
      </x:c>
    </x:row>
    <x:row r="225" ht="105" customHeight="1">
      <x:c r="A225" s="61" t="n">
        <x:v>1172</x:v>
      </x:c>
      <x:c r="B225" s="61" t="str">
        <x:v>NY Rent Regulated Building Search</x:v>
      </x:c>
      <x:c r="C225" s="61" t="str">
        <x:v>U</x:v>
      </x:c>
      <x:c r="D225" s="61" t="str">
        <x:v>Access unresolved</x:v>
      </x:c>
      <x:c r="E225" s="61" t="str">
        <x:v>RESIDENT DATABASE</x:v>
      </x:c>
      <x:c r="F225" s="61" t="str">
        <x:v>Resident / property-related information</x:v>
      </x:c>
      <x:c r="G225" s="61" t="str">
        <x:v>Verify origin and record date. An inferred resident or property association does not prove current residence.</x:v>
      </x:c>
      <x:c r="H225" s="61" t="str">
        <x:v>Check manually; retrieval failure is not evidence the service is unreliable</x:v>
      </x:c>
      <x:c r="I225" s="61" t="str">
        <x:v>Unresolved reader access; website status unknown</x:v>
      </x:c>
      <x:c r="J225" s="61" t="str">
        <x:v>Fetch attempted; no usable substantive content</x:v>
      </x:c>
      <x:c r="K225" s="61" t="str"/>
      <x:c r="L225" s="70" t="str"/>
      <x:c r="M225" s="70" t="str">
        <x:v>https://apps.hcr.ny.gov/BuildingSearch/</x:v>
      </x:c>
      <x:c r="N225" s="61" t="str">
        <x:v>271268696</x:v>
      </x:c>
      <x:c r="O225" s="61" t="n">
        <x:v>1051</x:v>
      </x:c>
      <x:c r="P225" s="61" t="n">
        <x:v>5</x:v>
      </x:c>
      <x:c r="Q225" s="61" t="str">
        <x:v>2026-09-15</x:v>
      </x:c>
      <x:c r="R225" s="61" t="n">
        <x:v>1</x:v>
      </x:c>
      <x:c r="S225" s="61" t="str">
        <x:v>Contacts / records</x:v>
      </x:c>
      <x:c r="T225" s="61" t="str">
        <x:v>Not established</x:v>
      </x:c>
    </x:row>
  </x:sheetData>
  <x:mergeCells>
    <x:mergeCell ref="A1:J1"/>
    <x:mergeCell ref="A2:J3"/>
  </x:mergeCells>
  <x:conditionalFormatting sqref="C6:C225">
    <x:cfRule type="expression" dxfId="7" priority="1">
      <x:formula>C6="A"</x:formula>
    </x:cfRule>
    <x:cfRule type="expression" dxfId="8" priority="2">
      <x:formula>C6="B"</x:formula>
    </x:cfRule>
    <x:cfRule type="expression" dxfId="9" priority="3">
      <x:formula>C6="C"</x:formula>
    </x:cfRule>
    <x:cfRule type="expression" dxfId="10" priority="4">
      <x:formula>C6="D"</x:formula>
    </x:cfRule>
    <x:cfRule type="expression" dxfId="11" priority="5">
      <x:formula>C6="C-P"</x:formula>
    </x:cfRule>
    <x:cfRule type="expression" dxfId="12" priority="6">
      <x:formula>C6="U"</x:formula>
    </x:cfRule>
    <x:cfRule type="expression" dxfId="13" priority="7">
      <x:formula>C6="N/A"</x:formula>
    </x:cfRule>
  </x:conditionalFormatting>
  <x:pageMargins left="0.7" right="0.7" top="0.75" bottom="0.75" header="0.3" footer="0.3"/>
  <x:tableParts count="1">
    <x:tablePart xmlns:r="http://schemas.openxmlformats.org/officeDocument/2006/relationships" r:id="R89fc5f31b88049f0"/>
  </x:tableParts>
</x:worksheet>
</file>

<file path=xl/worksheets/sheet6.xml><?xml version="1.0" encoding="utf-8"?>
<x:worksheet xmlns:x="http://schemas.openxmlformats.org/spreadsheetml/2006/main">
  <x:sheetFormatPr defaultRowHeight="15"/>
  <x:cols>
    <x:col min="1" max="1" width="12" hidden="0" customWidth="1"/>
    <x:col min="2" max="2" width="65" hidden="0" customWidth="1"/>
    <x:col min="3" max="3" width="27" hidden="0" customWidth="1"/>
    <x:col min="4" max="4" width="85" hidden="0" customWidth="1"/>
    <x:col min="5" max="5" width="15" hidden="0" customWidth="1"/>
    <x:col min="6" max="6" width="26" hidden="0" customWidth="1"/>
  </x:cols>
  <x:sheetData>
    <x:row r="1" ht="38" customHeight="1">
      <x:c r="A1" s="6" t="str">
        <x:v>SOURCES | supporting documents</x:v>
      </x:c>
      <x:c r="B1" s="6"/>
      <x:c r="C1" s="6"/>
      <x:c r="D1" s="6"/>
      <x:c r="E1" s="6"/>
      <x:c r="F1" s="6"/>
    </x:row>
    <x:row r="2">
      <x:c r="A2" s="58" t="str">
        <x:v>Evidence IDs used in the audit. Landing-page and vendor statements establish claimed scope, not independently measured performance. Failed retrievals are recorded on each resource row.</x:v>
      </x:c>
      <x:c r="B2" s="58"/>
      <x:c r="C2" s="58"/>
      <x:c r="D2" s="58"/>
      <x:c r="E2" s="58"/>
      <x:c r="F2" s="58"/>
    </x:row>
    <x:row r="3">
      <x:c r="A3" s="58"/>
      <x:c r="B3" s="58"/>
      <x:c r="C3" s="58"/>
      <x:c r="D3" s="58"/>
      <x:c r="E3" s="58"/>
      <x:c r="F3" s="58"/>
    </x:row>
    <x:row r="5" ht="30" customHeight="1">
      <x:c r="A5" s="66" t="str">
        <x:v>Source ID</x:v>
      </x:c>
      <x:c r="B5" s="66" t="str">
        <x:v>Evidence URL</x:v>
      </x:c>
      <x:c r="C5" s="66" t="str">
        <x:v>Review method</x:v>
      </x:c>
      <x:c r="D5" s="66" t="str">
        <x:v>Supported assessment / limitation</x:v>
      </x:c>
      <x:c r="E5" s="66" t="str">
        <x:v>Checked on</x:v>
      </x:c>
      <x:c r="F5" s="66" t="str">
        <x:v>Bookmark IDs</x:v>
      </x:c>
    </x:row>
    <x:row r="6" ht="70" customHeight="1">
      <x:c r="A6" s="61" t="str">
        <x:v>S001</x:v>
      </x:c>
      <x:c r="B6" s="70" t="str">
        <x:v>https://www.idcrawl.com/</x:v>
      </x:c>
      <x:c r="C6" s="61" t="str">
        <x:v>Provider landing page</x:v>
      </x:c>
      <x:c r="D6" s="61" t="str">
        <x:v>Aggregates profiles and public-record leads. Marketing claims were not independently validated; resolve identity at the original page.</x:v>
      </x:c>
      <x:c r="E6" s="61" t="str">
        <x:v>2026-09-15</x:v>
      </x:c>
      <x:c r="F6" s="61" t="str">
        <x:v>306, 334, 379</x:v>
      </x:c>
    </x:row>
    <x:row r="7" ht="70" customHeight="1">
      <x:c r="A7" s="61" t="str">
        <x:v>S002</x:v>
      </x:c>
      <x:c r="B7" s="70" t="str">
        <x:v>https://webmii.com/</x:v>
      </x:c>
      <x:c r="C7" s="61" t="str">
        <x:v>Provider landing page</x:v>
      </x:c>
      <x:c r="D7" s="61" t="str">
        <x:v>Searches public-web information and offers keyword filtering for homonyms; not an identity-verification record.</x:v>
      </x:c>
      <x:c r="E7" s="61" t="str">
        <x:v>2026-09-15</x:v>
      </x:c>
      <x:c r="F7" s="61" t="str">
        <x:v>307</x:v>
      </x:c>
    </x:row>
    <x:row r="8" ht="70" customHeight="1">
      <x:c r="A8" s="61" t="str">
        <x:v>S003</x:v>
      </x:c>
      <x:c r="B8" s="70" t="str">
        <x:v>https://intelx.io/tools</x:v>
      </x:c>
      <x:c r="C8" s="61" t="str">
        <x:v>Provider documentation</x:v>
      </x:c>
      <x:c r="D8" s="61" t="str">
        <x:v>Routes searches to other services and disclaims their results. Multiple routed results are not automatically independent evidence.</x:v>
      </x:c>
      <x:c r="E8" s="61" t="str">
        <x:v>2026-09-15</x:v>
      </x:c>
      <x:c r="F8" s="61" t="str">
        <x:v>308, 335, 353, 664, 709</x:v>
      </x:c>
    </x:row>
    <x:row r="9" ht="70" customHeight="1">
      <x:c r="A9" s="61" t="str">
        <x:v>S004</x:v>
      </x:c>
      <x:c r="B9" s="70" t="str">
        <x:v>https://www.peoplefinder.com/</x:v>
      </x:c>
      <x:c r="C9" s="61" t="str">
        <x:v>Provider landing page</x:v>
      </x:c>
      <x:c r="D9" s="61" t="str">
        <x:v>The page identifies Intelius as provider. Treat relationship/background claims as leads, not original records; listed FCRA uses are prohibited by its terms notice.</x:v>
      </x:c>
      <x:c r="E9" s="61" t="str">
        <x:v>2026-09-15</x:v>
      </x:c>
      <x:c r="F9" s="61" t="str">
        <x:v>310</x:v>
      </x:c>
    </x:row>
    <x:row r="10" ht="70" customHeight="1">
      <x:c r="A10" s="61" t="str">
        <x:v>S005</x:v>
      </x:c>
      <x:c r="B10" s="70" t="str">
        <x:v>https://www.192.com/</x:v>
      </x:c>
      <x:c r="C10" s="61" t="str">
        <x:v>Provider landing page</x:v>
      </x:c>
      <x:c r="D10" s="61" t="str">
        <x:v>Directory/electoral-roll discovery. Preserve the source year and record type; do not infer a current relationship from a shared listing.</x:v>
      </x:c>
      <x:c r="E10" s="61" t="str">
        <x:v>2026-09-15</x:v>
      </x:c>
      <x:c r="F10" s="61" t="str">
        <x:v>317</x:v>
      </x:c>
    </x:row>
    <x:row r="11" ht="70" customHeight="1">
      <x:c r="A11" s="61" t="str">
        <x:v>S006</x:v>
      </x:c>
      <x:c r="B11" s="70" t="str">
        <x:v>https://www.infobel.com/</x:v>
      </x:c>
      <x:c r="C11" s="61" t="str">
        <x:v>Provider landing page</x:v>
      </x:c>
      <x:c r="D11" s="61" t="str">
        <x:v>Current landing page is an international business directory; the saved label 'International' is not a promise of complete people coverage.</x:v>
      </x:c>
      <x:c r="E11" s="61" t="str">
        <x:v>2026-09-15</x:v>
      </x:c>
      <x:c r="F11" s="61" t="str">
        <x:v>318</x:v>
      </x:c>
    </x:row>
    <x:row r="12" ht="70" customHeight="1">
      <x:c r="A12" s="61" t="str">
        <x:v>S007</x:v>
      </x:c>
      <x:c r="B12" s="70" t="str">
        <x:v>https://www.aware-online.com/en/osint-tools/people-search-tool/</x:v>
      </x:c>
      <x:c r="C12" s="61" t="str">
        <x:v>Provider documentation</x:v>
      </x:c>
      <x:c r="D12" s="61" t="str">
        <x:v>Generates searches for external engines. Assess the originating result rather than counting this tool as corroboration.</x:v>
      </x:c>
      <x:c r="E12" s="61" t="str">
        <x:v>2026-09-15</x:v>
      </x:c>
      <x:c r="F12" s="61" t="str">
        <x:v>319</x:v>
      </x:c>
    </x:row>
    <x:row r="13" ht="70" customHeight="1">
      <x:c r="A13" s="61" t="str">
        <x:v>S008</x:v>
      </x:c>
      <x:c r="B13" s="70" t="str">
        <x:v>https://www.ftc.gov/news-events/news/press-releases/2023/09/ftc-says-truthfinder-instant-checkmate-deceived-users-about-background-report-accuracy-violated-fcra</x:v>
      </x:c>
      <x:c r="C13" s="61" t="str">
        <x:v>Regulatory source</x:v>
      </x:c>
      <x:c r="D13" s="61" t="str">
        <x:v>FTC's 2023 complaint/settlement announcement documented accuracy and verification concerns. Historical caution, not a measured present-day error rate.</x:v>
      </x:c>
      <x:c r="E13" s="61" t="str">
        <x:v>2026-09-15</x:v>
      </x:c>
      <x:c r="F13" s="61" t="str">
        <x:v>324</x:v>
      </x:c>
    </x:row>
    <x:row r="14" ht="70" customHeight="1">
      <x:c r="A14" s="61" t="str">
        <x:v>S009</x:v>
      </x:c>
      <x:c r="B14" s="70" t="str">
        <x:v>https://github.com/WebBreacher/WhatsMyName</x:v>
      </x:c>
      <x:c r="C14" s="61" t="str">
        <x:v>Maintainer documentation</x:v>
      </x:c>
      <x:c r="D14" s="61" t="str">
        <x:v>Maintainer documents per-site detection rules and the web app. Rules need maintenance; a matching handle does not establish common ownership.</x:v>
      </x:c>
      <x:c r="E14" s="61" t="str">
        <x:v>2026-09-15</x:v>
      </x:c>
      <x:c r="F14" s="61" t="str">
        <x:v>332</x:v>
      </x:c>
    </x:row>
    <x:row r="15" ht="70" customHeight="1">
      <x:c r="A15" s="61" t="str">
        <x:v>S010</x:v>
      </x:c>
      <x:c r="B15" s="70" t="str">
        <x:v>https://github.com/sherlock-project/sherlock</x:v>
      </x:c>
      <x:c r="C15" s="61" t="str">
        <x:v>Maintainer documentation</x:v>
      </x:c>
      <x:c r="D15" s="61" t="str">
        <x:v>Official repository documents username searches and false-positive exclusions. Review every returned profile; installed versions and detectors can differ.</x:v>
      </x:c>
      <x:c r="E15" s="61" t="str">
        <x:v>2026-09-15</x:v>
      </x:c>
      <x:c r="F15" s="61" t="str">
        <x:v>337</x:v>
      </x:c>
    </x:row>
    <x:row r="16" ht="70" customHeight="1">
      <x:c r="A16" s="61" t="str">
        <x:v>S011</x:v>
      </x:c>
      <x:c r="B16" s="70" t="str">
        <x:v>https://pypi.org/project/maigret/</x:v>
      </x:c>
      <x:c r="C16" s="61" t="str">
        <x:v>Package metadata</x:v>
      </x:c>
      <x:c r="D16" s="61" t="str">
        <x:v>Package and project links are available. Correlated profiles remain candidate matches; package availability does not validate each detector.</x:v>
      </x:c>
      <x:c r="E16" s="61" t="str">
        <x:v>2026-09-15</x:v>
      </x:c>
      <x:c r="F16" s="61" t="str">
        <x:v>336</x:v>
      </x:c>
    </x:row>
    <x:row r="17" ht="70" customHeight="1">
      <x:c r="A17" s="61" t="str">
        <x:v>S012</x:v>
      </x:c>
      <x:c r="B17" s="70" t="str">
        <x:v>https://pypi.org/project/socialscan/</x:v>
      </x:c>
      <x:c r="C17" s="61" t="str">
        <x:v>Package documentation</x:v>
      </x:c>
      <x:c r="D17" s="61" t="str">
        <x:v>A username/email availability checker is not proof of the same person across accounts. Verify platform responses and current module behavior.</x:v>
      </x:c>
      <x:c r="E17" s="61" t="str">
        <x:v>2026-09-15</x:v>
      </x:c>
      <x:c r="F17" s="61" t="str">
        <x:v>338</x:v>
      </x:c>
    </x:row>
    <x:row r="18" ht="70" customHeight="1">
      <x:c r="A18" s="61" t="str">
        <x:v>S013</x:v>
      </x:c>
      <x:c r="B18" s="70" t="str">
        <x:v>https://pypi.org/project/socid-extractor/</x:v>
      </x:c>
      <x:c r="C18" s="61" t="str">
        <x:v>Package documentation</x:v>
      </x:c>
      <x:c r="D18" s="61" t="str">
        <x:v>Extracts identifiers from page content. B applies to inspectable extraction, not authenticating the profile owner; compare fields with the original page.</x:v>
      </x:c>
      <x:c r="E18" s="61" t="str">
        <x:v>2026-09-15</x:v>
      </x:c>
      <x:c r="F18" s="61" t="str">
        <x:v>339</x:v>
      </x:c>
    </x:row>
    <x:row r="19" ht="70" customHeight="1">
      <x:c r="A19" s="61" t="str">
        <x:v>S014</x:v>
      </x:c>
      <x:c r="B19" s="70" t="str">
        <x:v>https://github.com/qeeqbox/social-analyzer</x:v>
      </x:c>
      <x:c r="C19" s="61" t="str">
        <x:v>Maintainer documentation</x:v>
      </x:c>
      <x:c r="D19" s="61" t="str">
        <x:v>Combines profile-search and analysis methods. Confidence scores are not independently calibrated identity probabilities in this audit.</x:v>
      </x:c>
      <x:c r="E19" s="61" t="str">
        <x:v>2026-09-15</x:v>
      </x:c>
      <x:c r="F19" s="61" t="str">
        <x:v>340</x:v>
      </x:c>
    </x:row>
    <x:row r="20" ht="70" customHeight="1">
      <x:c r="A20" s="61" t="str">
        <x:v>S015</x:v>
      </x:c>
      <x:c r="B20" s="70" t="str">
        <x:v>https://github.com/snooppr/snoop</x:v>
      </x:c>
      <x:c r="C20" s="61" t="str">
        <x:v>Maintainer documentation</x:v>
      </x:c>
      <x:c r="D20" s="61" t="str">
        <x:v>Public project describes username-based discovery. A match remains a lead; language/site coverage and detector behavior require checking.</x:v>
      </x:c>
      <x:c r="E20" s="61" t="str">
        <x:v>2026-09-15</x:v>
      </x:c>
      <x:c r="F20" s="61" t="str">
        <x:v>349</x:v>
      </x:c>
    </x:row>
    <x:row r="21" ht="70" customHeight="1">
      <x:c r="A21" s="61" t="str">
        <x:v>S016</x:v>
      </x:c>
      <x:c r="B21" s="70" t="str">
        <x:v>https://namechk.com/</x:v>
      </x:c>
      <x:c r="C21" s="61" t="str">
        <x:v>Provider landing page</x:v>
      </x:c>
      <x:c r="D21" s="61" t="str">
        <x:v>Availability checker, not evidence of a person's ownership. An unavailable handle can be reserved, blocked, or owned by somebody else.</x:v>
      </x:c>
      <x:c r="E21" s="61" t="str">
        <x:v>2026-09-15</x:v>
      </x:c>
      <x:c r="F21" s="61" t="str">
        <x:v>344</x:v>
      </x:c>
    </x:row>
    <x:row r="22" ht="70" customHeight="1">
      <x:c r="A22" s="61" t="str">
        <x:v>S017</x:v>
      </x:c>
      <x:c r="B22" s="70" t="str">
        <x:v>https://www.aware-online.com/en/osint-tools/username-search-tool/</x:v>
      </x:c>
      <x:c r="C22" s="61" t="str">
        <x:v>Provider documentation</x:v>
      </x:c>
      <x:c r="D22" s="61" t="str">
        <x:v>Creates external searches rather than independently authenticating account ownership.</x:v>
      </x:c>
      <x:c r="E22" s="61" t="str">
        <x:v>2026-09-15</x:v>
      </x:c>
      <x:c r="F22" s="61" t="str">
        <x:v>348</x:v>
      </x:c>
    </x:row>
    <x:row r="23" ht="70" customHeight="1">
      <x:c r="A23" s="61" t="str">
        <x:v>S018</x:v>
      </x:c>
      <x:c r="B23" s="70" t="str">
        <x:v>https://one-plus.github.io/EmailUsername</x:v>
      </x:c>
      <x:c r="C23" s="61" t="str">
        <x:v>Provider documentation</x:v>
      </x:c>
      <x:c r="D23" s="61" t="str">
        <x:v>The tool itself warns that results are approximate and that a negative result does not establish non-use.</x:v>
      </x:c>
      <x:c r="E23" s="61" t="str">
        <x:v>2026-09-15</x:v>
      </x:c>
      <x:c r="F23" s="61" t="str">
        <x:v>347</x:v>
      </x:c>
    </x:row>
    <x:row r="24" ht="70" customHeight="1">
      <x:c r="A24" s="61" t="str">
        <x:v>S019</x:v>
      </x:c>
      <x:c r="B24" s="70" t="str">
        <x:v>https://hunter.io/email-verifier</x:v>
      </x:c>
      <x:c r="C24" s="61" t="str">
        <x:v>Provider documentation</x:v>
      </x:c>
      <x:c r="D24" s="61" t="str">
        <x:v>Documents syntax, MX and SMTP checks plus catch-all handling. Deliverability is not mailbox ownership, employment, or identity confirmation.</x:v>
      </x:c>
      <x:c r="E24" s="61" t="str">
        <x:v>2026-09-15</x:v>
      </x:c>
      <x:c r="F24" s="61" t="str">
        <x:v>358</x:v>
      </x:c>
    </x:row>
    <x:row r="25" ht="70" customHeight="1">
      <x:c r="A25" s="61" t="str">
        <x:v>S020</x:v>
      </x:c>
      <x:c r="B25" s="70" t="str">
        <x:v>https://epieos.com/</x:v>
      </x:c>
      <x:c r="C25" s="61" t="str">
        <x:v>Provider landing page</x:v>
      </x:c>
      <x:c r="D25" s="61" t="str">
        <x:v>Real-time and no-false-positive statements are vendor claims; this review did not benchmark them or validate identity attribution.</x:v>
      </x:c>
      <x:c r="E25" s="61" t="str">
        <x:v>2026-09-15</x:v>
      </x:c>
      <x:c r="F25" s="61" t="str">
        <x:v>352</x:v>
      </x:c>
    </x:row>
    <x:row r="26" ht="70" customHeight="1">
      <x:c r="A26" s="61" t="str">
        <x:v>S021</x:v>
      </x:c>
      <x:c r="B26" s="70" t="str">
        <x:v>https://pypi.org/project/holehe/</x:v>
      </x:c>
      <x:c r="C26" s="61" t="str">
        <x:v>Package metadata</x:v>
      </x:c>
      <x:c r="D26" s="61" t="str">
        <x:v>The linked PyPI page lists a July 2022 release. Check current upstream modules; an old package date alone does not prove the repository is abandoned.</x:v>
      </x:c>
      <x:c r="E26" s="61" t="str">
        <x:v>2026-09-15</x:v>
      </x:c>
      <x:c r="F26" s="61" t="str">
        <x:v>354</x:v>
      </x:c>
    </x:row>
    <x:row r="27" ht="70" customHeight="1">
      <x:c r="A27" s="61" t="str">
        <x:v>S022</x:v>
      </x:c>
      <x:c r="B27" s="70" t="str">
        <x:v>https://centralops.net/co/emaildossier.aspx</x:v>
      </x:c>
      <x:c r="C27" s="61" t="str">
        <x:v>Provider documentation</x:v>
      </x:c>
      <x:c r="D27" s="61" t="str">
        <x:v>Technical checks can support an address/domain observation. They do not authenticate a human sender or account owner.</x:v>
      </x:c>
      <x:c r="E27" s="61" t="str">
        <x:v>2026-09-15</x:v>
      </x:c>
      <x:c r="F27" s="61" t="str">
        <x:v>361</x:v>
      </x:c>
    </x:row>
    <x:row r="28" ht="70" customHeight="1">
      <x:c r="A28" s="61" t="str">
        <x:v>S023</x:v>
      </x:c>
      <x:c r="B28" s="70" t="str">
        <x:v>https://mxtoolbox.com/EmailHeaders.aspx</x:v>
      </x:c>
      <x:c r="C28" s="61" t="str">
        <x:v>Provider documentation</x:v>
      </x:c>
      <x:c r="D28" s="61" t="str">
        <x:v>Useful for interpreting header fields and routing. Preserve the original message; parsed headers alone are not proof of sender identity.</x:v>
      </x:c>
      <x:c r="E28" s="61" t="str">
        <x:v>2026-09-15</x:v>
      </x:c>
      <x:c r="F28" s="61" t="str">
        <x:v>363</x:v>
      </x:c>
    </x:row>
    <x:row r="29" ht="70" customHeight="1">
      <x:c r="A29" s="61" t="str">
        <x:v>S024</x:v>
      </x:c>
      <x:c r="B29" s="70" t="str">
        <x:v>https://www.email-format.com/</x:v>
      </x:c>
      <x:c r="C29" s="61" t="str">
        <x:v>Provider landing page</x:v>
      </x:c>
      <x:c r="D29" s="61" t="str">
        <x:v>Lists email address patterns for organizations. A guessed pattern does not establish that a particular mailbox exists.</x:v>
      </x:c>
      <x:c r="E29" s="61" t="str">
        <x:v>2026-09-15</x:v>
      </x:c>
      <x:c r="F29" s="61" t="str">
        <x:v>362</x:v>
      </x:c>
    </x:row>
    <x:row r="30" ht="70" customHeight="1">
      <x:c r="A30" s="61" t="str">
        <x:v>S025</x:v>
      </x:c>
      <x:c r="B30" s="70" t="str">
        <x:v>https://proofy.io/</x:v>
      </x:c>
      <x:c r="C30" s="61" t="str">
        <x:v>Provider landing page</x:v>
      </x:c>
      <x:c r="D30" s="61" t="str">
        <x:v>Verification service documentation supports a technical mailbox check, not the identity or affiliation of the human behind it.</x:v>
      </x:c>
      <x:c r="E30" s="61" t="str">
        <x:v>2026-09-15</x:v>
      </x:c>
      <x:c r="F30" s="61" t="str">
        <x:v>365</x:v>
      </x:c>
    </x:row>
    <x:row r="31" ht="70" customHeight="1">
      <x:c r="A31" s="61" t="str">
        <x:v>S026</x:v>
      </x:c>
      <x:c r="B31" s="70" t="str">
        <x:v>https://phonebook.cz/</x:v>
      </x:c>
      <x:c r="C31" s="61" t="str">
        <x:v>Provider landing page</x:v>
      </x:c>
      <x:c r="D31" s="61" t="str">
        <x:v>Despite its title, Phonebook is a domain discovery tool from Intelligence X, not a verified telephone subscriber registry.</x:v>
      </x:c>
      <x:c r="E31" s="61" t="str">
        <x:v>2026-09-15</x:v>
      </x:c>
      <x:c r="F31" s="61" t="str">
        <x:v>367</x:v>
      </x:c>
    </x:row>
    <x:row r="32" ht="70" customHeight="1">
      <x:c r="A32" s="61" t="str">
        <x:v>S027</x:v>
      </x:c>
      <x:c r="B32" s="70" t="str">
        <x:v>https://emailrep.io/</x:v>
      </x:c>
      <x:c r="C32" s="61" t="str">
        <x:v>Provider documentation</x:v>
      </x:c>
      <x:c r="D32" s="61" t="str">
        <x:v>Reputation indicators combine observed history and signals; a risk label is not evidence that a person committed wrongdoing.</x:v>
      </x:c>
      <x:c r="E32" s="61" t="str">
        <x:v>2026-09-15</x:v>
      </x:c>
      <x:c r="F32" s="61" t="str">
        <x:v>369</x:v>
      </x:c>
    </x:row>
    <x:row r="33" ht="70" customHeight="1">
      <x:c r="A33" s="61" t="str">
        <x:v>S028</x:v>
      </x:c>
      <x:c r="B33" s="70" t="str">
        <x:v>https://anymailfinder.com/</x:v>
      </x:c>
      <x:c r="C33" s="61" t="str">
        <x:v>Provider landing page</x:v>
      </x:c>
      <x:c r="D33" s="61" t="str">
        <x:v>Vendor advertises live verification. A deliverable suggested address still needs independent confirmation of person and current role.</x:v>
      </x:c>
      <x:c r="E33" s="61" t="str">
        <x:v>2026-09-15</x:v>
      </x:c>
      <x:c r="F33" s="61" t="str">
        <x:v>375</x:v>
      </x:c>
    </x:row>
    <x:row r="34" ht="70" customHeight="1">
      <x:c r="A34" s="61" t="str">
        <x:v>S029</x:v>
      </x:c>
      <x:c r="B34" s="70" t="str">
        <x:v>https://haveibeenpwned.com/FAQs</x:v>
      </x:c>
      <x:c r="C34" s="61" t="str">
        <x:v>Provider methodology</x:v>
      </x:c>
      <x:c r="D34" s="61" t="str">
        <x:v>Check breach dates and dataset flags. An identifier's exposure is not proof of current control, intentional membership, or a relationship.</x:v>
      </x:c>
      <x:c r="E34" s="61" t="str">
        <x:v>2026-09-15</x:v>
      </x:c>
      <x:c r="F34" s="61" t="str">
        <x:v>1015</x:v>
      </x:c>
    </x:row>
    <x:row r="35" ht="70" customHeight="1">
      <x:c r="A35" s="61" t="str">
        <x:v>S030</x:v>
      </x:c>
      <x:c r="B35" s="70" t="str">
        <x:v>https://sundowndev.github.io/phoneinfoga/</x:v>
      </x:c>
      <x:c r="C35" s="61" t="str">
        <x:v>Maintainer documentation</x:v>
      </x:c>
      <x:c r="D35" s="61" t="str">
        <x:v>Maintainer explicitly disclaims verified results, real-time tracking and precise phone location.</x:v>
      </x:c>
      <x:c r="E35" s="61" t="str">
        <x:v>2026-09-15</x:v>
      </x:c>
      <x:c r="F35" s="61" t="str">
        <x:v>381</x:v>
      </x:c>
    </x:row>
    <x:row r="36" ht="70" customHeight="1">
      <x:c r="A36" s="61" t="str">
        <x:v>S031</x:v>
      </x:c>
      <x:c r="B36" s="70" t="str">
        <x:v>https://www.truecaller.com/reverse-phone-number-lookup</x:v>
      </x:c>
      <x:c r="C36" s="61" t="str">
        <x:v>Provider documentation</x:v>
      </x:c>
      <x:c r="D36" s="61" t="str">
        <x:v>Truecaller describes community name suggestions and risk reports. Treat a displayed caller name as a lead, not legal subscriber identity.</x:v>
      </x:c>
      <x:c r="E36" s="61" t="str">
        <x:v>2026-09-15</x:v>
      </x:c>
      <x:c r="F36" s="61" t="str">
        <x:v>391</x:v>
      </x:c>
    </x:row>
    <x:row r="37" ht="70" customHeight="1">
      <x:c r="A37" s="61" t="str">
        <x:v>S032</x:v>
      </x:c>
      <x:c r="B37" s="70" t="str">
        <x:v>https://validnumber.com/</x:v>
      </x:c>
      <x:c r="C37" s="61" t="str">
        <x:v>Provider landing page</x:v>
      </x:c>
      <x:c r="D37" s="61" t="str">
        <x:v>Offers reverse lookup and user-submitted reports; neither is an original subscriber or court record.</x:v>
      </x:c>
      <x:c r="E37" s="61" t="str">
        <x:v>2026-09-15</x:v>
      </x:c>
      <x:c r="F37" s="61" t="str">
        <x:v>388</x:v>
      </x:c>
    </x:row>
    <x:row r="38" ht="70" customHeight="1">
      <x:c r="A38" s="61" t="str">
        <x:v>S033</x:v>
      </x:c>
      <x:c r="B38" s="70" t="str">
        <x:v>https://www.zlookup.com/</x:v>
      </x:c>
      <x:c r="C38" s="61" t="str">
        <x:v>Provider landing page</x:v>
      </x:c>
      <x:c r="D38" s="61" t="str">
        <x:v>Landing page offers a matching service, but no independent accuracy benchmark was established here. Confirm the match elsewhere.</x:v>
      </x:c>
      <x:c r="E38" s="61" t="str">
        <x:v>2026-09-15</x:v>
      </x:c>
      <x:c r="F38" s="61" t="str">
        <x:v>389</x:v>
      </x:c>
    </x:row>
    <x:row r="39" ht="70" customHeight="1">
      <x:c r="A39" s="61" t="str">
        <x:v>S034</x:v>
      </x:c>
      <x:c r="B39" s="70" t="str">
        <x:v>https://sync.me/</x:v>
      </x:c>
      <x:c r="C39" s="61" t="str">
        <x:v>Provider landing page</x:v>
      </x:c>
      <x:c r="D39" s="61" t="str">
        <x:v>Caller-label and lookup service; do not equate its output with verified ownership or an interpersonal relationship.</x:v>
      </x:c>
      <x:c r="E39" s="61" t="str">
        <x:v>2026-09-15</x:v>
      </x:c>
      <x:c r="F39" s="61" t="str">
        <x:v>393</x:v>
      </x:c>
    </x:row>
    <x:row r="40" ht="70" customHeight="1">
      <x:c r="A40" s="61" t="str">
        <x:v>S035</x:v>
      </x:c>
      <x:c r="B40" s="70" t="str">
        <x:v>https://opencellid.org/</x:v>
      </x:c>
      <x:c r="C40" s="61" t="str">
        <x:v>Provider documentation</x:v>
      </x:c>
      <x:c r="D40" s="61" t="str">
        <x:v>Open cell-tower database for geographic context. A tower coordinate is not a person's or handset's live location.</x:v>
      </x:c>
      <x:c r="E40" s="61" t="str">
        <x:v>2026-09-15</x:v>
      </x:c>
      <x:c r="F40" s="61" t="str">
        <x:v>394</x:v>
      </x:c>
    </x:row>
    <x:row r="41" ht="70" customHeight="1">
      <x:c r="A41" s="61" t="str">
        <x:v>S036</x:v>
      </x:c>
      <x:c r="B41" s="70" t="str">
        <x:v>https://www.carrierlookup.com/</x:v>
      </x:c>
      <x:c r="C41" s="61" t="str">
        <x:v>Provider documentation</x:v>
      </x:c>
      <x:c r="D41" s="61" t="str">
        <x:v>Lookup is bounded to telecom metadata. It does not identify the current individual using the number.</x:v>
      </x:c>
      <x:c r="E41" s="61" t="str">
        <x:v>2026-09-15</x:v>
      </x:c>
      <x:c r="F41" s="61" t="str">
        <x:v>401</x:v>
      </x:c>
    </x:row>
    <x:row r="42" ht="70" customHeight="1">
      <x:c r="A42" s="61" t="str">
        <x:v>S037</x:v>
      </x:c>
      <x:c r="B42" s="70" t="str">
        <x:v>https://find-and-update.company-information.service.gov.uk/</x:v>
      </x:c>
      <x:c r="C42" s="61" t="str">
        <x:v>Official registry notice</x:v>
      </x:c>
      <x:c r="D42" s="61" t="str">
        <x:v>Official registry: a filing's existence is authoritative; submitted statements still require verification. Identity checks do not certify every filed fact.</x:v>
      </x:c>
      <x:c r="E42" s="61" t="str">
        <x:v>2026-09-15</x:v>
      </x:c>
      <x:c r="F42" s="61" t="str">
        <x:v>1086</x:v>
      </x:c>
    </x:row>
    <x:row r="43" ht="70" customHeight="1">
      <x:c r="A43" s="61" t="str">
        <x:v>S038</x:v>
      </x:c>
      <x:c r="B43" s="70" t="str">
        <x:v>https://opencorporates.com/</x:v>
      </x:c>
      <x:c r="C43" s="61" t="str">
        <x:v>Provider documentation</x:v>
      </x:c>
      <x:c r="D43" s="61" t="str">
        <x:v>Registry aggregation with source provenance. Confirm jurisdiction, company number, role and dates against the originating registry.</x:v>
      </x:c>
      <x:c r="E43" s="61" t="str">
        <x:v>2026-09-15</x:v>
      </x:c>
      <x:c r="F43" s="61" t="str">
        <x:v>1089</x:v>
      </x:c>
    </x:row>
    <x:row r="44" ht="70" customHeight="1">
      <x:c r="A44" s="61" t="str">
        <x:v>S039</x:v>
      </x:c>
      <x:c r="B44" s="70" t="str">
        <x:v>https://offshoreleaks.icij.org/pages/about</x:v>
      </x:c>
      <x:c r="C44" s="61" t="str">
        <x:v>Publisher methodology / caveats</x:v>
      </x:c>
      <x:c r="D44" s="61" t="str">
        <x:v>Historical dataset, not a wrongdoing list. Resolve namesakes and follow the specific source documents before attributing a connection.</x:v>
      </x:c>
      <x:c r="E44" s="61" t="str">
        <x:v>2026-09-15</x:v>
      </x:c>
      <x:c r="F44" s="61" t="str">
        <x:v>1090</x:v>
      </x:c>
    </x:row>
    <x:row r="45" ht="70" customHeight="1">
      <x:c r="A45" s="61" t="str">
        <x:v>S040</x:v>
      </x:c>
      <x:c r="B45" s="70" t="str">
        <x:v>https://comptroller.texas.gov/</x:v>
      </x:c>
      <x:c r="C45" s="61" t="str">
        <x:v>Official agency page</x:v>
      </x:c>
      <x:c r="D45" s="61" t="str">
        <x:v>Official agency entry point. Use the actual entity or tax-status record; a homepage or name match does not establish ownership.</x:v>
      </x:c>
      <x:c r="E45" s="61" t="str">
        <x:v>2026-09-15</x:v>
      </x:c>
      <x:c r="F45" s="61" t="str">
        <x:v>1091</x:v>
      </x:c>
    </x:row>
    <x:row r="46" ht="70" customHeight="1">
      <x:c r="A46" s="61" t="str">
        <x:v>S041</x:v>
      </x:c>
      <x:c r="B46" s="70" t="str">
        <x:v>https://allpeople.com/</x:v>
      </x:c>
      <x:c r="C46" s="61" t="str">
        <x:v>Provider landing page</x:v>
      </x:c>
      <x:c r="D46" s="61" t="str">
        <x:v>Directory listings are starting points. Independently establish the person's role, employer and relevant dates.</x:v>
      </x:c>
      <x:c r="E46" s="61" t="str">
        <x:v>2026-09-15</x:v>
      </x:c>
      <x:c r="F46" s="61" t="str">
        <x:v>1082</x:v>
      </x:c>
    </x:row>
    <x:row r="47" ht="70" customHeight="1">
      <x:c r="A47" s="61" t="str">
        <x:v>S042</x:v>
      </x:c>
      <x:c r="B47" s="70" t="str">
        <x:v>https://www.brownbook.net/</x:v>
      </x:c>
      <x:c r="C47" s="61" t="str">
        <x:v>Provider landing page</x:v>
      </x:c>
      <x:c r="D47" s="61" t="str">
        <x:v>Business-directory listings, including contributed listings. Verify contact and role claims with the organization or an original record.</x:v>
      </x:c>
      <x:c r="E47" s="61" t="str">
        <x:v>2026-09-15</x:v>
      </x:c>
      <x:c r="F47" s="61" t="str">
        <x:v>1087</x:v>
      </x:c>
    </x:row>
    <x:row r="48" ht="70" customHeight="1">
      <x:c r="A48" s="61" t="str">
        <x:v>S043</x:v>
      </x:c>
      <x:c r="B48" s="70" t="str">
        <x:v>https://www.list-org.com/</x:v>
      </x:c>
      <x:c r="C48" s="61" t="str">
        <x:v>Provider landing page</x:v>
      </x:c>
      <x:c r="D48" s="61" t="str">
        <x:v>Secondary company-search service. Obtain a dated official registry extract before relying on a director or ownership connection.</x:v>
      </x:c>
      <x:c r="E48" s="61" t="str">
        <x:v>2026-09-15</x:v>
      </x:c>
      <x:c r="F48" s="61" t="str">
        <x:v>1088</x:v>
      </x:c>
    </x:row>
    <x:row r="49" ht="70" customHeight="1">
      <x:c r="A49" s="61" t="str">
        <x:v>S044</x:v>
      </x:c>
      <x:c r="B49" s="70" t="str">
        <x:v>https://www.aware-online.com/en/osint-tools/company-search-tool/</x:v>
      </x:c>
      <x:c r="C49" s="61" t="str">
        <x:v>Provider documentation</x:v>
      </x:c>
      <x:c r="D49" s="61" t="str">
        <x:v>Search launcher, not independent confirmation. Attribute each returned claim to the original publisher.</x:v>
      </x:c>
      <x:c r="E49" s="61" t="str">
        <x:v>2026-09-15</x:v>
      </x:c>
      <x:c r="F49" s="61" t="str">
        <x:v>1092</x:v>
      </x:c>
    </x:row>
    <x:row r="50" ht="70" customHeight="1">
      <x:c r="A50" s="61" t="str">
        <x:v>S045</x:v>
      </x:c>
      <x:c r="B50" s="70" t="str">
        <x:v>https://projects.propublica.org/coronavirus/bailouts/</x:v>
      </x:c>
      <x:c r="C50" s="61" t="str">
        <x:v>Publisher project / methodology</x:v>
      </x:c>
      <x:c r="D50" s="61" t="str">
        <x:v>Secondary archive of loan data. Confirm the particular entity and source record; a PPP loan is not evidence of fraud.</x:v>
      </x:c>
      <x:c r="E50" s="61" t="str">
        <x:v>2026-09-15</x:v>
      </x:c>
      <x:c r="F50" s="61" t="str">
        <x:v>1100</x:v>
      </x:c>
    </x:row>
    <x:row r="51" ht="70" customHeight="1">
      <x:c r="A51" s="61" t="str">
        <x:v>S046</x:v>
      </x:c>
      <x:c r="B51" s="70" t="str">
        <x:v>https://review.firstround.com/</x:v>
      </x:c>
      <x:c r="C51" s="61" t="str">
        <x:v>Observed redirect and destination</x:v>
      </x:c>
      <x:c r="D51" s="61" t="str">
        <x:v>The saved search URL redirects to First Round Review. The current destination is editorial material, not evidence of a personal connection.</x:v>
      </x:c>
      <x:c r="E51" s="61" t="str">
        <x:v>2026-09-15</x:v>
      </x:c>
      <x:c r="F51" s="61" t="str">
        <x:v>1095</x:v>
      </x:c>
    </x:row>
    <x:row r="52" ht="70" customHeight="1">
      <x:c r="A52" s="61" t="str">
        <x:v>S047</x:v>
      </x:c>
      <x:c r="B52" s="70" t="str">
        <x:v>https://sanctionssearch.ofac.treas.gov/</x:v>
      </x:c>
      <x:c r="C52" s="61" t="str">
        <x:v>Official tool instructions</x:v>
      </x:c>
      <x:c r="D52" s="61" t="str">
        <x:v>The official tool uses fuzzy name matching. A search score is not an identity probability; match the identifiers on the actual entry.</x:v>
      </x:c>
      <x:c r="E52" s="61" t="str">
        <x:v>2026-09-15</x:v>
      </x:c>
      <x:c r="F52" s="61" t="str">
        <x:v>1061</x:v>
      </x:c>
    </x:row>
    <x:row r="53" ht="70" customHeight="1">
      <x:c r="A53" s="61" t="str">
        <x:v>S048</x:v>
      </x:c>
      <x:c r="B53" s="70" t="str">
        <x:v>https://www.nsopw.gov/?home=</x:v>
      </x:c>
      <x:c r="C53" s="61" t="str">
        <x:v>Official portal</x:v>
      </x:c>
      <x:c r="D53" s="61" t="str">
        <x:v>DOJ-linked jurisdictional registry search. Check the originating registry, identifiers and dates; it is not a general criminal-record clearance.</x:v>
      </x:c>
      <x:c r="E53" s="61" t="str">
        <x:v>2026-09-15</x:v>
      </x:c>
      <x:c r="F53" s="61" t="str">
        <x:v>1158</x:v>
      </x:c>
    </x:row>
    <x:row r="54" ht="70" customHeight="1">
      <x:c r="A54" s="61" t="str">
        <x:v>S049</x:v>
      </x:c>
      <x:c r="B54" s="70" t="str">
        <x:v>https://www.fbi.gov/how-we-can-help-you/online-safety/sex-offender-registry</x:v>
      </x:c>
      <x:c r="C54" s="61" t="str">
        <x:v>Official agency directory</x:v>
      </x:c>
      <x:c r="D54" s="61" t="str">
        <x:v>FBI links to jurisdictional resources. This is a directory, not a second independently corroborating offender record.</x:v>
      </x:c>
      <x:c r="E54" s="61" t="str">
        <x:v>2026-09-15</x:v>
      </x:c>
      <x:c r="F54" s="61" t="str">
        <x:v>1159</x:v>
      </x:c>
    </x:row>
    <x:row r="55" ht="70" customHeight="1">
      <x:c r="A55" s="61" t="str">
        <x:v>S050</x:v>
      </x:c>
      <x:c r="B55" s="70" t="str">
        <x:v>https://www.gov.mb.ca/justice/commsafe/notification/index.html</x:v>
      </x:c>
      <x:c r="C55" s="61" t="str">
        <x:v>Official agency page</x:v>
      </x:c>
      <x:c r="D55" s="61" t="str">
        <x:v>Official public-notification page. Its scope is specific notices, not a complete Canada-wide list or a general background check.</x:v>
      </x:c>
      <x:c r="E55" s="61" t="str">
        <x:v>2026-09-15</x:v>
      </x:c>
      <x:c r="F55" s="61" t="str">
        <x:v>1161</x:v>
      </x:c>
    </x:row>
    <x:row r="56" ht="70" customHeight="1">
      <x:c r="A56" s="61" t="str">
        <x:v>S051</x:v>
      </x:c>
      <x:c r="B56" s="70" t="str">
        <x:v>https://www.oregon.gov/dpsst/CJ/Pages/Cases.aspx</x:v>
      </x:c>
      <x:c r="C56" s="61" t="str">
        <x:v>Official agency status definitions</x:v>
      </x:c>
      <x:c r="D56" s="61" t="str">
        <x:v>DPSST expressly says Under Review is not proof of misconduct. Read the case status and final document before stating a finding.</x:v>
      </x:c>
      <x:c r="E56" s="61" t="str">
        <x:v>2026-09-15</x:v>
      </x:c>
      <x:c r="F56" s="61" t="str">
        <x:v>1121</x:v>
      </x:c>
    </x:row>
    <x:row r="57" ht="70" customHeight="1">
      <x:c r="A57" s="61" t="str">
        <x:v>S052</x:v>
      </x:c>
      <x:c r="B57" s="70" t="str">
        <x:v>https://www.chicagocopa.org/data-cases/case-portal/</x:v>
      </x:c>
      <x:c r="C57" s="61" t="str">
        <x:v>Official case-portal methodology</x:v>
      </x:c>
      <x:c r="D57" s="61" t="str">
        <x:v>Official investigative reports cover differing findings and outcomes. Read the final finding, not just the existence of a case.</x:v>
      </x:c>
      <x:c r="E57" s="61" t="str">
        <x:v>2026-09-15</x:v>
      </x:c>
      <x:c r="F57" s="61" t="str">
        <x:v>1138</x:v>
      </x:c>
    </x:row>
    <x:row r="58" ht="70" customHeight="1">
      <x:c r="A58" s="61" t="str">
        <x:v>S053</x:v>
      </x:c>
      <x:c r="B58" s="70" t="str">
        <x:v>https://www.atlasofsurveillance.org/</x:v>
      </x:c>
      <x:c r="C58" s="61" t="str">
        <x:v>Publisher project description</x:v>
      </x:c>
      <x:c r="D58" s="61" t="str">
        <x:v>Published source-linked research about agencies and technology. It does not identify who an agency surveilled or prove individual misconduct.</x:v>
      </x:c>
      <x:c r="E58" s="61" t="str">
        <x:v>2026-09-15</x:v>
      </x:c>
      <x:c r="F58" s="61" t="str">
        <x:v>1119</x:v>
      </x:c>
    </x:row>
    <x:row r="59" ht="70" customHeight="1">
      <x:c r="A59" s="61" t="str">
        <x:v>S054</x:v>
      </x:c>
      <x:c r="B59" s="70" t="str">
        <x:v>https://www.rcfp.org/resources/bodycams/</x:v>
      </x:c>
      <x:c r="C59" s="61" t="str">
        <x:v>Publisher reference guide</x:v>
      </x:c>
      <x:c r="D59" s="61" t="str">
        <x:v>Information about records-access rules, not a database establishing individual conduct. Check the applicable current rule before a records request.</x:v>
      </x:c>
      <x:c r="E59" s="61" t="str">
        <x:v>2026-09-15</x:v>
      </x:c>
      <x:c r="F59" s="61" t="str">
        <x:v>1136</x:v>
      </x:c>
    </x:row>
    <x:row r="60" ht="70" customHeight="1">
      <x:c r="A60" s="61" t="str">
        <x:v>S055</x:v>
      </x:c>
      <x:c r="B60" s="70" t="str">
        <x:v>https://inteltechniques.com/tools/</x:v>
      </x:c>
      <x:c r="C60" s="61" t="str">
        <x:v>Provider documentation</x:v>
      </x:c>
      <x:c r="D60" s="61" t="str">
        <x:v>The tools page explicitly retains some nonfunctional tools. Its update date does not validate every module or external result.</x:v>
      </x:c>
      <x:c r="E60" s="61" t="str">
        <x:v>2026-09-15</x:v>
      </x:c>
      <x:c r="F60" s="61" t="str">
        <x:v>293</x:v>
      </x:c>
    </x:row>
    <x:row r="61" ht="70" customHeight="1">
      <x:c r="A61" s="61" t="str">
        <x:v>S056</x:v>
      </x:c>
      <x:c r="B61" s="70" t="str">
        <x:v>https://synapsint.com/</x:v>
      </x:c>
      <x:c r="C61" s="61" t="str">
        <x:v>Provider landing page</x:v>
      </x:c>
      <x:c r="D61" s="61" t="str">
        <x:v>Search interface for several identifier types. No independently tested matching accuracy or complete data provenance established in this review.</x:v>
      </x:c>
      <x:c r="E61" s="61" t="str">
        <x:v>2026-09-15</x:v>
      </x:c>
      <x:c r="F61" s="61" t="str">
        <x:v>294</x:v>
      </x:c>
    </x:row>
    <x:row r="62" ht="70" customHeight="1">
      <x:c r="A62" s="61" t="str">
        <x:v>S057</x:v>
      </x:c>
      <x:c r="B62" s="70" t="str">
        <x:v>https://usersearch.org/</x:v>
      </x:c>
      <x:c r="C62" s="61" t="str">
        <x:v>Provider landing page</x:v>
      </x:c>
      <x:c r="D62" s="61" t="str">
        <x:v>The .org service describes username-only search; email search is directed elsewhere. Candidate profiles are not verified personal associations.</x:v>
      </x:c>
      <x:c r="E62" s="61" t="str">
        <x:v>2026-09-15</x:v>
      </x:c>
      <x:c r="F62" s="61" t="str">
        <x:v>297</x:v>
      </x:c>
    </x:row>
    <x:row r="63" ht="70" customHeight="1">
      <x:c r="A63" s="61" t="str">
        <x:v>S058</x:v>
      </x:c>
      <x:c r="B63" s="70" t="str">
        <x:v>https://www.effectgroup.io/</x:v>
      </x:c>
      <x:c r="C63" s="61" t="str">
        <x:v>Provider landing page</x:v>
      </x:c>
      <x:c r="D63" s="61" t="str">
        <x:v>Marketing examples are not evidence of real accuracy. Verify original sources for any returned identity, relative or contact connection.</x:v>
      </x:c>
      <x:c r="E63" s="61" t="str">
        <x:v>2026-09-15</x:v>
      </x:c>
      <x:c r="F63" s="61" t="str">
        <x:v>299</x:v>
      </x:c>
    </x:row>
    <x:row r="64" ht="70" customHeight="1">
      <x:c r="A64" s="61" t="str">
        <x:v>S059</x:v>
      </x:c>
      <x:c r="B64" s="70" t="str">
        <x:v>https://pypi.org/project/osrframework/</x:v>
      </x:c>
      <x:c r="C64" s="61" t="str">
        <x:v>Maintainer package metadata</x:v>
      </x:c>
      <x:c r="D64" s="61" t="str">
        <x:v>The linked PyPI release history stops at November 2021. Package age is a compatibility caution, not proof that every module is broken.</x:v>
      </x:c>
      <x:c r="E64" s="61" t="str">
        <x:v>2026-09-15</x:v>
      </x:c>
      <x:c r="F64" s="61" t="str">
        <x:v>300</x:v>
      </x:c>
    </x:row>
    <x:row r="65" ht="70" customHeight="1">
      <x:c r="A65" s="61" t="str">
        <x:v>S060</x:v>
      </x:c>
      <x:c r="B65" s="70" t="str">
        <x:v>https://github.com/AccentuSoft/LinkScope_Client</x:v>
      </x:c>
      <x:c r="C65" s="61" t="str">
        <x:v>Maintainer documentation</x:v>
      </x:c>
      <x:c r="D65" s="61" t="str">
        <x:v>A graph represents imported or derived relationships; the visualization does not independently validate its edges.</x:v>
      </x:c>
      <x:c r="E65" s="61" t="str">
        <x:v>2026-09-15</x:v>
      </x:c>
      <x:c r="F65" s="61" t="str">
        <x:v>303</x:v>
      </x:c>
    </x:row>
    <x:row r="66" ht="70" customHeight="1">
      <x:c r="A66" s="61" t="str">
        <x:v>S061</x:v>
      </x:c>
      <x:c r="B66" s="70" t="str">
        <x:v>https://www.criminalip.io/</x:v>
      </x:c>
      <x:c r="C66" s="61" t="str">
        <x:v>Provider product documentation</x:v>
      </x:c>
      <x:c r="D66" s="61" t="str">
        <x:v>Technical security intelligence, not a person's criminal-history service. Preserve the observation date; network association is not human attribution.</x:v>
      </x:c>
      <x:c r="E66" s="61" t="str">
        <x:v>2026-09-15</x:v>
      </x:c>
      <x:c r="F66" s="61" t="str">
        <x:v>305</x:v>
      </x:c>
    </x:row>
    <x:row r="67" ht="70" customHeight="1">
      <x:c r="A67" s="61" t="str">
        <x:v>S062</x:v>
      </x:c>
      <x:c r="B67" s="70" t="str">
        <x:v>https://openoversight.com/</x:v>
      </x:c>
      <x:c r="C67" s="61" t="str">
        <x:v>Publisher project description</x:v>
      </x:c>
      <x:c r="D67" s="61" t="str">
        <x:v>Crowdsourced/public information needs original-source confirmation. A directory association does not establish an allegation or finding.</x:v>
      </x:c>
      <x:c r="E67" s="61" t="str">
        <x:v>2026-09-15</x:v>
      </x:c>
      <x:c r="F67" s="61" t="str">
        <x:v>1107</x:v>
      </x:c>
    </x:row>
    <x:row r="68" ht="70" customHeight="1">
      <x:c r="A68" s="61" t="str">
        <x:v>S063</x:v>
      </x:c>
      <x:c r="B68" s="70" t="str">
        <x:v>https://www.plainviewproject.org/data</x:v>
      </x:c>
      <x:c r="C68" s="61" t="str">
        <x:v>Publisher methodology / caveats</x:v>
      </x:c>
      <x:c r="D68" s="61" t="str">
        <x:v>Selected posts with source links; metadata is not continually updated. A shared post does not necessarily represent all of an author's views.</x:v>
      </x:c>
      <x:c r="E68" s="61" t="str">
        <x:v>2026-09-15</x:v>
      </x:c>
      <x:c r="F68" s="61" t="str">
        <x:v>1124</x:v>
      </x:c>
    </x:row>
    <x:row r="69" ht="70" customHeight="1">
      <x:c r="A69" s="61" t="str">
        <x:v>S064</x:v>
      </x:c>
      <x:c r="B69" s="70" t="str">
        <x:v>https://policecrime.bgsu.edu/</x:v>
      </x:c>
      <x:c r="C69" s="61" t="str">
        <x:v>University dataset documentation</x:v>
      </x:c>
      <x:c r="D69" s="61" t="str">
        <x:v>The described coverage is 2005–2021. Charges and arrests are not convictions; confirm disposition in the underlying court record.</x:v>
      </x:c>
      <x:c r="E69" s="61" t="str">
        <x:v>2026-09-15</x:v>
      </x:c>
      <x:c r="F69" s="61" t="str">
        <x:v>1126</x:v>
      </x:c>
    </x:row>
    <x:row r="70" ht="70" customHeight="1">
      <x:c r="A70" s="61" t="str">
        <x:v>S065</x:v>
      </x:c>
      <x:c r="B70" s="70" t="str">
        <x:v>https://fatalencounters.org/people-search/</x:v>
      </x:c>
      <x:c r="C70" s="61" t="str">
        <x:v>Publisher methodology / caveats</x:v>
      </x:c>
      <x:c r="D70" s="61" t="str">
        <x:v>Publisher documents coverage gaps and field limitations. A recorded encounter alone does not establish unlawful conduct.</x:v>
      </x:c>
      <x:c r="E70" s="61" t="str">
        <x:v>2026-09-15</x:v>
      </x:c>
      <x:c r="F70" s="61" t="str">
        <x:v>1129</x:v>
      </x:c>
    </x:row>
    <x:row r="71" ht="70" customHeight="1">
      <x:c r="A71" s="61" t="str">
        <x:v>S066</x:v>
      </x:c>
      <x:c r="B71" s="70" t="str">
        <x:v>https://projects.propublica.org/nypd-ccrb/</x:v>
      </x:c>
      <x:c r="C71" s="61" t="str">
        <x:v>Publisher update and methodology notice</x:v>
      </x:c>
      <x:c r="D71" s="61" t="str">
        <x:v>Publisher says last updated July 2020 and no longer updated. Records cover a defined historical subset; allegations differ from substantiated findings.</x:v>
      </x:c>
      <x:c r="E71" s="61" t="str">
        <x:v>2026-09-15</x:v>
      </x:c>
      <x:c r="F71" s="61" t="str">
        <x:v>1130</x:v>
      </x:c>
    </x:row>
    <x:row r="72" ht="70" customHeight="1">
      <x:c r="A72" s="61" t="str">
        <x:v>S067</x:v>
      </x:c>
      <x:c r="B72" s="70" t="str">
        <x:v>https://github.com/twintproject/twint</x:v>
      </x:c>
      <x:c r="C72" s="61" t="str">
        <x:v>Maintainer repository status</x:v>
      </x:c>
      <x:c r="D72" s="61" t="str">
        <x:v>Upstream repository was archived March 30, 2023. Its old capability claims are not a current functionality test.</x:v>
      </x:c>
      <x:c r="E72" s="61" t="str">
        <x:v>2026-09-15</x:v>
      </x:c>
      <x:c r="F72" s="61" t="str">
        <x:v>440</x:v>
      </x:c>
    </x:row>
    <x:row r="73" ht="70" customHeight="1">
      <x:c r="A73" s="61" t="str">
        <x:v>S068</x:v>
      </x:c>
      <x:c r="B73" s="70" t="str">
        <x:v>https://github.com/zedeus/nitter</x:v>
      </x:c>
      <x:c r="C73" s="61" t="str">
        <x:v>Upstream project notice; not instance testing</x:v>
      </x:c>
      <x:c r="D73" s="61" t="str">
        <x:v>Upstream shows archived status and a continuation notice. This does not establish that the saved instances work; verify each endpoint.</x:v>
      </x:c>
      <x:c r="E73" s="61" t="str">
        <x:v>2026-09-15</x:v>
      </x:c>
      <x:c r="F73" s="61" t="str">
        <x:v>436, 437, 439</x:v>
      </x:c>
    </x:row>
    <x:row r="74" ht="70" customHeight="1">
      <x:c r="A74" s="61" t="str">
        <x:v>S069</x:v>
      </x:c>
      <x:c r="B74" s="70" t="str">
        <x:v>https://facecheck.id/en/Face-Search/FAQ</x:v>
      </x:c>
      <x:c r="C74" s="61" t="str">
        <x:v>Provider limitations</x:v>
      </x:c>
      <x:c r="D74" s="61" t="str">
        <x:v>Provider warns that resemblance is not guaranteed identity or family relationship. Do not treat a red flag or similarity score as a legal finding.</x:v>
      </x:c>
      <x:c r="E74" s="61" t="str">
        <x:v>2026-09-15</x:v>
      </x:c>
      <x:c r="F74" s="61" t="str">
        <x:v>654</x:v>
      </x:c>
    </x:row>
    <x:row r="75" ht="70" customHeight="1">
      <x:c r="A75" s="61" t="str">
        <x:v>S070</x:v>
      </x:c>
      <x:c r="B75" s="70" t="str">
        <x:v>https://pimeyes.com/en/faq</x:v>
      </x:c>
      <x:c r="C75" s="61" t="str">
        <x:v>Provider limitations</x:v>
      </x:c>
      <x:c r="D75" s="61" t="str">
        <x:v>Provider disclaims identity verification and complete or consistent matching. Follow original image provenance; similarity alone is not identity.</x:v>
      </x:c>
      <x:c r="E75" s="61" t="str">
        <x:v>2026-09-15</x:v>
      </x:c>
      <x:c r="F75" s="61" t="str">
        <x:v>661</x:v>
      </x:c>
    </x:row>
    <x:row r="76" ht="70" customHeight="1">
      <x:c r="A76" s="61" t="str">
        <x:v>S071</x:v>
      </x:c>
      <x:c r="B76" s="70" t="str">
        <x:v>https://help.tineye.com/article/235-can-tineye-find-similar-images-does-tineye-do-facial-recognition</x:v>
      </x:c>
      <x:c r="C76" s="61" t="str">
        <x:v>Provider technical documentation</x:v>
      </x:c>
      <x:c r="D76" s="61" t="str">
        <x:v>Searches image occurrences, not facial identity. Confirm the linked image and capture date; a matching image does not establish who uploaded it.</x:v>
      </x:c>
      <x:c r="E76" s="61" t="str">
        <x:v>2026-09-15</x:v>
      </x:c>
      <x:c r="F76" s="61" t="str">
        <x:v>662</x:v>
      </x:c>
    </x:row>
    <x:row r="77" ht="70" customHeight="1">
      <x:c r="A77" s="61" t="str">
        <x:v>S072</x:v>
      </x:c>
      <x:c r="B77" s="70" t="str">
        <x:v>https://gchq.github.io/CyberChef/</x:v>
      </x:c>
      <x:c r="C77" s="61" t="str">
        <x:v>Maintainer documentation</x:v>
      </x:c>
      <x:c r="D77" s="61" t="str">
        <x:v>Documented parsing and transformation tool, not an external evidence source. Keep original bytes and record the exact recipe; some operations make network requests.</x:v>
      </x:c>
      <x:c r="E77" s="61" t="str">
        <x:v>2026-09-15</x:v>
      </x:c>
      <x:c r="F77" s="61" t="str">
        <x:v>122</x:v>
      </x:c>
    </x:row>
    <x:row r="78" ht="70" customHeight="1">
      <x:c r="A78" s="61" t="str">
        <x:v>S073</x:v>
      </x:c>
      <x:c r="B78" s="70" t="str">
        <x:v>https://localbitcoins.com/</x:v>
      </x:c>
      <x:c r="C78" s="61" t="str">
        <x:v>Provider closure notice</x:v>
      </x:c>
      <x:c r="D78" s="61" t="str">
        <x:v>The official page says its Bitcoin trading service has closed. Not a tool for establishing contact connections.</x:v>
      </x:c>
      <x:c r="E78" s="61" t="str">
        <x:v>2026-09-15</x:v>
      </x:c>
      <x:c r="F78" s="61" t="str">
        <x:v>190</x:v>
      </x:c>
    </x:row>
    <x:row r="79" ht="70" customHeight="1">
      <x:c r="A79" s="61" t="str">
        <x:v>S074</x:v>
      </x:c>
      <x:c r="B79" s="70" t="str">
        <x:v>https://help.archive.org/help/using-the-wayback-machine/</x:v>
      </x:c>
      <x:c r="C79" s="61" t="str">
        <x:v>Archive documentation</x:v>
      </x:c>
      <x:c r="D79" s="61" t="str">
        <x:v>Useful for what a captured page displayed. Captures can be incomplete and links can move between dates; an archived claim is not independently authenticated truth.</x:v>
      </x:c>
      <x:c r="E79" s="61" t="str">
        <x:v>2026-09-15</x:v>
      </x:c>
      <x:c r="F79" s="61" t="str">
        <x:v>79</x:v>
      </x:c>
    </x:row>
    <x:row r="80" ht="70" customHeight="1">
      <x:c r="A80" s="61" t="str">
        <x:v>S075</x:v>
      </x:c>
      <x:c r="B80" s="70" t="str">
        <x:v>https://docs.virustotal.com/docs/how-it-works</x:v>
      </x:c>
      <x:c r="C80" s="61" t="str">
        <x:v>Provider technical documentation</x:v>
      </x:c>
      <x:c r="D80" s="61" t="str">
        <x:v>Multiple scanner results can include false positives. Public submissions may be shared; do not upload confidential case material.</x:v>
      </x:c>
      <x:c r="E80" s="61" t="str">
        <x:v>2026-09-15</x:v>
      </x:c>
      <x:c r="F80" s="61" t="str">
        <x:v>881</x:v>
      </x:c>
    </x:row>
    <x:row r="81" ht="70" customHeight="1">
      <x:c r="A81" s="61" t="str">
        <x:v>S076</x:v>
      </x:c>
      <x:c r="B81" s="70" t="str">
        <x:v>https://osint.sh/reversewhois/</x:v>
      </x:c>
      <x:c r="C81" s="61" t="str">
        <x:v>Provider landing page</x:v>
      </x:c>
      <x:c r="D81" s="61" t="str">
        <x:v>Reverse-WHOIS search can suggest a registration connection. Verify the dated original record; registrant fields are not proof of present personal control.</x:v>
      </x:c>
      <x:c r="E81" s="61" t="str">
        <x:v>2026-09-15</x:v>
      </x:c>
      <x:c r="F81" s="61" t="str">
        <x:v>360</x:v>
      </x:c>
    </x:row>
    <x:row r="82" ht="70" customHeight="1">
      <x:c r="A82" s="61" t="str">
        <x:v>S077</x:v>
      </x:c>
      <x:c r="B82" s="70" t="str">
        <x:v>https://mappingpoliceviolence.org/methodology</x:v>
      </x:c>
      <x:c r="C82" s="61" t="str">
        <x:v>Publisher methodology</x:v>
      </x:c>
      <x:c r="D82" s="61" t="str">
        <x:v>Published coding and review process. Definition includes legally justified and unjustified encounters; coding changes and data dates matter.</x:v>
      </x:c>
      <x:c r="E82" s="61" t="str">
        <x:v>2026-09-15</x:v>
      </x:c>
      <x:c r="F82" s="61" t="str">
        <x:v>1133</x:v>
      </x:c>
    </x:row>
    <x:row r="83" ht="70" customHeight="1">
      <x:c r="A83" s="61" t="str">
        <x:v>S078</x:v>
      </x:c>
      <x:c r="B83" s="70" t="str">
        <x:v>https://analyzeid.com/username/</x:v>
      </x:c>
      <x:c r="C83" s="61" t="str">
        <x:v>Provider FAQ</x:v>
      </x:c>
      <x:c r="D83" s="61" t="str">
        <x:v>Its own FAQ explains that the same username can belong to different people on different sites. Review the source account before linking identities.</x:v>
      </x:c>
      <x:c r="E83" s="61" t="str">
        <x:v>2026-09-15</x:v>
      </x:c>
      <x:c r="F83" s="61" t="str">
        <x:v>333</x:v>
      </x:c>
    </x:row>
    <x:row r="84" ht="70" customHeight="1">
      <x:c r="A84" s="61" t="str">
        <x:v>S079</x:v>
      </x:c>
      <x:c r="B84" s="70" t="str">
        <x:v>https://checkuser.org/</x:v>
      </x:c>
      <x:c r="C84" s="61" t="str">
        <x:v>Provider landing page</x:v>
      </x:c>
      <x:c r="D84" s="61" t="str">
        <x:v>Designed for username availability and branding. Taken or unavailable does not establish a person's ownership or a relationship.</x:v>
      </x:c>
      <x:c r="E84" s="61" t="str">
        <x:v>2026-09-15</x:v>
      </x:c>
      <x:c r="F84" s="61" t="str">
        <x:v>343</x:v>
      </x:c>
    </x:row>
    <x:row r="85" ht="70" customHeight="1">
      <x:c r="A85" s="61" t="str">
        <x:v>S080</x:v>
      </x:c>
      <x:c r="B85" s="70" t="str">
        <x:v>https://com.lullar.com/</x:v>
      </x:c>
      <x:c r="C85" s="61" t="str">
        <x:v>Provider landing page</x:v>
      </x:c>
      <x:c r="D85" s="61" t="str">
        <x:v>Search and referral interface. Provider marketing and privacy assurances were not independently tested; verify each underlying profile.</x:v>
      </x:c>
      <x:c r="E85" s="61" t="str">
        <x:v>2026-09-15</x:v>
      </x:c>
      <x:c r="F85" s="61" t="str">
        <x:v>345</x:v>
      </x:c>
    </x:row>
    <x:row r="86" ht="70" customHeight="1">
      <x:c r="A86" s="61" t="str">
        <x:v>S081</x:v>
      </x:c>
      <x:c r="B86" s="70" t="str">
        <x:v>https://searchpof.com/</x:v>
      </x:c>
      <x:c r="C86" s="61" t="str">
        <x:v>Provider landing page</x:v>
      </x:c>
      <x:c r="D86" s="61" t="str">
        <x:v>A search interface for possible dating profiles. A name/handle hit does not establish identity, present membership or behavior.</x:v>
      </x:c>
      <x:c r="E86" s="61" t="str">
        <x:v>2026-09-15</x:v>
      </x:c>
      <x:c r="F86" s="61" t="str">
        <x:v>346</x:v>
      </x:c>
    </x:row>
    <x:row r="87" ht="70" customHeight="1">
      <x:c r="A87" s="61" t="str">
        <x:v>S082</x:v>
      </x:c>
      <x:c r="B87" s="70" t="str">
        <x:v>https://pypi.org/project/quidam/</x:v>
      </x:c>
      <x:c r="C87" s="61" t="str">
        <x:v>Maintainer package documentation</x:v>
      </x:c>
      <x:c r="D87" s="61" t="str">
        <x:v>Package documentation identifies a profile-discovery tool. No account matching, API compatibility or false-positive rate was tested.</x:v>
      </x:c>
      <x:c r="E87" s="61" t="str">
        <x:v>2026-09-15</x:v>
      </x:c>
      <x:c r="F87" s="61" t="str">
        <x:v>350</x:v>
      </x:c>
    </x:row>
    <x:row r="88" ht="70" customHeight="1">
      <x:c r="A88" s="61" t="str">
        <x:v>S083</x:v>
      </x:c>
      <x:c r="B88" s="70" t="str">
        <x:v>https://emailable.com/api/?redirect_source=trumail</x:v>
      </x:c>
      <x:c r="C88" s="61" t="str">
        <x:v>Observed redirect and provider documentation</x:v>
      </x:c>
      <x:c r="D88" s="61" t="str">
        <x:v>Trumail's saved URL redirects to Emailable's API product. Validation concerns email deliverability, not the identity of the mailbox controller.</x:v>
      </x:c>
      <x:c r="E88" s="61" t="str">
        <x:v>2026-09-15</x:v>
      </x:c>
      <x:c r="F88" s="61" t="str">
        <x:v>357</x:v>
      </x:c>
    </x:row>
    <x:row r="89" ht="70" customHeight="1">
      <x:c r="A89" s="61" t="str">
        <x:v>S084</x:v>
      </x:c>
      <x:c r="B89" s="70" t="str">
        <x:v>https://emailable.com/?redirect_source=verify-email</x:v>
      </x:c>
      <x:c r="C89" s="61" t="str">
        <x:v>Observed redirect and provider documentation</x:v>
      </x:c>
      <x:c r="D89" s="61" t="str">
        <x:v>Verify-email's saved URL redirects to Emailable. This and Trumail are not independent validation providers at their observed destinations.</x:v>
      </x:c>
      <x:c r="E89" s="61" t="str">
        <x:v>2026-09-15</x:v>
      </x:c>
      <x:c r="F89" s="61" t="str">
        <x:v>359</x:v>
      </x:c>
    </x:row>
    <x:row r="90" ht="70" customHeight="1">
      <x:c r="A90" s="61" t="str">
        <x:v>S085</x:v>
      </x:c>
      <x:c r="B90" s="70" t="str">
        <x:v>https://www.aware-online.com/en/osint-tools/email-search-tool/</x:v>
      </x:c>
      <x:c r="C90" s="61" t="str">
        <x:v>Provider documentation</x:v>
      </x:c>
      <x:c r="D90" s="61" t="str">
        <x:v>Builds searches of external services. The launcher is not independent evidence that a person controls an address.</x:v>
      </x:c>
      <x:c r="E90" s="61" t="str">
        <x:v>2026-09-15</x:v>
      </x:c>
      <x:c r="F90" s="61" t="str">
        <x:v>364</x:v>
      </x:c>
    </x:row>
    <x:row r="91" ht="70" customHeight="1">
      <x:c r="A91" s="61" t="str">
        <x:v>S086</x:v>
      </x:c>
      <x:c r="B91" s="70" t="str">
        <x:v>https://www.nicb.org/vincheck</x:v>
      </x:c>
      <x:c r="C91" s="61" t="str">
        <x:v>Provider coverage and limitations</x:v>
      </x:c>
      <x:c r="D91" s="61" t="str">
        <x:v>NICB checks participating insurers' theft/salvage records, not a complete vehicle history or law-enforcement record. It does not establish who currently owns or drives a vehicle.</x:v>
      </x:c>
      <x:c r="E91" s="61" t="str">
        <x:v>2026-09-15</x:v>
      </x:c>
      <x:c r="F91" s="61" t="str">
        <x:v>702</x:v>
      </x:c>
    </x:row>
    <x:row r="92" ht="70" customHeight="1">
      <x:c r="A92" s="61" t="str">
        <x:v>S087</x:v>
      </x:c>
      <x:c r="B92" s="70" t="str">
        <x:v>https://www.aware-online.com/en/osint-tools/phone-number-search-tool/</x:v>
      </x:c>
      <x:c r="C92" s="61" t="str">
        <x:v>Provider documentation</x:v>
      </x:c>
      <x:c r="D92" s="61" t="str">
        <x:v>Searches alternate telephone formats through external engines. A result must be checked at its source; the launcher does not verify subscriber identity.</x:v>
      </x:c>
      <x:c r="E92" s="61" t="str">
        <x:v>2026-09-15</x:v>
      </x:c>
      <x:c r="F92" s="61" t="str">
        <x:v>387</x:v>
      </x:c>
    </x:row>
    <x:row r="93" ht="70" customHeight="1">
      <x:c r="A93" s="61" t="str">
        <x:v>S088</x:v>
      </x:c>
      <x:c r="B93" s="70" t="str">
        <x:v>https://www.xrefer.com/</x:v>
      </x:c>
      <x:c r="C93" s="61" t="str">
        <x:v>Provider landing page</x:v>
      </x:c>
      <x:c r="D93" s="61" t="str">
        <x:v>Current destination is a local-company referral directory. Verification claims on the landing page were not independently tested; this is not a corporate ownership register.</x:v>
      </x:c>
      <x:c r="E93" s="61" t="str">
        <x:v>2026-09-15</x:v>
      </x:c>
      <x:c r="F93" s="61" t="str">
        <x:v>1093</x:v>
      </x:c>
    </x:row>
    <x:row r="94" ht="70" customHeight="1">
      <x:c r="A94" s="61" t="str">
        <x:v>S089</x:v>
      </x:c>
      <x:c r="B94" s="70" t="str">
        <x:v>https://vehicleenquiry.service.gov.uk/?locale=en</x:v>
      </x:c>
      <x:c r="C94" s="61" t="str">
        <x:v>Official agency service</x:v>
      </x:c>
      <x:c r="D94" s="61" t="str">
        <x:v>Official vehicle-status enquiry. Tax or MOT information is not proof of the identity of the owner, keeper or driver.</x:v>
      </x:c>
      <x:c r="E94" s="61" t="str">
        <x:v>2026-09-15</x:v>
      </x:c>
      <x:c r="F94" s="61" t="str">
        <x:v>722</x:v>
      </x:c>
    </x:row>
    <x:row r="95" ht="70" customHeight="1">
      <x:c r="A95" s="61" t="str">
        <x:v>S090</x:v>
      </x:c>
      <x:c r="B95" s="70" t="str">
        <x:v>https://keys.openpgp.org/about/</x:v>
      </x:c>
      <x:c r="C95" s="61" t="str">
        <x:v>Provider technical documentation</x:v>
      </x:c>
      <x:c r="D95" s="61" t="str">
        <x:v>Publishes technical key data and consent-verified email identifiers. Email verification does not certify a legal name or present human identity.</x:v>
      </x:c>
      <x:c r="E95" s="61" t="str">
        <x:v>2026-09-15</x:v>
      </x:c>
      <x:c r="F95" s="61" t="str">
        <x:v>591</x:v>
      </x:c>
    </x:row>
    <x:row r="96" ht="70" customHeight="1">
      <x:c r="A96" s="61" t="str">
        <x:v>S091</x:v>
      </x:c>
      <x:c r="B96" s="70" t="str">
        <x:v>https://www.openstreetmap.org/about</x:v>
      </x:c>
      <x:c r="C96" s="61" t="str">
        <x:v>Publisher methodology</x:v>
      </x:c>
      <x:c r="D96" s="61" t="str">
        <x:v>Community mapping with documented sources and editing. Verify the local feature and date; map proximity does not establish personal association.</x:v>
      </x:c>
      <x:c r="E96" s="61" t="str">
        <x:v>2026-09-15</x:v>
      </x:c>
      <x:c r="F96" s="61" t="str">
        <x:v>933</x:v>
      </x:c>
    </x:row>
    <x:row r="97" ht="70" customHeight="1">
      <x:c r="A97" s="61" t="str">
        <x:v>S092</x:v>
      </x:c>
      <x:c r="B97" s="70" t="str">
        <x:v>https://www.whoxy.com/</x:v>
      </x:c>
      <x:c r="C97" s="61" t="str">
        <x:v>Provider API and coverage documentation</x:v>
      </x:c>
      <x:c r="D97" s="61" t="str">
        <x:v>Provides parsed and raw registration records. Check capture dates and originating registrar data; registration text is not verified personal identity.</x:v>
      </x:c>
      <x:c r="E97" s="61" t="str">
        <x:v>2026-09-15</x:v>
      </x:c>
      <x:c r="F97" s="61" t="str">
        <x:v>823</x:v>
      </x:c>
    </x:row>
    <x:row r="98" ht="70" customHeight="1">
      <x:c r="A98" s="61" t="str">
        <x:v>S093</x:v>
      </x:c>
      <x:c r="B98" s="70" t="str">
        <x:v>https://who.is/</x:v>
      </x:c>
      <x:c r="C98" s="61" t="str">
        <x:v>Provider feature documentation</x:v>
      </x:c>
      <x:c r="D98" s="61" t="str">
        <x:v>Provides registration and DNS data. Preserve source and timestamps; registrant fields and shared infrastructure do not establish personal control.</x:v>
      </x:c>
      <x:c r="E98" s="61" t="str">
        <x:v>2026-09-15</x:v>
      </x:c>
      <x:c r="F98" s="61" t="str">
        <x:v>822</x:v>
      </x:c>
    </x:row>
    <x:row r="99" ht="70" customHeight="1">
      <x:c r="A99" s="61" t="str">
        <x:v>S094</x:v>
      </x:c>
      <x:c r="B99" s="70" t="str">
        <x:v>https://www.opswat.com/products/metadefender/cloud</x:v>
      </x:c>
      <x:c r="C99" s="61" t="str">
        <x:v>Provider product documentation</x:v>
      </x:c>
      <x:c r="D99" s="61" t="str">
        <x:v>OPSWAT describes malware and threat-intelligence analysis. This is not a people-search database; scanner verdicts are not proof about a person.</x:v>
      </x:c>
      <x:c r="E99" s="61" t="str">
        <x:v>2026-09-15</x:v>
      </x:c>
      <x:c r="F99" s="61" t="str">
        <x:v>296</x:v>
      </x:c>
    </x:row>
  </x:sheetData>
  <x:mergeCells>
    <x:mergeCell ref="A1:F1"/>
    <x:mergeCell ref="A2:F3"/>
  </x:mergeCells>
  <x:pageMargins left="0.7" right="0.7" top="0.75" bottom="0.75" header="0.3" footer="0.3"/>
  <x:tableParts count="1">
    <x:tablePart xmlns:r="http://schemas.openxmlformats.org/officeDocument/2006/relationships" r:id="Rb1ff0bd35774496d"/>
  </x:tableParts>
</x:worksheet>
</file>

<file path=xl/worksheets/sheet7.xml><?xml version="1.0" encoding="utf-8"?>
<x:worksheet xmlns:x="http://schemas.openxmlformats.org/spreadsheetml/2006/main">
  <x:sheetFormatPr defaultRowHeight="15"/>
  <x:cols>
    <x:col min="1" max="1" width="38" hidden="0" customWidth="1"/>
    <x:col min="2" max="2" width="13" hidden="0" customWidth="1"/>
    <x:col min="3" max="3" width="15" hidden="0" customWidth="1"/>
    <x:col min="4" max="4" width="15" hidden="0" customWidth="1"/>
    <x:col min="5" max="5" width="18" hidden="0" customWidth="1"/>
    <x:col min="6" max="6" width="20" hidden="0" customWidth="1"/>
    <x:col min="7" max="7" width="9" hidden="0" customWidth="1"/>
    <x:col min="8" max="8" width="9" hidden="0" customWidth="1"/>
    <x:col min="9" max="9" width="9" hidden="0" customWidth="1"/>
    <x:col min="10" max="10" width="9" hidden="0" customWidth="1"/>
  </x:cols>
  <x:sheetData>
    <x:row r="1" ht="38" customHeight="1">
      <x:c r="A1" s="6" t="str">
        <x:v>COVERAGE | original board sections</x:v>
      </x:c>
      <x:c r="B1" s="6"/>
      <x:c r="C1" s="6"/>
      <x:c r="D1" s="6"/>
      <x:c r="E1" s="6"/>
      <x:c r="F1" s="6"/>
      <x:c r="G1" s="6"/>
      <x:c r="H1" s="6"/>
      <x:c r="I1" s="6"/>
      <x:c r="J1" s="6"/>
    </x:row>
    <x:row r="2">
      <x:c r="A2" s="58" t="str">
        <x:v>Counts are formulas linked to All resources. Documented includes 5 N/A utilities; other columns describe grades and therefore do not all form an additive partition.</x:v>
      </x:c>
      <x:c r="B2" s="58"/>
      <x:c r="C2" s="58"/>
      <x:c r="D2" s="58"/>
      <x:c r="E2" s="58"/>
      <x:c r="F2" s="58"/>
      <x:c r="G2" s="58"/>
      <x:c r="H2" s="58"/>
      <x:c r="I2" s="58"/>
      <x:c r="J2" s="58"/>
    </x:row>
    <x:row r="3">
      <x:c r="A3" s="58"/>
      <x:c r="B3" s="58"/>
      <x:c r="C3" s="58"/>
      <x:c r="D3" s="58"/>
      <x:c r="E3" s="58"/>
      <x:c r="F3" s="58"/>
      <x:c r="G3" s="58"/>
      <x:c r="H3" s="58"/>
      <x:c r="I3" s="58"/>
      <x:c r="J3" s="58"/>
    </x:row>
    <x:row r="5" ht="30" customHeight="1">
      <x:c r="A5" s="66" t="str">
        <x:v>Original section</x:v>
      </x:c>
      <x:c r="B5" s="66" t="str">
        <x:v>Bookmarks</x:v>
      </x:c>
      <x:c r="C5" s="66" t="str">
        <x:v>Documented</x:v>
      </x:c>
      <x:c r="D5" s="66" t="str">
        <x:v>Provisional</x:v>
      </x:c>
      <x:c r="E5" s="66" t="str">
        <x:v>Unverified (U)</x:v>
      </x:c>
      <x:c r="F5" s="66" t="str">
        <x:v>Not evidence (N/A)</x:v>
      </x:c>
      <x:c r="G5" s="66" t="str">
        <x:v>A</x:v>
      </x:c>
      <x:c r="H5" s="66" t="str">
        <x:v>B</x:v>
      </x:c>
      <x:c r="I5" s="66" t="str">
        <x:v>C</x:v>
      </x:c>
      <x:c r="J5" s="66" t="str">
        <x:v>D</x:v>
      </x:c>
    </x:row>
    <x:row r="6" ht="25" customHeight="1">
      <x:c r="A6" s="61" t="str">
        <x:v>THROWAWAY CONTACT</x:v>
      </x:c>
      <x:c r="B6" s="61" t="n">
        <x:f>COUNTIF('All resources'!$E$6:$E$1177,$A6)</x:f>
        <x:v>18</x:v>
      </x:c>
      <x:c r="C6" s="61" t="n">
        <x:f>COUNTIFS('All resources'!$E$6:$E$1177,$A6,'All resources'!$D$6:$D$1177,"Documented")</x:f>
        <x:v>0</x:v>
      </x:c>
      <x:c r="D6" s="61" t="n">
        <x:f>COUNTIFS('All resources'!$E$6:$E$1177,$A6,'All resources'!$C$6:$C$1177,"C-P")</x:f>
        <x:v>0</x:v>
      </x:c>
      <x:c r="E6" s="61" t="n">
        <x:f>COUNTIFS('All resources'!$E$6:$E$1177,$A6,'All resources'!$C$6:$C$1177,"U")</x:f>
        <x:v>0</x:v>
      </x:c>
      <x:c r="F6" s="61" t="n">
        <x:f>COUNTIFS('All resources'!$E$6:$E$1177,$A6,'All resources'!$C$6:$C$1177,"N/A")</x:f>
        <x:v>18</x:v>
      </x:c>
      <x:c r="G6" s="61" t="n">
        <x:f>COUNTIFS('All resources'!$E$6:$E$1177,$A6,'All resources'!$C$6:$C$1177,"A")</x:f>
        <x:v>0</x:v>
      </x:c>
      <x:c r="H6" s="61" t="n">
        <x:f>COUNTIFS('All resources'!$E$6:$E$1177,$A6,'All resources'!$C$6:$C$1177,"B")</x:f>
        <x:v>0</x:v>
      </x:c>
      <x:c r="I6" s="61" t="n">
        <x:f>COUNTIFS('All resources'!$E$6:$E$1177,$A6,'All resources'!$C$6:$C$1177,"C")</x:f>
        <x:v>0</x:v>
      </x:c>
      <x:c r="J6" s="61" t="n">
        <x:f>COUNTIFS('All resources'!$E$6:$E$1177,$A6,'All resources'!$C$6:$C$1177,"D")</x:f>
        <x:v>0</x:v>
      </x:c>
    </x:row>
    <x:row r="7" ht="25" customHeight="1">
      <x:c r="A7" s="61" t="str">
        <x:v>ID GENERATOR</x:v>
      </x:c>
      <x:c r="B7" s="61" t="n">
        <x:f>COUNTIF('All resources'!$E$6:$E$1177,$A7)</x:f>
        <x:v>33</x:v>
      </x:c>
      <x:c r="C7" s="61" t="n">
        <x:f>COUNTIFS('All resources'!$E$6:$E$1177,$A7,'All resources'!$D$6:$D$1177,"Documented")</x:f>
        <x:v>0</x:v>
      </x:c>
      <x:c r="D7" s="61" t="n">
        <x:f>COUNTIFS('All resources'!$E$6:$E$1177,$A7,'All resources'!$C$6:$C$1177,"C-P")</x:f>
        <x:v>0</x:v>
      </x:c>
      <x:c r="E7" s="61" t="n">
        <x:f>COUNTIFS('All resources'!$E$6:$E$1177,$A7,'All resources'!$C$6:$C$1177,"U")</x:f>
        <x:v>1</x:v>
      </x:c>
      <x:c r="F7" s="61" t="n">
        <x:f>COUNTIFS('All resources'!$E$6:$E$1177,$A7,'All resources'!$C$6:$C$1177,"N/A")</x:f>
        <x:v>32</x:v>
      </x:c>
      <x:c r="G7" s="61" t="n">
        <x:f>COUNTIFS('All resources'!$E$6:$E$1177,$A7,'All resources'!$C$6:$C$1177,"A")</x:f>
        <x:v>0</x:v>
      </x:c>
      <x:c r="H7" s="61" t="n">
        <x:f>COUNTIFS('All resources'!$E$6:$E$1177,$A7,'All resources'!$C$6:$C$1177,"B")</x:f>
        <x:v>0</x:v>
      </x:c>
      <x:c r="I7" s="61" t="n">
        <x:f>COUNTIFS('All resources'!$E$6:$E$1177,$A7,'All resources'!$C$6:$C$1177,"C")</x:f>
        <x:v>0</x:v>
      </x:c>
      <x:c r="J7" s="61" t="n">
        <x:f>COUNTIFS('All resources'!$E$6:$E$1177,$A7,'All resources'!$C$6:$C$1177,"D")</x:f>
        <x:v>0</x:v>
      </x:c>
    </x:row>
    <x:row r="8" ht="25" customHeight="1">
      <x:c r="A8" s="61" t="str">
        <x:v>SANDBOX / EMULATOR</x:v>
      </x:c>
      <x:c r="B8" s="61" t="n">
        <x:f>COUNTIF('All resources'!$E$6:$E$1177,$A8)</x:f>
        <x:v>7</x:v>
      </x:c>
      <x:c r="C8" s="61" t="n">
        <x:f>COUNTIFS('All resources'!$E$6:$E$1177,$A8,'All resources'!$D$6:$D$1177,"Documented")</x:f>
        <x:v>0</x:v>
      </x:c>
      <x:c r="D8" s="61" t="n">
        <x:f>COUNTIFS('All resources'!$E$6:$E$1177,$A8,'All resources'!$C$6:$C$1177,"C-P")</x:f>
        <x:v>0</x:v>
      </x:c>
      <x:c r="E8" s="61" t="n">
        <x:f>COUNTIFS('All resources'!$E$6:$E$1177,$A8,'All resources'!$C$6:$C$1177,"U")</x:f>
        <x:v>0</x:v>
      </x:c>
      <x:c r="F8" s="61" t="n">
        <x:f>COUNTIFS('All resources'!$E$6:$E$1177,$A8,'All resources'!$C$6:$C$1177,"N/A")</x:f>
        <x:v>7</x:v>
      </x:c>
      <x:c r="G8" s="61" t="n">
        <x:f>COUNTIFS('All resources'!$E$6:$E$1177,$A8,'All resources'!$C$6:$C$1177,"A")</x:f>
        <x:v>0</x:v>
      </x:c>
      <x:c r="H8" s="61" t="n">
        <x:f>COUNTIFS('All resources'!$E$6:$E$1177,$A8,'All resources'!$C$6:$C$1177,"B")</x:f>
        <x:v>0</x:v>
      </x:c>
      <x:c r="I8" s="61" t="n">
        <x:f>COUNTIFS('All resources'!$E$6:$E$1177,$A8,'All resources'!$C$6:$C$1177,"C")</x:f>
        <x:v>0</x:v>
      </x:c>
      <x:c r="J8" s="61" t="n">
        <x:f>COUNTIFS('All resources'!$E$6:$E$1177,$A8,'All resources'!$C$6:$C$1177,"D")</x:f>
        <x:v>0</x:v>
      </x:c>
    </x:row>
    <x:row r="9" ht="25" customHeight="1">
      <x:c r="A9" s="61" t="str">
        <x:v>PRODUCTIVITY</x:v>
      </x:c>
      <x:c r="B9" s="61" t="n">
        <x:f>COUNTIF('All resources'!$E$6:$E$1177,$A9)</x:f>
        <x:v>57</x:v>
      </x:c>
      <x:c r="C9" s="61" t="n">
        <x:f>COUNTIFS('All resources'!$E$6:$E$1177,$A9,'All resources'!$D$6:$D$1177,"Documented")</x:f>
        <x:v>1</x:v>
      </x:c>
      <x:c r="D9" s="61" t="n">
        <x:f>COUNTIFS('All resources'!$E$6:$E$1177,$A9,'All resources'!$C$6:$C$1177,"C-P")</x:f>
        <x:v>0</x:v>
      </x:c>
      <x:c r="E9" s="61" t="n">
        <x:f>COUNTIFS('All resources'!$E$6:$E$1177,$A9,'All resources'!$C$6:$C$1177,"U")</x:f>
        <x:v>15</x:v>
      </x:c>
      <x:c r="F9" s="61" t="n">
        <x:f>COUNTIFS('All resources'!$E$6:$E$1177,$A9,'All resources'!$C$6:$C$1177,"N/A")</x:f>
        <x:v>41</x:v>
      </x:c>
      <x:c r="G9" s="61" t="n">
        <x:f>COUNTIFS('All resources'!$E$6:$E$1177,$A9,'All resources'!$C$6:$C$1177,"A")</x:f>
        <x:v>0</x:v>
      </x:c>
      <x:c r="H9" s="61" t="n">
        <x:f>COUNTIFS('All resources'!$E$6:$E$1177,$A9,'All resources'!$C$6:$C$1177,"B")</x:f>
        <x:v>1</x:v>
      </x:c>
      <x:c r="I9" s="61" t="n">
        <x:f>COUNTIFS('All resources'!$E$6:$E$1177,$A9,'All resources'!$C$6:$C$1177,"C")</x:f>
        <x:v>0</x:v>
      </x:c>
      <x:c r="J9" s="61" t="n">
        <x:f>COUNTIFS('All resources'!$E$6:$E$1177,$A9,'All resources'!$C$6:$C$1177,"D")</x:f>
        <x:v>0</x:v>
      </x:c>
    </x:row>
    <x:row r="10" ht="25" customHeight="1">
      <x:c r="A10" s="61" t="str">
        <x:v>FILE UPLOAD</x:v>
      </x:c>
      <x:c r="B10" s="61" t="n">
        <x:f>COUNTIF('All resources'!$E$6:$E$1177,$A10)</x:f>
        <x:v>6</x:v>
      </x:c>
      <x:c r="C10" s="61" t="n">
        <x:f>COUNTIFS('All resources'!$E$6:$E$1177,$A10,'All resources'!$D$6:$D$1177,"Documented")</x:f>
        <x:v>0</x:v>
      </x:c>
      <x:c r="D10" s="61" t="n">
        <x:f>COUNTIFS('All resources'!$E$6:$E$1177,$A10,'All resources'!$C$6:$C$1177,"C-P")</x:f>
        <x:v>0</x:v>
      </x:c>
      <x:c r="E10" s="61" t="n">
        <x:f>COUNTIFS('All resources'!$E$6:$E$1177,$A10,'All resources'!$C$6:$C$1177,"U")</x:f>
        <x:v>0</x:v>
      </x:c>
      <x:c r="F10" s="61" t="n">
        <x:f>COUNTIFS('All resources'!$E$6:$E$1177,$A10,'All resources'!$C$6:$C$1177,"N/A")</x:f>
        <x:v>6</x:v>
      </x:c>
      <x:c r="G10" s="61" t="n">
        <x:f>COUNTIFS('All resources'!$E$6:$E$1177,$A10,'All resources'!$C$6:$C$1177,"A")</x:f>
        <x:v>0</x:v>
      </x:c>
      <x:c r="H10" s="61" t="n">
        <x:f>COUNTIFS('All resources'!$E$6:$E$1177,$A10,'All resources'!$C$6:$C$1177,"B")</x:f>
        <x:v>0</x:v>
      </x:c>
      <x:c r="I10" s="61" t="n">
        <x:f>COUNTIFS('All resources'!$E$6:$E$1177,$A10,'All resources'!$C$6:$C$1177,"C")</x:f>
        <x:v>0</x:v>
      </x:c>
      <x:c r="J10" s="61" t="n">
        <x:f>COUNTIFS('All resources'!$E$6:$E$1177,$A10,'All resources'!$C$6:$C$1177,"D")</x:f>
        <x:v>0</x:v>
      </x:c>
    </x:row>
    <x:row r="11" ht="25" customHeight="1">
      <x:c r="A11" s="61" t="str">
        <x:v>TOOLSET</x:v>
      </x:c>
      <x:c r="B11" s="61" t="n">
        <x:f>COUNTIF('All resources'!$E$6:$E$1177,$A11)</x:f>
        <x:v>37</x:v>
      </x:c>
      <x:c r="C11" s="61" t="n">
        <x:f>COUNTIFS('All resources'!$E$6:$E$1177,$A11,'All resources'!$D$6:$D$1177,"Documented")</x:f>
        <x:v>1</x:v>
      </x:c>
      <x:c r="D11" s="61" t="n">
        <x:f>COUNTIFS('All resources'!$E$6:$E$1177,$A11,'All resources'!$C$6:$C$1177,"C-P")</x:f>
        <x:v>0</x:v>
      </x:c>
      <x:c r="E11" s="61" t="n">
        <x:f>COUNTIFS('All resources'!$E$6:$E$1177,$A11,'All resources'!$C$6:$C$1177,"U")</x:f>
        <x:v>3</x:v>
      </x:c>
      <x:c r="F11" s="61" t="n">
        <x:f>COUNTIFS('All resources'!$E$6:$E$1177,$A11,'All resources'!$C$6:$C$1177,"N/A")</x:f>
        <x:v>34</x:v>
      </x:c>
      <x:c r="G11" s="61" t="n">
        <x:f>COUNTIFS('All resources'!$E$6:$E$1177,$A11,'All resources'!$C$6:$C$1177,"A")</x:f>
        <x:v>0</x:v>
      </x:c>
      <x:c r="H11" s="61" t="n">
        <x:f>COUNTIFS('All resources'!$E$6:$E$1177,$A11,'All resources'!$C$6:$C$1177,"B")</x:f>
        <x:v>0</x:v>
      </x:c>
      <x:c r="I11" s="61" t="n">
        <x:f>COUNTIFS('All resources'!$E$6:$E$1177,$A11,'All resources'!$C$6:$C$1177,"C")</x:f>
        <x:v>0</x:v>
      </x:c>
      <x:c r="J11" s="61" t="n">
        <x:f>COUNTIFS('All resources'!$E$6:$E$1177,$A11,'All resources'!$C$6:$C$1177,"D")</x:f>
        <x:v>0</x:v>
      </x:c>
    </x:row>
    <x:row r="12" ht="25" customHeight="1">
      <x:c r="A12" s="61" t="str">
        <x:v>HASH RECOVERY</x:v>
      </x:c>
      <x:c r="B12" s="61" t="n">
        <x:f>COUNTIF('All resources'!$E$6:$E$1177,$A12)</x:f>
        <x:v>8</x:v>
      </x:c>
      <x:c r="C12" s="61" t="n">
        <x:f>COUNTIFS('All resources'!$E$6:$E$1177,$A12,'All resources'!$D$6:$D$1177,"Documented")</x:f>
        <x:v>0</x:v>
      </x:c>
      <x:c r="D12" s="61" t="n">
        <x:f>COUNTIFS('All resources'!$E$6:$E$1177,$A12,'All resources'!$C$6:$C$1177,"C-P")</x:f>
        <x:v>0</x:v>
      </x:c>
      <x:c r="E12" s="61" t="n">
        <x:f>COUNTIFS('All resources'!$E$6:$E$1177,$A12,'All resources'!$C$6:$C$1177,"U")</x:f>
        <x:v>0</x:v>
      </x:c>
      <x:c r="F12" s="61" t="n">
        <x:f>COUNTIFS('All resources'!$E$6:$E$1177,$A12,'All resources'!$C$6:$C$1177,"N/A")</x:f>
        <x:v>8</x:v>
      </x:c>
      <x:c r="G12" s="61" t="n">
        <x:f>COUNTIFS('All resources'!$E$6:$E$1177,$A12,'All resources'!$C$6:$C$1177,"A")</x:f>
        <x:v>0</x:v>
      </x:c>
      <x:c r="H12" s="61" t="n">
        <x:f>COUNTIFS('All resources'!$E$6:$E$1177,$A12,'All resources'!$C$6:$C$1177,"B")</x:f>
        <x:v>0</x:v>
      </x:c>
      <x:c r="I12" s="61" t="n">
        <x:f>COUNTIFS('All resources'!$E$6:$E$1177,$A12,'All resources'!$C$6:$C$1177,"C")</x:f>
        <x:v>0</x:v>
      </x:c>
      <x:c r="J12" s="61" t="n">
        <x:f>COUNTIFS('All resources'!$E$6:$E$1177,$A12,'All resources'!$C$6:$C$1177,"D")</x:f>
        <x:v>0</x:v>
      </x:c>
    </x:row>
    <x:row r="13" ht="25" customHeight="1">
      <x:c r="A13" s="61" t="str">
        <x:v>DOWNLOADER</x:v>
      </x:c>
      <x:c r="B13" s="61" t="n">
        <x:f>COUNTIF('All resources'!$E$6:$E$1177,$A13)</x:f>
        <x:v>9</x:v>
      </x:c>
      <x:c r="C13" s="61" t="n">
        <x:f>COUNTIFS('All resources'!$E$6:$E$1177,$A13,'All resources'!$D$6:$D$1177,"Documented")</x:f>
        <x:v>0</x:v>
      </x:c>
      <x:c r="D13" s="61" t="n">
        <x:f>COUNTIFS('All resources'!$E$6:$E$1177,$A13,'All resources'!$C$6:$C$1177,"C-P")</x:f>
        <x:v>0</x:v>
      </x:c>
      <x:c r="E13" s="61" t="n">
        <x:f>COUNTIFS('All resources'!$E$6:$E$1177,$A13,'All resources'!$C$6:$C$1177,"U")</x:f>
        <x:v>0</x:v>
      </x:c>
      <x:c r="F13" s="61" t="n">
        <x:f>COUNTIFS('All resources'!$E$6:$E$1177,$A13,'All resources'!$C$6:$C$1177,"N/A")</x:f>
        <x:v>9</x:v>
      </x:c>
      <x:c r="G13" s="61" t="n">
        <x:f>COUNTIFS('All resources'!$E$6:$E$1177,$A13,'All resources'!$C$6:$C$1177,"A")</x:f>
        <x:v>0</x:v>
      </x:c>
      <x:c r="H13" s="61" t="n">
        <x:f>COUNTIFS('All resources'!$E$6:$E$1177,$A13,'All resources'!$C$6:$C$1177,"B")</x:f>
        <x:v>0</x:v>
      </x:c>
      <x:c r="I13" s="61" t="n">
        <x:f>COUNTIFS('All resources'!$E$6:$E$1177,$A13,'All resources'!$C$6:$C$1177,"C")</x:f>
        <x:v>0</x:v>
      </x:c>
      <x:c r="J13" s="61" t="n">
        <x:f>COUNTIFS('All resources'!$E$6:$E$1177,$A13,'All resources'!$C$6:$C$1177,"D")</x:f>
        <x:v>0</x:v>
      </x:c>
    </x:row>
    <x:row r="14" ht="25" customHeight="1">
      <x:c r="A14" s="61" t="str">
        <x:v>PRIVACY / SECURITY</x:v>
      </x:c>
      <x:c r="B14" s="61" t="n">
        <x:f>COUNTIF('All resources'!$E$6:$E$1177,$A14)</x:f>
        <x:v>22</x:v>
      </x:c>
      <x:c r="C14" s="61" t="n">
        <x:f>COUNTIFS('All resources'!$E$6:$E$1177,$A14,'All resources'!$D$6:$D$1177,"Documented")</x:f>
        <x:v>1</x:v>
      </x:c>
      <x:c r="D14" s="61" t="n">
        <x:f>COUNTIFS('All resources'!$E$6:$E$1177,$A14,'All resources'!$C$6:$C$1177,"C-P")</x:f>
        <x:v>0</x:v>
      </x:c>
      <x:c r="E14" s="61" t="n">
        <x:f>COUNTIFS('All resources'!$E$6:$E$1177,$A14,'All resources'!$C$6:$C$1177,"U")</x:f>
        <x:v>0</x:v>
      </x:c>
      <x:c r="F14" s="61" t="n">
        <x:f>COUNTIFS('All resources'!$E$6:$E$1177,$A14,'All resources'!$C$6:$C$1177,"N/A")</x:f>
        <x:v>22</x:v>
      </x:c>
      <x:c r="G14" s="61" t="n">
        <x:f>COUNTIFS('All resources'!$E$6:$E$1177,$A14,'All resources'!$C$6:$C$1177,"A")</x:f>
        <x:v>0</x:v>
      </x:c>
      <x:c r="H14" s="61" t="n">
        <x:f>COUNTIFS('All resources'!$E$6:$E$1177,$A14,'All resources'!$C$6:$C$1177,"B")</x:f>
        <x:v>0</x:v>
      </x:c>
      <x:c r="I14" s="61" t="n">
        <x:f>COUNTIFS('All resources'!$E$6:$E$1177,$A14,'All resources'!$C$6:$C$1177,"C")</x:f>
        <x:v>0</x:v>
      </x:c>
      <x:c r="J14" s="61" t="n">
        <x:f>COUNTIFS('All resources'!$E$6:$E$1177,$A14,'All resources'!$C$6:$C$1177,"D")</x:f>
        <x:v>0</x:v>
      </x:c>
    </x:row>
    <x:row r="15" ht="25" customHeight="1">
      <x:c r="A15" s="61" t="str">
        <x:v>SECURE COMMUNICATION</x:v>
      </x:c>
      <x:c r="B15" s="61" t="n">
        <x:f>COUNTIF('All resources'!$E$6:$E$1177,$A15)</x:f>
        <x:v>20</x:v>
      </x:c>
      <x:c r="C15" s="61" t="n">
        <x:f>COUNTIFS('All resources'!$E$6:$E$1177,$A15,'All resources'!$D$6:$D$1177,"Documented")</x:f>
        <x:v>0</x:v>
      </x:c>
      <x:c r="D15" s="61" t="n">
        <x:f>COUNTIFS('All resources'!$E$6:$E$1177,$A15,'All resources'!$C$6:$C$1177,"C-P")</x:f>
        <x:v>0</x:v>
      </x:c>
      <x:c r="E15" s="61" t="n">
        <x:f>COUNTIFS('All resources'!$E$6:$E$1177,$A15,'All resources'!$C$6:$C$1177,"U")</x:f>
        <x:v>0</x:v>
      </x:c>
      <x:c r="F15" s="61" t="n">
        <x:f>COUNTIFS('All resources'!$E$6:$E$1177,$A15,'All resources'!$C$6:$C$1177,"N/A")</x:f>
        <x:v>20</x:v>
      </x:c>
      <x:c r="G15" s="61" t="n">
        <x:f>COUNTIFS('All resources'!$E$6:$E$1177,$A15,'All resources'!$C$6:$C$1177,"A")</x:f>
        <x:v>0</x:v>
      </x:c>
      <x:c r="H15" s="61" t="n">
        <x:f>COUNTIFS('All resources'!$E$6:$E$1177,$A15,'All resources'!$C$6:$C$1177,"B")</x:f>
        <x:v>0</x:v>
      </x:c>
      <x:c r="I15" s="61" t="n">
        <x:f>COUNTIFS('All resources'!$E$6:$E$1177,$A15,'All resources'!$C$6:$C$1177,"C")</x:f>
        <x:v>0</x:v>
      </x:c>
      <x:c r="J15" s="61" t="n">
        <x:f>COUNTIFS('All resources'!$E$6:$E$1177,$A15,'All resources'!$C$6:$C$1177,"D")</x:f>
        <x:v>0</x:v>
      </x:c>
    </x:row>
    <x:row r="16" ht="25" customHeight="1">
      <x:c r="A16" s="61" t="str">
        <x:v>RESOURCES</x:v>
      </x:c>
      <x:c r="B16" s="61" t="n">
        <x:f>COUNTIF('All resources'!$E$6:$E$1177,$A16)</x:f>
        <x:v>54</x:v>
      </x:c>
      <x:c r="C16" s="61" t="n">
        <x:f>COUNTIFS('All resources'!$E$6:$E$1177,$A16,'All resources'!$D$6:$D$1177,"Documented")</x:f>
        <x:v>0</x:v>
      </x:c>
      <x:c r="D16" s="61" t="n">
        <x:f>COUNTIFS('All resources'!$E$6:$E$1177,$A16,'All resources'!$C$6:$C$1177,"C-P")</x:f>
        <x:v>0</x:v>
      </x:c>
      <x:c r="E16" s="61" t="n">
        <x:f>COUNTIFS('All resources'!$E$6:$E$1177,$A16,'All resources'!$C$6:$C$1177,"U")</x:f>
        <x:v>0</x:v>
      </x:c>
      <x:c r="F16" s="61" t="n">
        <x:f>COUNTIFS('All resources'!$E$6:$E$1177,$A16,'All resources'!$C$6:$C$1177,"N/A")</x:f>
        <x:v>54</x:v>
      </x:c>
      <x:c r="G16" s="61" t="n">
        <x:f>COUNTIFS('All resources'!$E$6:$E$1177,$A16,'All resources'!$C$6:$C$1177,"A")</x:f>
        <x:v>0</x:v>
      </x:c>
      <x:c r="H16" s="61" t="n">
        <x:f>COUNTIFS('All resources'!$E$6:$E$1177,$A16,'All resources'!$C$6:$C$1177,"B")</x:f>
        <x:v>0</x:v>
      </x:c>
      <x:c r="I16" s="61" t="n">
        <x:f>COUNTIFS('All resources'!$E$6:$E$1177,$A16,'All resources'!$C$6:$C$1177,"C")</x:f>
        <x:v>0</x:v>
      </x:c>
      <x:c r="J16" s="61" t="n">
        <x:f>COUNTIFS('All resources'!$E$6:$E$1177,$A16,'All resources'!$C$6:$C$1177,"D")</x:f>
        <x:v>0</x:v>
      </x:c>
    </x:row>
    <x:row r="17" ht="25" customHeight="1">
      <x:c r="A17" s="61" t="str">
        <x:v>WEATHER</x:v>
      </x:c>
      <x:c r="B17" s="61" t="n">
        <x:f>COUNTIF('All resources'!$E$6:$E$1177,$A17)</x:f>
        <x:v>4</x:v>
      </x:c>
      <x:c r="C17" s="61" t="n">
        <x:f>COUNTIFS('All resources'!$E$6:$E$1177,$A17,'All resources'!$D$6:$D$1177,"Documented")</x:f>
        <x:v>0</x:v>
      </x:c>
      <x:c r="D17" s="61" t="n">
        <x:f>COUNTIFS('All resources'!$E$6:$E$1177,$A17,'All resources'!$C$6:$C$1177,"C-P")</x:f>
        <x:v>0</x:v>
      </x:c>
      <x:c r="E17" s="61" t="n">
        <x:f>COUNTIFS('All resources'!$E$6:$E$1177,$A17,'All resources'!$C$6:$C$1177,"U")</x:f>
        <x:v>4</x:v>
      </x:c>
      <x:c r="F17" s="61" t="n">
        <x:f>COUNTIFS('All resources'!$E$6:$E$1177,$A17,'All resources'!$C$6:$C$1177,"N/A")</x:f>
        <x:v>0</x:v>
      </x:c>
      <x:c r="G17" s="61" t="n">
        <x:f>COUNTIFS('All resources'!$E$6:$E$1177,$A17,'All resources'!$C$6:$C$1177,"A")</x:f>
        <x:v>0</x:v>
      </x:c>
      <x:c r="H17" s="61" t="n">
        <x:f>COUNTIFS('All resources'!$E$6:$E$1177,$A17,'All resources'!$C$6:$C$1177,"B")</x:f>
        <x:v>0</x:v>
      </x:c>
      <x:c r="I17" s="61" t="n">
        <x:f>COUNTIFS('All resources'!$E$6:$E$1177,$A17,'All resources'!$C$6:$C$1177,"C")</x:f>
        <x:v>0</x:v>
      </x:c>
      <x:c r="J17" s="61" t="n">
        <x:f>COUNTIFS('All resources'!$E$6:$E$1177,$A17,'All resources'!$C$6:$C$1177,"D")</x:f>
        <x:v>0</x:v>
      </x:c>
    </x:row>
    <x:row r="18" ht="25" customHeight="1">
      <x:c r="A18" s="61" t="str">
        <x:v>THREAT INTEL</x:v>
      </x:c>
      <x:c r="B18" s="61" t="n">
        <x:f>COUNTIF('All resources'!$E$6:$E$1177,$A18)</x:f>
        <x:v>17</x:v>
      </x:c>
      <x:c r="C18" s="61" t="n">
        <x:f>COUNTIFS('All resources'!$E$6:$E$1177,$A18,'All resources'!$D$6:$D$1177,"Documented")</x:f>
        <x:v>0</x:v>
      </x:c>
      <x:c r="D18" s="61" t="n">
        <x:f>COUNTIFS('All resources'!$E$6:$E$1177,$A18,'All resources'!$C$6:$C$1177,"C-P")</x:f>
        <x:v>0</x:v>
      </x:c>
      <x:c r="E18" s="61" t="n">
        <x:f>COUNTIFS('All resources'!$E$6:$E$1177,$A18,'All resources'!$C$6:$C$1177,"U")</x:f>
        <x:v>17</x:v>
      </x:c>
      <x:c r="F18" s="61" t="n">
        <x:f>COUNTIFS('All resources'!$E$6:$E$1177,$A18,'All resources'!$C$6:$C$1177,"N/A")</x:f>
        <x:v>0</x:v>
      </x:c>
      <x:c r="G18" s="61" t="n">
        <x:f>COUNTIFS('All resources'!$E$6:$E$1177,$A18,'All resources'!$C$6:$C$1177,"A")</x:f>
        <x:v>0</x:v>
      </x:c>
      <x:c r="H18" s="61" t="n">
        <x:f>COUNTIFS('All resources'!$E$6:$E$1177,$A18,'All resources'!$C$6:$C$1177,"B")</x:f>
        <x:v>0</x:v>
      </x:c>
      <x:c r="I18" s="61" t="n">
        <x:f>COUNTIFS('All resources'!$E$6:$E$1177,$A18,'All resources'!$C$6:$C$1177,"C")</x:f>
        <x:v>0</x:v>
      </x:c>
      <x:c r="J18" s="61" t="n">
        <x:f>COUNTIFS('All resources'!$E$6:$E$1177,$A18,'All resources'!$C$6:$C$1177,"D")</x:f>
        <x:v>0</x:v>
      </x:c>
    </x:row>
    <x:row r="19" ht="25" customHeight="1">
      <x:c r="A19" s="61" t="str">
        <x:v>UNIFIED SEARCH</x:v>
      </x:c>
      <x:c r="B19" s="61" t="n">
        <x:f>COUNTIF('All resources'!$E$6:$E$1177,$A19)</x:f>
        <x:v>13</x:v>
      </x:c>
      <x:c r="C19" s="61" t="n">
        <x:f>COUNTIFS('All resources'!$E$6:$E$1177,$A19,'All resources'!$D$6:$D$1177,"Documented")</x:f>
        <x:v>8</x:v>
      </x:c>
      <x:c r="D19" s="61" t="n">
        <x:f>COUNTIFS('All resources'!$E$6:$E$1177,$A19,'All resources'!$C$6:$C$1177,"C-P")</x:f>
        <x:v>2</x:v>
      </x:c>
      <x:c r="E19" s="61" t="n">
        <x:f>COUNTIFS('All resources'!$E$6:$E$1177,$A19,'All resources'!$C$6:$C$1177,"U")</x:f>
        <x:v>3</x:v>
      </x:c>
      <x:c r="F19" s="61" t="n">
        <x:f>COUNTIFS('All resources'!$E$6:$E$1177,$A19,'All resources'!$C$6:$C$1177,"N/A")</x:f>
        <x:v>1</x:v>
      </x:c>
      <x:c r="G19" s="61" t="n">
        <x:f>COUNTIFS('All resources'!$E$6:$E$1177,$A19,'All resources'!$C$6:$C$1177,"A")</x:f>
        <x:v>0</x:v>
      </x:c>
      <x:c r="H19" s="61" t="n">
        <x:f>COUNTIFS('All resources'!$E$6:$E$1177,$A19,'All resources'!$C$6:$C$1177,"B")</x:f>
        <x:v>2</x:v>
      </x:c>
      <x:c r="I19" s="61" t="n">
        <x:f>COUNTIFS('All resources'!$E$6:$E$1177,$A19,'All resources'!$C$6:$C$1177,"C")</x:f>
        <x:v>5</x:v>
      </x:c>
      <x:c r="J19" s="61" t="n">
        <x:f>COUNTIFS('All resources'!$E$6:$E$1177,$A19,'All resources'!$C$6:$C$1177,"D")</x:f>
        <x:v>0</x:v>
      </x:c>
    </x:row>
    <x:row r="20" ht="25" customHeight="1">
      <x:c r="A20" s="61" t="str">
        <x:v>PEOPLE</x:v>
      </x:c>
      <x:c r="B20" s="61" t="n">
        <x:f>COUNTIF('All resources'!$E$6:$E$1177,$A20)</x:f>
        <x:v>26</x:v>
      </x:c>
      <x:c r="C20" s="61" t="n">
        <x:f>COUNTIFS('All resources'!$E$6:$E$1177,$A20,'All resources'!$D$6:$D$1177,"Documented")</x:f>
        <x:v>8</x:v>
      </x:c>
      <x:c r="D20" s="61" t="n">
        <x:f>COUNTIFS('All resources'!$E$6:$E$1177,$A20,'All resources'!$C$6:$C$1177,"C-P")</x:f>
        <x:v>2</x:v>
      </x:c>
      <x:c r="E20" s="61" t="n">
        <x:f>COUNTIFS('All resources'!$E$6:$E$1177,$A20,'All resources'!$C$6:$C$1177,"U")</x:f>
        <x:v>16</x:v>
      </x:c>
      <x:c r="F20" s="61" t="n">
        <x:f>COUNTIFS('All resources'!$E$6:$E$1177,$A20,'All resources'!$C$6:$C$1177,"N/A")</x:f>
        <x:v>0</x:v>
      </x:c>
      <x:c r="G20" s="61" t="n">
        <x:f>COUNTIFS('All resources'!$E$6:$E$1177,$A20,'All resources'!$C$6:$C$1177,"A")</x:f>
        <x:v>0</x:v>
      </x:c>
      <x:c r="H20" s="61" t="n">
        <x:f>COUNTIFS('All resources'!$E$6:$E$1177,$A20,'All resources'!$C$6:$C$1177,"B")</x:f>
        <x:v>1</x:v>
      </x:c>
      <x:c r="I20" s="61" t="n">
        <x:f>COUNTIFS('All resources'!$E$6:$E$1177,$A20,'All resources'!$C$6:$C$1177,"C")</x:f>
        <x:v>6</x:v>
      </x:c>
      <x:c r="J20" s="61" t="n">
        <x:f>COUNTIFS('All resources'!$E$6:$E$1177,$A20,'All resources'!$C$6:$C$1177,"D")</x:f>
        <x:v>1</x:v>
      </x:c>
    </x:row>
    <x:row r="21" ht="25" customHeight="1">
      <x:c r="A21" s="61" t="str">
        <x:v>USERNAME</x:v>
      </x:c>
      <x:c r="B21" s="61" t="n">
        <x:f>COUNTIF('All resources'!$E$6:$E$1177,$A21)</x:f>
        <x:v>19</x:v>
      </x:c>
      <x:c r="C21" s="61" t="n">
        <x:f>COUNTIFS('All resources'!$E$6:$E$1177,$A21,'All resources'!$D$6:$D$1177,"Documented")</x:f>
        <x:v>17</x:v>
      </x:c>
      <x:c r="D21" s="61" t="n">
        <x:f>COUNTIFS('All resources'!$E$6:$E$1177,$A21,'All resources'!$C$6:$C$1177,"C-P")</x:f>
        <x:v>0</x:v>
      </x:c>
      <x:c r="E21" s="61" t="n">
        <x:f>COUNTIFS('All resources'!$E$6:$E$1177,$A21,'All resources'!$C$6:$C$1177,"U")</x:f>
        <x:v>2</x:v>
      </x:c>
      <x:c r="F21" s="61" t="n">
        <x:f>COUNTIFS('All resources'!$E$6:$E$1177,$A21,'All resources'!$C$6:$C$1177,"N/A")</x:f>
        <x:v>0</x:v>
      </x:c>
      <x:c r="G21" s="61" t="n">
        <x:f>COUNTIFS('All resources'!$E$6:$E$1177,$A21,'All resources'!$C$6:$C$1177,"A")</x:f>
        <x:v>0</x:v>
      </x:c>
      <x:c r="H21" s="61" t="n">
        <x:f>COUNTIFS('All resources'!$E$6:$E$1177,$A21,'All resources'!$C$6:$C$1177,"B")</x:f>
        <x:v>1</x:v>
      </x:c>
      <x:c r="I21" s="61" t="n">
        <x:f>COUNTIFS('All resources'!$E$6:$E$1177,$A21,'All resources'!$C$6:$C$1177,"C")</x:f>
        <x:v>16</x:v>
      </x:c>
      <x:c r="J21" s="61" t="n">
        <x:f>COUNTIFS('All resources'!$E$6:$E$1177,$A21,'All resources'!$C$6:$C$1177,"D")</x:f>
        <x:v>0</x:v>
      </x:c>
    </x:row>
    <x:row r="22" ht="25" customHeight="1">
      <x:c r="A22" s="61" t="str">
        <x:v>EMAIL</x:v>
      </x:c>
      <x:c r="B22" s="61" t="n">
        <x:f>COUNTIF('All resources'!$E$6:$E$1177,$A22)</x:f>
        <x:v>26</x:v>
      </x:c>
      <x:c r="C22" s="61" t="n">
        <x:f>COUNTIFS('All resources'!$E$6:$E$1177,$A22,'All resources'!$D$6:$D$1177,"Documented")</x:f>
        <x:v>15</x:v>
      </x:c>
      <x:c r="D22" s="61" t="n">
        <x:f>COUNTIFS('All resources'!$E$6:$E$1177,$A22,'All resources'!$C$6:$C$1177,"C-P")</x:f>
        <x:v>0</x:v>
      </x:c>
      <x:c r="E22" s="61" t="n">
        <x:f>COUNTIFS('All resources'!$E$6:$E$1177,$A22,'All resources'!$C$6:$C$1177,"U")</x:f>
        <x:v>10</x:v>
      </x:c>
      <x:c r="F22" s="61" t="n">
        <x:f>COUNTIFS('All resources'!$E$6:$E$1177,$A22,'All resources'!$C$6:$C$1177,"N/A")</x:f>
        <x:v>1</x:v>
      </x:c>
      <x:c r="G22" s="61" t="n">
        <x:f>COUNTIFS('All resources'!$E$6:$E$1177,$A22,'All resources'!$C$6:$C$1177,"A")</x:f>
        <x:v>0</x:v>
      </x:c>
      <x:c r="H22" s="61" t="n">
        <x:f>COUNTIFS('All resources'!$E$6:$E$1177,$A22,'All resources'!$C$6:$C$1177,"B")</x:f>
        <x:v>6</x:v>
      </x:c>
      <x:c r="I22" s="61" t="n">
        <x:f>COUNTIFS('All resources'!$E$6:$E$1177,$A22,'All resources'!$C$6:$C$1177,"C")</x:f>
        <x:v>9</x:v>
      </x:c>
      <x:c r="J22" s="61" t="n">
        <x:f>COUNTIFS('All resources'!$E$6:$E$1177,$A22,'All resources'!$C$6:$C$1177,"D")</x:f>
        <x:v>0</x:v>
      </x:c>
    </x:row>
    <x:row r="23" ht="25" customHeight="1">
      <x:c r="A23" s="61" t="str">
        <x:v>PHONE</x:v>
      </x:c>
      <x:c r="B23" s="61" t="n">
        <x:f>COUNTIF('All resources'!$E$6:$E$1177,$A23)</x:f>
        <x:v>27</x:v>
      </x:c>
      <x:c r="C23" s="61" t="n">
        <x:f>COUNTIFS('All resources'!$E$6:$E$1177,$A23,'All resources'!$D$6:$D$1177,"Documented")</x:f>
        <x:v>9</x:v>
      </x:c>
      <x:c r="D23" s="61" t="n">
        <x:f>COUNTIFS('All resources'!$E$6:$E$1177,$A23,'All resources'!$C$6:$C$1177,"C-P")</x:f>
        <x:v>1</x:v>
      </x:c>
      <x:c r="E23" s="61" t="n">
        <x:f>COUNTIFS('All resources'!$E$6:$E$1177,$A23,'All resources'!$C$6:$C$1177,"U")</x:f>
        <x:v>13</x:v>
      </x:c>
      <x:c r="F23" s="61" t="n">
        <x:f>COUNTIFS('All resources'!$E$6:$E$1177,$A23,'All resources'!$C$6:$C$1177,"N/A")</x:f>
        <x:v>4</x:v>
      </x:c>
      <x:c r="G23" s="61" t="n">
        <x:f>COUNTIFS('All resources'!$E$6:$E$1177,$A23,'All resources'!$C$6:$C$1177,"A")</x:f>
        <x:v>0</x:v>
      </x:c>
      <x:c r="H23" s="61" t="n">
        <x:f>COUNTIFS('All resources'!$E$6:$E$1177,$A23,'All resources'!$C$6:$C$1177,"B")</x:f>
        <x:v>2</x:v>
      </x:c>
      <x:c r="I23" s="61" t="n">
        <x:f>COUNTIFS('All resources'!$E$6:$E$1177,$A23,'All resources'!$C$6:$C$1177,"C")</x:f>
        <x:v>7</x:v>
      </x:c>
      <x:c r="J23" s="61" t="n">
        <x:f>COUNTIFS('All resources'!$E$6:$E$1177,$A23,'All resources'!$C$6:$C$1177,"D")</x:f>
        <x:v>0</x:v>
      </x:c>
    </x:row>
    <x:row r="24" ht="25" customHeight="1">
      <x:c r="A24" s="61" t="str">
        <x:v>SOCIAL MEDIA</x:v>
      </x:c>
      <x:c r="B24" s="61" t="n">
        <x:f>COUNTIF('All resources'!$E$6:$E$1177,$A24)</x:f>
        <x:v>15</x:v>
      </x:c>
      <x:c r="C24" s="61" t="n">
        <x:f>COUNTIFS('All resources'!$E$6:$E$1177,$A24,'All resources'!$D$6:$D$1177,"Documented")</x:f>
        <x:v>0</x:v>
      </x:c>
      <x:c r="D24" s="61" t="n">
        <x:f>COUNTIFS('All resources'!$E$6:$E$1177,$A24,'All resources'!$C$6:$C$1177,"C-P")</x:f>
        <x:v>15</x:v>
      </x:c>
      <x:c r="E24" s="61" t="n">
        <x:f>COUNTIFS('All resources'!$E$6:$E$1177,$A24,'All resources'!$C$6:$C$1177,"U")</x:f>
        <x:v>0</x:v>
      </x:c>
      <x:c r="F24" s="61" t="n">
        <x:f>COUNTIFS('All resources'!$E$6:$E$1177,$A24,'All resources'!$C$6:$C$1177,"N/A")</x:f>
        <x:v>0</x:v>
      </x:c>
      <x:c r="G24" s="61" t="n">
        <x:f>COUNTIFS('All resources'!$E$6:$E$1177,$A24,'All resources'!$C$6:$C$1177,"A")</x:f>
        <x:v>0</x:v>
      </x:c>
      <x:c r="H24" s="61" t="n">
        <x:f>COUNTIFS('All resources'!$E$6:$E$1177,$A24,'All resources'!$C$6:$C$1177,"B")</x:f>
        <x:v>0</x:v>
      </x:c>
      <x:c r="I24" s="61" t="n">
        <x:f>COUNTIFS('All resources'!$E$6:$E$1177,$A24,'All resources'!$C$6:$C$1177,"C")</x:f>
        <x:v>0</x:v>
      </x:c>
      <x:c r="J24" s="61" t="n">
        <x:f>COUNTIFS('All resources'!$E$6:$E$1177,$A24,'All resources'!$C$6:$C$1177,"D")</x:f>
        <x:v>0</x:v>
      </x:c>
    </x:row>
    <x:row r="25" ht="25" customHeight="1">
      <x:c r="A25" s="61" t="str">
        <x:v>FACEBOOK</x:v>
      </x:c>
      <x:c r="B25" s="61" t="n">
        <x:f>COUNTIF('All resources'!$E$6:$E$1177,$A25)</x:f>
        <x:v>16</x:v>
      </x:c>
      <x:c r="C25" s="61" t="n">
        <x:f>COUNTIFS('All resources'!$E$6:$E$1177,$A25,'All resources'!$D$6:$D$1177,"Documented")</x:f>
        <x:v>0</x:v>
      </x:c>
      <x:c r="D25" s="61" t="n">
        <x:f>COUNTIFS('All resources'!$E$6:$E$1177,$A25,'All resources'!$C$6:$C$1177,"C-P")</x:f>
        <x:v>16</x:v>
      </x:c>
      <x:c r="E25" s="61" t="n">
        <x:f>COUNTIFS('All resources'!$E$6:$E$1177,$A25,'All resources'!$C$6:$C$1177,"U")</x:f>
        <x:v>0</x:v>
      </x:c>
      <x:c r="F25" s="61" t="n">
        <x:f>COUNTIFS('All resources'!$E$6:$E$1177,$A25,'All resources'!$C$6:$C$1177,"N/A")</x:f>
        <x:v>0</x:v>
      </x:c>
      <x:c r="G25" s="61" t="n">
        <x:f>COUNTIFS('All resources'!$E$6:$E$1177,$A25,'All resources'!$C$6:$C$1177,"A")</x:f>
        <x:v>0</x:v>
      </x:c>
      <x:c r="H25" s="61" t="n">
        <x:f>COUNTIFS('All resources'!$E$6:$E$1177,$A25,'All resources'!$C$6:$C$1177,"B")</x:f>
        <x:v>0</x:v>
      </x:c>
      <x:c r="I25" s="61" t="n">
        <x:f>COUNTIFS('All resources'!$E$6:$E$1177,$A25,'All resources'!$C$6:$C$1177,"C")</x:f>
        <x:v>0</x:v>
      </x:c>
      <x:c r="J25" s="61" t="n">
        <x:f>COUNTIFS('All resources'!$E$6:$E$1177,$A25,'All resources'!$C$6:$C$1177,"D")</x:f>
        <x:v>0</x:v>
      </x:c>
    </x:row>
    <x:row r="26" ht="25" customHeight="1">
      <x:c r="A26" s="61" t="str">
        <x:v>TWITTER</x:v>
      </x:c>
      <x:c r="B26" s="61" t="n">
        <x:f>COUNTIF('All resources'!$E$6:$E$1177,$A26)</x:f>
        <x:v>40</x:v>
      </x:c>
      <x:c r="C26" s="61" t="n">
        <x:f>COUNTIFS('All resources'!$E$6:$E$1177,$A26,'All resources'!$D$6:$D$1177,"Documented")</x:f>
        <x:v>4</x:v>
      </x:c>
      <x:c r="D26" s="61" t="n">
        <x:f>COUNTIFS('All resources'!$E$6:$E$1177,$A26,'All resources'!$C$6:$C$1177,"C-P")</x:f>
        <x:v>36</x:v>
      </x:c>
      <x:c r="E26" s="61" t="n">
        <x:f>COUNTIFS('All resources'!$E$6:$E$1177,$A26,'All resources'!$C$6:$C$1177,"U")</x:f>
        <x:v>0</x:v>
      </x:c>
      <x:c r="F26" s="61" t="n">
        <x:f>COUNTIFS('All resources'!$E$6:$E$1177,$A26,'All resources'!$C$6:$C$1177,"N/A")</x:f>
        <x:v>0</x:v>
      </x:c>
      <x:c r="G26" s="61" t="n">
        <x:f>COUNTIFS('All resources'!$E$6:$E$1177,$A26,'All resources'!$C$6:$C$1177,"A")</x:f>
        <x:v>0</x:v>
      </x:c>
      <x:c r="H26" s="61" t="n">
        <x:f>COUNTIFS('All resources'!$E$6:$E$1177,$A26,'All resources'!$C$6:$C$1177,"B")</x:f>
        <x:v>0</x:v>
      </x:c>
      <x:c r="I26" s="61" t="n">
        <x:f>COUNTIFS('All resources'!$E$6:$E$1177,$A26,'All resources'!$C$6:$C$1177,"C")</x:f>
        <x:v>4</x:v>
      </x:c>
      <x:c r="J26" s="61" t="n">
        <x:f>COUNTIFS('All resources'!$E$6:$E$1177,$A26,'All resources'!$C$6:$C$1177,"D")</x:f>
        <x:v>0</x:v>
      </x:c>
    </x:row>
    <x:row r="27" ht="25" customHeight="1">
      <x:c r="A27" s="61" t="str">
        <x:v>YOUTUBE</x:v>
      </x:c>
      <x:c r="B27" s="61" t="n">
        <x:f>COUNTIF('All resources'!$E$6:$E$1177,$A27)</x:f>
        <x:v>17</x:v>
      </x:c>
      <x:c r="C27" s="61" t="n">
        <x:f>COUNTIFS('All resources'!$E$6:$E$1177,$A27,'All resources'!$D$6:$D$1177,"Documented")</x:f>
        <x:v>0</x:v>
      </x:c>
      <x:c r="D27" s="61" t="n">
        <x:f>COUNTIFS('All resources'!$E$6:$E$1177,$A27,'All resources'!$C$6:$C$1177,"C-P")</x:f>
        <x:v>17</x:v>
      </x:c>
      <x:c r="E27" s="61" t="n">
        <x:f>COUNTIFS('All resources'!$E$6:$E$1177,$A27,'All resources'!$C$6:$C$1177,"U")</x:f>
        <x:v>0</x:v>
      </x:c>
      <x:c r="F27" s="61" t="n">
        <x:f>COUNTIFS('All resources'!$E$6:$E$1177,$A27,'All resources'!$C$6:$C$1177,"N/A")</x:f>
        <x:v>0</x:v>
      </x:c>
      <x:c r="G27" s="61" t="n">
        <x:f>COUNTIFS('All resources'!$E$6:$E$1177,$A27,'All resources'!$C$6:$C$1177,"A")</x:f>
        <x:v>0</x:v>
      </x:c>
      <x:c r="H27" s="61" t="n">
        <x:f>COUNTIFS('All resources'!$E$6:$E$1177,$A27,'All resources'!$C$6:$C$1177,"B")</x:f>
        <x:v>0</x:v>
      </x:c>
      <x:c r="I27" s="61" t="n">
        <x:f>COUNTIFS('All resources'!$E$6:$E$1177,$A27,'All resources'!$C$6:$C$1177,"C")</x:f>
        <x:v>0</x:v>
      </x:c>
      <x:c r="J27" s="61" t="n">
        <x:f>COUNTIFS('All resources'!$E$6:$E$1177,$A27,'All resources'!$C$6:$C$1177,"D")</x:f>
        <x:v>0</x:v>
      </x:c>
    </x:row>
    <x:row r="28" ht="25" customHeight="1">
      <x:c r="A28" s="61" t="str">
        <x:v>REDDIT</x:v>
      </x:c>
      <x:c r="B28" s="61" t="n">
        <x:f>COUNTIF('All resources'!$E$6:$E$1177,$A28)</x:f>
        <x:v>34</x:v>
      </x:c>
      <x:c r="C28" s="61" t="n">
        <x:f>COUNTIFS('All resources'!$E$6:$E$1177,$A28,'All resources'!$D$6:$D$1177,"Documented")</x:f>
        <x:v>0</x:v>
      </x:c>
      <x:c r="D28" s="61" t="n">
        <x:f>COUNTIFS('All resources'!$E$6:$E$1177,$A28,'All resources'!$C$6:$C$1177,"C-P")</x:f>
        <x:v>34</x:v>
      </x:c>
      <x:c r="E28" s="61" t="n">
        <x:f>COUNTIFS('All resources'!$E$6:$E$1177,$A28,'All resources'!$C$6:$C$1177,"U")</x:f>
        <x:v>0</x:v>
      </x:c>
      <x:c r="F28" s="61" t="n">
        <x:f>COUNTIFS('All resources'!$E$6:$E$1177,$A28,'All resources'!$C$6:$C$1177,"N/A")</x:f>
        <x:v>0</x:v>
      </x:c>
      <x:c r="G28" s="61" t="n">
        <x:f>COUNTIFS('All resources'!$E$6:$E$1177,$A28,'All resources'!$C$6:$C$1177,"A")</x:f>
        <x:v>0</x:v>
      </x:c>
      <x:c r="H28" s="61" t="n">
        <x:f>COUNTIFS('All resources'!$E$6:$E$1177,$A28,'All resources'!$C$6:$C$1177,"B")</x:f>
        <x:v>0</x:v>
      </x:c>
      <x:c r="I28" s="61" t="n">
        <x:f>COUNTIFS('All resources'!$E$6:$E$1177,$A28,'All resources'!$C$6:$C$1177,"C")</x:f>
        <x:v>0</x:v>
      </x:c>
      <x:c r="J28" s="61" t="n">
        <x:f>COUNTIFS('All resources'!$E$6:$E$1177,$A28,'All resources'!$C$6:$C$1177,"D")</x:f>
        <x:v>0</x:v>
      </x:c>
    </x:row>
    <x:row r="29" ht="25" customHeight="1">
      <x:c r="A29" s="61" t="str">
        <x:v>LINKEDIN</x:v>
      </x:c>
      <x:c r="B29" s="61" t="n">
        <x:f>COUNTIF('All resources'!$E$6:$E$1177,$A29)</x:f>
        <x:v>9</x:v>
      </x:c>
      <x:c r="C29" s="61" t="n">
        <x:f>COUNTIFS('All resources'!$E$6:$E$1177,$A29,'All resources'!$D$6:$D$1177,"Documented")</x:f>
        <x:v>0</x:v>
      </x:c>
      <x:c r="D29" s="61" t="n">
        <x:f>COUNTIFS('All resources'!$E$6:$E$1177,$A29,'All resources'!$C$6:$C$1177,"C-P")</x:f>
        <x:v>9</x:v>
      </x:c>
      <x:c r="E29" s="61" t="n">
        <x:f>COUNTIFS('All resources'!$E$6:$E$1177,$A29,'All resources'!$C$6:$C$1177,"U")</x:f>
        <x:v>0</x:v>
      </x:c>
      <x:c r="F29" s="61" t="n">
        <x:f>COUNTIFS('All resources'!$E$6:$E$1177,$A29,'All resources'!$C$6:$C$1177,"N/A")</x:f>
        <x:v>0</x:v>
      </x:c>
      <x:c r="G29" s="61" t="n">
        <x:f>COUNTIFS('All resources'!$E$6:$E$1177,$A29,'All resources'!$C$6:$C$1177,"A")</x:f>
        <x:v>0</x:v>
      </x:c>
      <x:c r="H29" s="61" t="n">
        <x:f>COUNTIFS('All resources'!$E$6:$E$1177,$A29,'All resources'!$C$6:$C$1177,"B")</x:f>
        <x:v>0</x:v>
      </x:c>
      <x:c r="I29" s="61" t="n">
        <x:f>COUNTIFS('All resources'!$E$6:$E$1177,$A29,'All resources'!$C$6:$C$1177,"C")</x:f>
        <x:v>0</x:v>
      </x:c>
      <x:c r="J29" s="61" t="n">
        <x:f>COUNTIFS('All resources'!$E$6:$E$1177,$A29,'All resources'!$C$6:$C$1177,"D")</x:f>
        <x:v>0</x:v>
      </x:c>
    </x:row>
    <x:row r="30" ht="25" customHeight="1">
      <x:c r="A30" s="61" t="str">
        <x:v>GOOGLE</x:v>
      </x:c>
      <x:c r="B30" s="61" t="n">
        <x:f>COUNTIF('All resources'!$E$6:$E$1177,$A30)</x:f>
        <x:v>4</x:v>
      </x:c>
      <x:c r="C30" s="61" t="n">
        <x:f>COUNTIFS('All resources'!$E$6:$E$1177,$A30,'All resources'!$D$6:$D$1177,"Documented")</x:f>
        <x:v>0</x:v>
      </x:c>
      <x:c r="D30" s="61" t="n">
        <x:f>COUNTIFS('All resources'!$E$6:$E$1177,$A30,'All resources'!$C$6:$C$1177,"C-P")</x:f>
        <x:v>4</x:v>
      </x:c>
      <x:c r="E30" s="61" t="n">
        <x:f>COUNTIFS('All resources'!$E$6:$E$1177,$A30,'All resources'!$C$6:$C$1177,"U")</x:f>
        <x:v>0</x:v>
      </x:c>
      <x:c r="F30" s="61" t="n">
        <x:f>COUNTIFS('All resources'!$E$6:$E$1177,$A30,'All resources'!$C$6:$C$1177,"N/A")</x:f>
        <x:v>0</x:v>
      </x:c>
      <x:c r="G30" s="61" t="n">
        <x:f>COUNTIFS('All resources'!$E$6:$E$1177,$A30,'All resources'!$C$6:$C$1177,"A")</x:f>
        <x:v>0</x:v>
      </x:c>
      <x:c r="H30" s="61" t="n">
        <x:f>COUNTIFS('All resources'!$E$6:$E$1177,$A30,'All resources'!$C$6:$C$1177,"B")</x:f>
        <x:v>0</x:v>
      </x:c>
      <x:c r="I30" s="61" t="n">
        <x:f>COUNTIFS('All resources'!$E$6:$E$1177,$A30,'All resources'!$C$6:$C$1177,"C")</x:f>
        <x:v>0</x:v>
      </x:c>
      <x:c r="J30" s="61" t="n">
        <x:f>COUNTIFS('All resources'!$E$6:$E$1177,$A30,'All resources'!$C$6:$C$1177,"D")</x:f>
        <x:v>0</x:v>
      </x:c>
    </x:row>
    <x:row r="31" ht="25" customHeight="1">
      <x:c r="A31" s="61" t="str">
        <x:v>DISCORD</x:v>
      </x:c>
      <x:c r="B31" s="61" t="n">
        <x:f>COUNTIF('All resources'!$E$6:$E$1177,$A31)</x:f>
        <x:v>13</x:v>
      </x:c>
      <x:c r="C31" s="61" t="n">
        <x:f>COUNTIFS('All resources'!$E$6:$E$1177,$A31,'All resources'!$D$6:$D$1177,"Documented")</x:f>
        <x:v>0</x:v>
      </x:c>
      <x:c r="D31" s="61" t="n">
        <x:f>COUNTIFS('All resources'!$E$6:$E$1177,$A31,'All resources'!$C$6:$C$1177,"C-P")</x:f>
        <x:v>13</x:v>
      </x:c>
      <x:c r="E31" s="61" t="n">
        <x:f>COUNTIFS('All resources'!$E$6:$E$1177,$A31,'All resources'!$C$6:$C$1177,"U")</x:f>
        <x:v>0</x:v>
      </x:c>
      <x:c r="F31" s="61" t="n">
        <x:f>COUNTIFS('All resources'!$E$6:$E$1177,$A31,'All resources'!$C$6:$C$1177,"N/A")</x:f>
        <x:v>0</x:v>
      </x:c>
      <x:c r="G31" s="61" t="n">
        <x:f>COUNTIFS('All resources'!$E$6:$E$1177,$A31,'All resources'!$C$6:$C$1177,"A")</x:f>
        <x:v>0</x:v>
      </x:c>
      <x:c r="H31" s="61" t="n">
        <x:f>COUNTIFS('All resources'!$E$6:$E$1177,$A31,'All resources'!$C$6:$C$1177,"B")</x:f>
        <x:v>0</x:v>
      </x:c>
      <x:c r="I31" s="61" t="n">
        <x:f>COUNTIFS('All resources'!$E$6:$E$1177,$A31,'All resources'!$C$6:$C$1177,"C")</x:f>
        <x:v>0</x:v>
      </x:c>
      <x:c r="J31" s="61" t="n">
        <x:f>COUNTIFS('All resources'!$E$6:$E$1177,$A31,'All resources'!$C$6:$C$1177,"D")</x:f>
        <x:v>0</x:v>
      </x:c>
    </x:row>
    <x:row r="32" ht="25" customHeight="1">
      <x:c r="A32" s="61" t="str">
        <x:v>TWITCH</x:v>
      </x:c>
      <x:c r="B32" s="61" t="n">
        <x:f>COUNTIF('All resources'!$E$6:$E$1177,$A32)</x:f>
        <x:v>13</x:v>
      </x:c>
      <x:c r="C32" s="61" t="n">
        <x:f>COUNTIFS('All resources'!$E$6:$E$1177,$A32,'All resources'!$D$6:$D$1177,"Documented")</x:f>
        <x:v>0</x:v>
      </x:c>
      <x:c r="D32" s="61" t="n">
        <x:f>COUNTIFS('All resources'!$E$6:$E$1177,$A32,'All resources'!$C$6:$C$1177,"C-P")</x:f>
        <x:v>13</x:v>
      </x:c>
      <x:c r="E32" s="61" t="n">
        <x:f>COUNTIFS('All resources'!$E$6:$E$1177,$A32,'All resources'!$C$6:$C$1177,"U")</x:f>
        <x:v>0</x:v>
      </x:c>
      <x:c r="F32" s="61" t="n">
        <x:f>COUNTIFS('All resources'!$E$6:$E$1177,$A32,'All resources'!$C$6:$C$1177,"N/A")</x:f>
        <x:v>0</x:v>
      </x:c>
      <x:c r="G32" s="61" t="n">
        <x:f>COUNTIFS('All resources'!$E$6:$E$1177,$A32,'All resources'!$C$6:$C$1177,"A")</x:f>
        <x:v>0</x:v>
      </x:c>
      <x:c r="H32" s="61" t="n">
        <x:f>COUNTIFS('All resources'!$E$6:$E$1177,$A32,'All resources'!$C$6:$C$1177,"B")</x:f>
        <x:v>0</x:v>
      </x:c>
      <x:c r="I32" s="61" t="n">
        <x:f>COUNTIFS('All resources'!$E$6:$E$1177,$A32,'All resources'!$C$6:$C$1177,"C")</x:f>
        <x:v>0</x:v>
      </x:c>
      <x:c r="J32" s="61" t="n">
        <x:f>COUNTIFS('All resources'!$E$6:$E$1177,$A32,'All resources'!$C$6:$C$1177,"D")</x:f>
        <x:v>0</x:v>
      </x:c>
    </x:row>
    <x:row r="33" ht="25" customHeight="1">
      <x:c r="A33" s="61" t="str">
        <x:v>SEARCH ENGINES</x:v>
      </x:c>
      <x:c r="B33" s="61" t="n">
        <x:f>COUNTIF('All resources'!$E$6:$E$1177,$A33)</x:f>
        <x:v>70</x:v>
      </x:c>
      <x:c r="C33" s="61" t="n">
        <x:f>COUNTIFS('All resources'!$E$6:$E$1177,$A33,'All resources'!$D$6:$D$1177,"Documented")</x:f>
        <x:v>1</x:v>
      </x:c>
      <x:c r="D33" s="61" t="n">
        <x:f>COUNTIFS('All resources'!$E$6:$E$1177,$A33,'All resources'!$C$6:$C$1177,"C-P")</x:f>
        <x:v>69</x:v>
      </x:c>
      <x:c r="E33" s="61" t="n">
        <x:f>COUNTIFS('All resources'!$E$6:$E$1177,$A33,'All resources'!$C$6:$C$1177,"U")</x:f>
        <x:v>0</x:v>
      </x:c>
      <x:c r="F33" s="61" t="n">
        <x:f>COUNTIFS('All resources'!$E$6:$E$1177,$A33,'All resources'!$C$6:$C$1177,"N/A")</x:f>
        <x:v>0</x:v>
      </x:c>
      <x:c r="G33" s="61" t="n">
        <x:f>COUNTIFS('All resources'!$E$6:$E$1177,$A33,'All resources'!$C$6:$C$1177,"A")</x:f>
        <x:v>0</x:v>
      </x:c>
      <x:c r="H33" s="61" t="n">
        <x:f>COUNTIFS('All resources'!$E$6:$E$1177,$A33,'All resources'!$C$6:$C$1177,"B")</x:f>
        <x:v>1</x:v>
      </x:c>
      <x:c r="I33" s="61" t="n">
        <x:f>COUNTIFS('All resources'!$E$6:$E$1177,$A33,'All resources'!$C$6:$C$1177,"C")</x:f>
        <x:v>0</x:v>
      </x:c>
      <x:c r="J33" s="61" t="n">
        <x:f>COUNTIFS('All resources'!$E$6:$E$1177,$A33,'All resources'!$C$6:$C$1177,"D")</x:f>
        <x:v>0</x:v>
      </x:c>
    </x:row>
    <x:row r="34" ht="25" customHeight="1">
      <x:c r="A34" s="61" t="str">
        <x:v>GOOGLE CSE</x:v>
      </x:c>
      <x:c r="B34" s="61" t="n">
        <x:f>COUNTIF('All resources'!$E$6:$E$1177,$A34)</x:f>
        <x:v>19</x:v>
      </x:c>
      <x:c r="C34" s="61" t="n">
        <x:f>COUNTIFS('All resources'!$E$6:$E$1177,$A34,'All resources'!$D$6:$D$1177,"Documented")</x:f>
        <x:v>0</x:v>
      </x:c>
      <x:c r="D34" s="61" t="n">
        <x:f>COUNTIFS('All resources'!$E$6:$E$1177,$A34,'All resources'!$C$6:$C$1177,"C-P")</x:f>
        <x:v>19</x:v>
      </x:c>
      <x:c r="E34" s="61" t="n">
        <x:f>COUNTIFS('All resources'!$E$6:$E$1177,$A34,'All resources'!$C$6:$C$1177,"U")</x:f>
        <x:v>0</x:v>
      </x:c>
      <x:c r="F34" s="61" t="n">
        <x:f>COUNTIFS('All resources'!$E$6:$E$1177,$A34,'All resources'!$C$6:$C$1177,"N/A")</x:f>
        <x:v>0</x:v>
      </x:c>
      <x:c r="G34" s="61" t="n">
        <x:f>COUNTIFS('All resources'!$E$6:$E$1177,$A34,'All resources'!$C$6:$C$1177,"A")</x:f>
        <x:v>0</x:v>
      </x:c>
      <x:c r="H34" s="61" t="n">
        <x:f>COUNTIFS('All resources'!$E$6:$E$1177,$A34,'All resources'!$C$6:$C$1177,"B")</x:f>
        <x:v>0</x:v>
      </x:c>
      <x:c r="I34" s="61" t="n">
        <x:f>COUNTIFS('All resources'!$E$6:$E$1177,$A34,'All resources'!$C$6:$C$1177,"C")</x:f>
        <x:v>0</x:v>
      </x:c>
      <x:c r="J34" s="61" t="n">
        <x:f>COUNTIFS('All resources'!$E$6:$E$1177,$A34,'All resources'!$C$6:$C$1177,"D")</x:f>
        <x:v>0</x:v>
      </x:c>
    </x:row>
    <x:row r="35" ht="25" customHeight="1">
      <x:c r="A35" s="61" t="str">
        <x:v>IMAGE / VIDEO / AUDIO / MEDIA</x:v>
      </x:c>
      <x:c r="B35" s="61" t="n">
        <x:f>COUNTIF('All resources'!$E$6:$E$1177,$A35)</x:f>
        <x:v>41</x:v>
      </x:c>
      <x:c r="C35" s="61" t="n">
        <x:f>COUNTIFS('All resources'!$E$6:$E$1177,$A35,'All resources'!$D$6:$D$1177,"Documented")</x:f>
        <x:v>4</x:v>
      </x:c>
      <x:c r="D35" s="61" t="n">
        <x:f>COUNTIFS('All resources'!$E$6:$E$1177,$A35,'All resources'!$C$6:$C$1177,"C-P")</x:f>
        <x:v>2</x:v>
      </x:c>
      <x:c r="E35" s="61" t="n">
        <x:f>COUNTIFS('All resources'!$E$6:$E$1177,$A35,'All resources'!$C$6:$C$1177,"U")</x:f>
        <x:v>23</x:v>
      </x:c>
      <x:c r="F35" s="61" t="n">
        <x:f>COUNTIFS('All resources'!$E$6:$E$1177,$A35,'All resources'!$C$6:$C$1177,"N/A")</x:f>
        <x:v>12</x:v>
      </x:c>
      <x:c r="G35" s="61" t="n">
        <x:f>COUNTIFS('All resources'!$E$6:$E$1177,$A35,'All resources'!$C$6:$C$1177,"A")</x:f>
        <x:v>0</x:v>
      </x:c>
      <x:c r="H35" s="61" t="n">
        <x:f>COUNTIFS('All resources'!$E$6:$E$1177,$A35,'All resources'!$C$6:$C$1177,"B")</x:f>
        <x:v>1</x:v>
      </x:c>
      <x:c r="I35" s="61" t="n">
        <x:f>COUNTIFS('All resources'!$E$6:$E$1177,$A35,'All resources'!$C$6:$C$1177,"C")</x:f>
        <x:v>3</x:v>
      </x:c>
      <x:c r="J35" s="61" t="n">
        <x:f>COUNTIFS('All resources'!$E$6:$E$1177,$A35,'All resources'!$C$6:$C$1177,"D")</x:f>
        <x:v>0</x:v>
      </x:c>
    </x:row>
    <x:row r="36" ht="25" customHeight="1">
      <x:c r="A36" s="61" t="str">
        <x:v>LICENSE PLATE / VIN / VEHICLE</x:v>
      </x:c>
      <x:c r="B36" s="61" t="n">
        <x:f>COUNTIF('All resources'!$E$6:$E$1177,$A36)</x:f>
        <x:v>30</x:v>
      </x:c>
      <x:c r="C36" s="61" t="n">
        <x:f>COUNTIFS('All resources'!$E$6:$E$1177,$A36,'All resources'!$D$6:$D$1177,"Documented")</x:f>
        <x:v>3</x:v>
      </x:c>
      <x:c r="D36" s="61" t="n">
        <x:f>COUNTIFS('All resources'!$E$6:$E$1177,$A36,'All resources'!$C$6:$C$1177,"C-P")</x:f>
        <x:v>0</x:v>
      </x:c>
      <x:c r="E36" s="61" t="n">
        <x:f>COUNTIFS('All resources'!$E$6:$E$1177,$A36,'All resources'!$C$6:$C$1177,"U")</x:f>
        <x:v>20</x:v>
      </x:c>
      <x:c r="F36" s="61" t="n">
        <x:f>COUNTIFS('All resources'!$E$6:$E$1177,$A36,'All resources'!$C$6:$C$1177,"N/A")</x:f>
        <x:v>7</x:v>
      </x:c>
      <x:c r="G36" s="61" t="n">
        <x:f>COUNTIFS('All resources'!$E$6:$E$1177,$A36,'All resources'!$C$6:$C$1177,"A")</x:f>
        <x:v>1</x:v>
      </x:c>
      <x:c r="H36" s="61" t="n">
        <x:f>COUNTIFS('All resources'!$E$6:$E$1177,$A36,'All resources'!$C$6:$C$1177,"B")</x:f>
        <x:v>1</x:v>
      </x:c>
      <x:c r="I36" s="61" t="n">
        <x:f>COUNTIFS('All resources'!$E$6:$E$1177,$A36,'All resources'!$C$6:$C$1177,"C")</x:f>
        <x:v>1</x:v>
      </x:c>
      <x:c r="J36" s="61" t="n">
        <x:f>COUNTIFS('All resources'!$E$6:$E$1177,$A36,'All resources'!$C$6:$C$1177,"D")</x:f>
        <x:v>0</x:v>
      </x:c>
    </x:row>
    <x:row r="37" ht="25" customHeight="1">
      <x:c r="A37" s="61" t="str">
        <x:v>FLIGHT TRACKER</x:v>
      </x:c>
      <x:c r="B37" s="61" t="n">
        <x:f>COUNTIF('All resources'!$E$6:$E$1177,$A37)</x:f>
        <x:v>10</x:v>
      </x:c>
      <x:c r="C37" s="61" t="n">
        <x:f>COUNTIFS('All resources'!$E$6:$E$1177,$A37,'All resources'!$D$6:$D$1177,"Documented")</x:f>
        <x:v>0</x:v>
      </x:c>
      <x:c r="D37" s="61" t="n">
        <x:f>COUNTIFS('All resources'!$E$6:$E$1177,$A37,'All resources'!$C$6:$C$1177,"C-P")</x:f>
        <x:v>0</x:v>
      </x:c>
      <x:c r="E37" s="61" t="n">
        <x:f>COUNTIFS('All resources'!$E$6:$E$1177,$A37,'All resources'!$C$6:$C$1177,"U")</x:f>
        <x:v>10</x:v>
      </x:c>
      <x:c r="F37" s="61" t="n">
        <x:f>COUNTIFS('All resources'!$E$6:$E$1177,$A37,'All resources'!$C$6:$C$1177,"N/A")</x:f>
        <x:v>0</x:v>
      </x:c>
      <x:c r="G37" s="61" t="n">
        <x:f>COUNTIFS('All resources'!$E$6:$E$1177,$A37,'All resources'!$C$6:$C$1177,"A")</x:f>
        <x:v>0</x:v>
      </x:c>
      <x:c r="H37" s="61" t="n">
        <x:f>COUNTIFS('All resources'!$E$6:$E$1177,$A37,'All resources'!$C$6:$C$1177,"B")</x:f>
        <x:v>0</x:v>
      </x:c>
      <x:c r="I37" s="61" t="n">
        <x:f>COUNTIFS('All resources'!$E$6:$E$1177,$A37,'All resources'!$C$6:$C$1177,"C")</x:f>
        <x:v>0</x:v>
      </x:c>
      <x:c r="J37" s="61" t="n">
        <x:f>COUNTIFS('All resources'!$E$6:$E$1177,$A37,'All resources'!$C$6:$C$1177,"D")</x:f>
        <x:v>0</x:v>
      </x:c>
    </x:row>
    <x:row r="38" ht="25" customHeight="1">
      <x:c r="A38" s="61" t="str">
        <x:v>MARITIME</x:v>
      </x:c>
      <x:c r="B38" s="61" t="n">
        <x:f>COUNTIF('All resources'!$E$6:$E$1177,$A38)</x:f>
        <x:v>19</x:v>
      </x:c>
      <x:c r="C38" s="61" t="n">
        <x:f>COUNTIFS('All resources'!$E$6:$E$1177,$A38,'All resources'!$D$6:$D$1177,"Documented")</x:f>
        <x:v>0</x:v>
      </x:c>
      <x:c r="D38" s="61" t="n">
        <x:f>COUNTIFS('All resources'!$E$6:$E$1177,$A38,'All resources'!$C$6:$C$1177,"C-P")</x:f>
        <x:v>0</x:v>
      </x:c>
      <x:c r="E38" s="61" t="n">
        <x:f>COUNTIFS('All resources'!$E$6:$E$1177,$A38,'All resources'!$C$6:$C$1177,"U")</x:f>
        <x:v>19</x:v>
      </x:c>
      <x:c r="F38" s="61" t="n">
        <x:f>COUNTIFS('All resources'!$E$6:$E$1177,$A38,'All resources'!$C$6:$C$1177,"N/A")</x:f>
        <x:v>0</x:v>
      </x:c>
      <x:c r="G38" s="61" t="n">
        <x:f>COUNTIFS('All resources'!$E$6:$E$1177,$A38,'All resources'!$C$6:$C$1177,"A")</x:f>
        <x:v>0</x:v>
      </x:c>
      <x:c r="H38" s="61" t="n">
        <x:f>COUNTIFS('All resources'!$E$6:$E$1177,$A38,'All resources'!$C$6:$C$1177,"B")</x:f>
        <x:v>0</x:v>
      </x:c>
      <x:c r="I38" s="61" t="n">
        <x:f>COUNTIFS('All resources'!$E$6:$E$1177,$A38,'All resources'!$C$6:$C$1177,"C")</x:f>
        <x:v>0</x:v>
      </x:c>
      <x:c r="J38" s="61" t="n">
        <x:f>COUNTIFS('All resources'!$E$6:$E$1177,$A38,'All resources'!$C$6:$C$1177,"D")</x:f>
        <x:v>0</x:v>
      </x:c>
    </x:row>
    <x:row r="39" ht="25" customHeight="1">
      <x:c r="A39" s="61" t="str">
        <x:v>DORKING</x:v>
      </x:c>
      <x:c r="B39" s="61" t="n">
        <x:f>COUNTIF('All resources'!$E$6:$E$1177,$A39)</x:f>
        <x:v>8</x:v>
      </x:c>
      <x:c r="C39" s="61" t="n">
        <x:f>COUNTIFS('All resources'!$E$6:$E$1177,$A39,'All resources'!$D$6:$D$1177,"Documented")</x:f>
        <x:v>0</x:v>
      </x:c>
      <x:c r="D39" s="61" t="n">
        <x:f>COUNTIFS('All resources'!$E$6:$E$1177,$A39,'All resources'!$C$6:$C$1177,"C-P")</x:f>
        <x:v>0</x:v>
      </x:c>
      <x:c r="E39" s="61" t="n">
        <x:f>COUNTIFS('All resources'!$E$6:$E$1177,$A39,'All resources'!$C$6:$C$1177,"U")</x:f>
        <x:v>0</x:v>
      </x:c>
      <x:c r="F39" s="61" t="n">
        <x:f>COUNTIFS('All resources'!$E$6:$E$1177,$A39,'All resources'!$C$6:$C$1177,"N/A")</x:f>
        <x:v>8</x:v>
      </x:c>
      <x:c r="G39" s="61" t="n">
        <x:f>COUNTIFS('All resources'!$E$6:$E$1177,$A39,'All resources'!$C$6:$C$1177,"A")</x:f>
        <x:v>0</x:v>
      </x:c>
      <x:c r="H39" s="61" t="n">
        <x:f>COUNTIFS('All resources'!$E$6:$E$1177,$A39,'All resources'!$C$6:$C$1177,"B")</x:f>
        <x:v>0</x:v>
      </x:c>
      <x:c r="I39" s="61" t="n">
        <x:f>COUNTIFS('All resources'!$E$6:$E$1177,$A39,'All resources'!$C$6:$C$1177,"C")</x:f>
        <x:v>0</x:v>
      </x:c>
      <x:c r="J39" s="61" t="n">
        <x:f>COUNTIFS('All resources'!$E$6:$E$1177,$A39,'All resources'!$C$6:$C$1177,"D")</x:f>
        <x:v>0</x:v>
      </x:c>
    </x:row>
    <x:row r="40" ht="25" customHeight="1">
      <x:c r="A40" s="61" t="str">
        <x:v>OPEN DIRECTORY</x:v>
      </x:c>
      <x:c r="B40" s="61" t="n">
        <x:f>COUNTIF('All resources'!$E$6:$E$1177,$A40)</x:f>
        <x:v>23</x:v>
      </x:c>
      <x:c r="C40" s="61" t="n">
        <x:f>COUNTIFS('All resources'!$E$6:$E$1177,$A40,'All resources'!$D$6:$D$1177,"Documented")</x:f>
        <x:v>0</x:v>
      </x:c>
      <x:c r="D40" s="61" t="n">
        <x:f>COUNTIFS('All resources'!$E$6:$E$1177,$A40,'All resources'!$C$6:$C$1177,"C-P")</x:f>
        <x:v>23</x:v>
      </x:c>
      <x:c r="E40" s="61" t="n">
        <x:f>COUNTIFS('All resources'!$E$6:$E$1177,$A40,'All resources'!$C$6:$C$1177,"U")</x:f>
        <x:v>0</x:v>
      </x:c>
      <x:c r="F40" s="61" t="n">
        <x:f>COUNTIFS('All resources'!$E$6:$E$1177,$A40,'All resources'!$C$6:$C$1177,"N/A")</x:f>
        <x:v>0</x:v>
      </x:c>
      <x:c r="G40" s="61" t="n">
        <x:f>COUNTIFS('All resources'!$E$6:$E$1177,$A40,'All resources'!$C$6:$C$1177,"A")</x:f>
        <x:v>0</x:v>
      </x:c>
      <x:c r="H40" s="61" t="n">
        <x:f>COUNTIFS('All resources'!$E$6:$E$1177,$A40,'All resources'!$C$6:$C$1177,"B")</x:f>
        <x:v>0</x:v>
      </x:c>
      <x:c r="I40" s="61" t="n">
        <x:f>COUNTIFS('All resources'!$E$6:$E$1177,$A40,'All resources'!$C$6:$C$1177,"C")</x:f>
        <x:v>0</x:v>
      </x:c>
      <x:c r="J40" s="61" t="n">
        <x:f>COUNTIFS('All resources'!$E$6:$E$1177,$A40,'All resources'!$C$6:$C$1177,"D")</x:f>
        <x:v>0</x:v>
      </x:c>
    </x:row>
    <x:row r="41" ht="25" customHeight="1">
      <x:c r="A41" s="61" t="str">
        <x:v>DATASET</x:v>
      </x:c>
      <x:c r="B41" s="61" t="n">
        <x:f>COUNTIF('All resources'!$E$6:$E$1177,$A41)</x:f>
        <x:v>14</x:v>
      </x:c>
      <x:c r="C41" s="61" t="n">
        <x:f>COUNTIFS('All resources'!$E$6:$E$1177,$A41,'All resources'!$D$6:$D$1177,"Documented")</x:f>
        <x:v>0</x:v>
      </x:c>
      <x:c r="D41" s="61" t="n">
        <x:f>COUNTIFS('All resources'!$E$6:$E$1177,$A41,'All resources'!$C$6:$C$1177,"C-P")</x:f>
        <x:v>0</x:v>
      </x:c>
      <x:c r="E41" s="61" t="n">
        <x:f>COUNTIFS('All resources'!$E$6:$E$1177,$A41,'All resources'!$C$6:$C$1177,"U")</x:f>
        <x:v>14</x:v>
      </x:c>
      <x:c r="F41" s="61" t="n">
        <x:f>COUNTIFS('All resources'!$E$6:$E$1177,$A41,'All resources'!$C$6:$C$1177,"N/A")</x:f>
        <x:v>0</x:v>
      </x:c>
      <x:c r="G41" s="61" t="n">
        <x:f>COUNTIFS('All resources'!$E$6:$E$1177,$A41,'All resources'!$C$6:$C$1177,"A")</x:f>
        <x:v>0</x:v>
      </x:c>
      <x:c r="H41" s="61" t="n">
        <x:f>COUNTIFS('All resources'!$E$6:$E$1177,$A41,'All resources'!$C$6:$C$1177,"B")</x:f>
        <x:v>0</x:v>
      </x:c>
      <x:c r="I41" s="61" t="n">
        <x:f>COUNTIFS('All resources'!$E$6:$E$1177,$A41,'All resources'!$C$6:$C$1177,"C")</x:f>
        <x:v>0</x:v>
      </x:c>
      <x:c r="J41" s="61" t="n">
        <x:f>COUNTIFS('All resources'!$E$6:$E$1177,$A41,'All resources'!$C$6:$C$1177,"D")</x:f>
        <x:v>0</x:v>
      </x:c>
    </x:row>
    <x:row r="42" ht="25" customHeight="1">
      <x:c r="A42" s="61" t="str">
        <x:v>SOURCE CODES</x:v>
      </x:c>
      <x:c r="B42" s="61" t="n">
        <x:f>COUNTIF('All resources'!$E$6:$E$1177,$A42)</x:f>
        <x:v>21</x:v>
      </x:c>
      <x:c r="C42" s="61" t="n">
        <x:f>COUNTIFS('All resources'!$E$6:$E$1177,$A42,'All resources'!$D$6:$D$1177,"Documented")</x:f>
        <x:v>0</x:v>
      </x:c>
      <x:c r="D42" s="61" t="n">
        <x:f>COUNTIFS('All resources'!$E$6:$E$1177,$A42,'All resources'!$C$6:$C$1177,"C-P")</x:f>
        <x:v>21</x:v>
      </x:c>
      <x:c r="E42" s="61" t="n">
        <x:f>COUNTIFS('All resources'!$E$6:$E$1177,$A42,'All resources'!$C$6:$C$1177,"U")</x:f>
        <x:v>0</x:v>
      </x:c>
      <x:c r="F42" s="61" t="n">
        <x:f>COUNTIFS('All resources'!$E$6:$E$1177,$A42,'All resources'!$C$6:$C$1177,"N/A")</x:f>
        <x:v>0</x:v>
      </x:c>
      <x:c r="G42" s="61" t="n">
        <x:f>COUNTIFS('All resources'!$E$6:$E$1177,$A42,'All resources'!$C$6:$C$1177,"A")</x:f>
        <x:v>0</x:v>
      </x:c>
      <x:c r="H42" s="61" t="n">
        <x:f>COUNTIFS('All resources'!$E$6:$E$1177,$A42,'All resources'!$C$6:$C$1177,"B")</x:f>
        <x:v>0</x:v>
      </x:c>
      <x:c r="I42" s="61" t="n">
        <x:f>COUNTIFS('All resources'!$E$6:$E$1177,$A42,'All resources'!$C$6:$C$1177,"C")</x:f>
        <x:v>0</x:v>
      </x:c>
      <x:c r="J42" s="61" t="n">
        <x:f>COUNTIFS('All resources'!$E$6:$E$1177,$A42,'All resources'!$C$6:$C$1177,"D")</x:f>
        <x:v>0</x:v>
      </x:c>
    </x:row>
    <x:row r="43" ht="25" customHeight="1">
      <x:c r="A43" s="61" t="str">
        <x:v>WHOIS</x:v>
      </x:c>
      <x:c r="B43" s="61" t="n">
        <x:f>COUNTIF('All resources'!$E$6:$E$1177,$A43)</x:f>
        <x:v>5</x:v>
      </x:c>
      <x:c r="C43" s="61" t="n">
        <x:f>COUNTIFS('All resources'!$E$6:$E$1177,$A43,'All resources'!$D$6:$D$1177,"Documented")</x:f>
        <x:v>2</x:v>
      </x:c>
      <x:c r="D43" s="61" t="n">
        <x:f>COUNTIFS('All resources'!$E$6:$E$1177,$A43,'All resources'!$C$6:$C$1177,"C-P")</x:f>
        <x:v>3</x:v>
      </x:c>
      <x:c r="E43" s="61" t="n">
        <x:f>COUNTIFS('All resources'!$E$6:$E$1177,$A43,'All resources'!$C$6:$C$1177,"U")</x:f>
        <x:v>0</x:v>
      </x:c>
      <x:c r="F43" s="61" t="n">
        <x:f>COUNTIFS('All resources'!$E$6:$E$1177,$A43,'All resources'!$C$6:$C$1177,"N/A")</x:f>
        <x:v>0</x:v>
      </x:c>
      <x:c r="G43" s="61" t="n">
        <x:f>COUNTIFS('All resources'!$E$6:$E$1177,$A43,'All resources'!$C$6:$C$1177,"A")</x:f>
        <x:v>0</x:v>
      </x:c>
      <x:c r="H43" s="61" t="n">
        <x:f>COUNTIFS('All resources'!$E$6:$E$1177,$A43,'All resources'!$C$6:$C$1177,"B")</x:f>
        <x:v>2</x:v>
      </x:c>
      <x:c r="I43" s="61" t="n">
        <x:f>COUNTIFS('All resources'!$E$6:$E$1177,$A43,'All resources'!$C$6:$C$1177,"C")</x:f>
        <x:v>0</x:v>
      </x:c>
      <x:c r="J43" s="61" t="n">
        <x:f>COUNTIFS('All resources'!$E$6:$E$1177,$A43,'All resources'!$C$6:$C$1177,"D")</x:f>
        <x:v>0</x:v>
      </x:c>
    </x:row>
    <x:row r="44" ht="25" customHeight="1">
      <x:c r="A44" s="61" t="str">
        <x:v>DOMAIN / IP / DNS</x:v>
      </x:c>
      <x:c r="B44" s="61" t="n">
        <x:f>COUNTIF('All resources'!$E$6:$E$1177,$A44)</x:f>
        <x:v>53</x:v>
      </x:c>
      <x:c r="C44" s="61" t="n">
        <x:f>COUNTIFS('All resources'!$E$6:$E$1177,$A44,'All resources'!$D$6:$D$1177,"Documented")</x:f>
        <x:v>0</x:v>
      </x:c>
      <x:c r="D44" s="61" t="n">
        <x:f>COUNTIFS('All resources'!$E$6:$E$1177,$A44,'All resources'!$C$6:$C$1177,"C-P")</x:f>
        <x:v>17</x:v>
      </x:c>
      <x:c r="E44" s="61" t="n">
        <x:f>COUNTIFS('All resources'!$E$6:$E$1177,$A44,'All resources'!$C$6:$C$1177,"U")</x:f>
        <x:v>36</x:v>
      </x:c>
      <x:c r="F44" s="61" t="n">
        <x:f>COUNTIFS('All resources'!$E$6:$E$1177,$A44,'All resources'!$C$6:$C$1177,"N/A")</x:f>
        <x:v>0</x:v>
      </x:c>
      <x:c r="G44" s="61" t="n">
        <x:f>COUNTIFS('All resources'!$E$6:$E$1177,$A44,'All resources'!$C$6:$C$1177,"A")</x:f>
        <x:v>0</x:v>
      </x:c>
      <x:c r="H44" s="61" t="n">
        <x:f>COUNTIFS('All resources'!$E$6:$E$1177,$A44,'All resources'!$C$6:$C$1177,"B")</x:f>
        <x:v>0</x:v>
      </x:c>
      <x:c r="I44" s="61" t="n">
        <x:f>COUNTIFS('All resources'!$E$6:$E$1177,$A44,'All resources'!$C$6:$C$1177,"C")</x:f>
        <x:v>0</x:v>
      </x:c>
      <x:c r="J44" s="61" t="n">
        <x:f>COUNTIFS('All resources'!$E$6:$E$1177,$A44,'All resources'!$C$6:$C$1177,"D")</x:f>
        <x:v>0</x:v>
      </x:c>
    </x:row>
    <x:row r="45" ht="25" customHeight="1">
      <x:c r="A45" s="61" t="str">
        <x:v>MALWARE</x:v>
      </x:c>
      <x:c r="B45" s="61" t="n">
        <x:f>COUNTIF('All resources'!$E$6:$E$1177,$A45)</x:f>
        <x:v>15</x:v>
      </x:c>
      <x:c r="C45" s="61" t="n">
        <x:f>COUNTIFS('All resources'!$E$6:$E$1177,$A45,'All resources'!$D$6:$D$1177,"Documented")</x:f>
        <x:v>1</x:v>
      </x:c>
      <x:c r="D45" s="61" t="n">
        <x:f>COUNTIFS('All resources'!$E$6:$E$1177,$A45,'All resources'!$C$6:$C$1177,"C-P")</x:f>
        <x:v>1</x:v>
      </x:c>
      <x:c r="E45" s="61" t="n">
        <x:f>COUNTIFS('All resources'!$E$6:$E$1177,$A45,'All resources'!$C$6:$C$1177,"U")</x:f>
        <x:v>13</x:v>
      </x:c>
      <x:c r="F45" s="61" t="n">
        <x:f>COUNTIFS('All resources'!$E$6:$E$1177,$A45,'All resources'!$C$6:$C$1177,"N/A")</x:f>
        <x:v>0</x:v>
      </x:c>
      <x:c r="G45" s="61" t="n">
        <x:f>COUNTIFS('All resources'!$E$6:$E$1177,$A45,'All resources'!$C$6:$C$1177,"A")</x:f>
        <x:v>0</x:v>
      </x:c>
      <x:c r="H45" s="61" t="n">
        <x:f>COUNTIFS('All resources'!$E$6:$E$1177,$A45,'All resources'!$C$6:$C$1177,"B")</x:f>
        <x:v>1</x:v>
      </x:c>
      <x:c r="I45" s="61" t="n">
        <x:f>COUNTIFS('All resources'!$E$6:$E$1177,$A45,'All resources'!$C$6:$C$1177,"C")</x:f>
        <x:v>0</x:v>
      </x:c>
      <x:c r="J45" s="61" t="n">
        <x:f>COUNTIFS('All resources'!$E$6:$E$1177,$A45,'All resources'!$C$6:$C$1177,"D")</x:f>
        <x:v>0</x:v>
      </x:c>
    </x:row>
    <x:row r="46" ht="25" customHeight="1">
      <x:c r="A46" s="61" t="str">
        <x:v>IoT</x:v>
      </x:c>
      <x:c r="B46" s="61" t="n">
        <x:f>COUNTIF('All resources'!$E$6:$E$1177,$A46)</x:f>
        <x:v>30</x:v>
      </x:c>
      <x:c r="C46" s="61" t="n">
        <x:f>COUNTIFS('All resources'!$E$6:$E$1177,$A46,'All resources'!$D$6:$D$1177,"Documented")</x:f>
        <x:v>0</x:v>
      </x:c>
      <x:c r="D46" s="61" t="n">
        <x:f>COUNTIFS('All resources'!$E$6:$E$1177,$A46,'All resources'!$C$6:$C$1177,"C-P")</x:f>
        <x:v>1</x:v>
      </x:c>
      <x:c r="E46" s="61" t="n">
        <x:f>COUNTIFS('All resources'!$E$6:$E$1177,$A46,'All resources'!$C$6:$C$1177,"U")</x:f>
        <x:v>29</x:v>
      </x:c>
      <x:c r="F46" s="61" t="n">
        <x:f>COUNTIFS('All resources'!$E$6:$E$1177,$A46,'All resources'!$C$6:$C$1177,"N/A")</x:f>
        <x:v>0</x:v>
      </x:c>
      <x:c r="G46" s="61" t="n">
        <x:f>COUNTIFS('All resources'!$E$6:$E$1177,$A46,'All resources'!$C$6:$C$1177,"A")</x:f>
        <x:v>0</x:v>
      </x:c>
      <x:c r="H46" s="61" t="n">
        <x:f>COUNTIFS('All resources'!$E$6:$E$1177,$A46,'All resources'!$C$6:$C$1177,"B")</x:f>
        <x:v>0</x:v>
      </x:c>
      <x:c r="I46" s="61" t="n">
        <x:f>COUNTIFS('All resources'!$E$6:$E$1177,$A46,'All resources'!$C$6:$C$1177,"C")</x:f>
        <x:v>0</x:v>
      </x:c>
      <x:c r="J46" s="61" t="n">
        <x:f>COUNTIFS('All resources'!$E$6:$E$1177,$A46,'All resources'!$C$6:$C$1177,"D")</x:f>
        <x:v>0</x:v>
      </x:c>
    </x:row>
    <x:row r="47" ht="25" customHeight="1">
      <x:c r="A47" s="61" t="str">
        <x:v>MAPS</x:v>
      </x:c>
      <x:c r="B47" s="61" t="n">
        <x:f>COUNTIF('All resources'!$E$6:$E$1177,$A47)</x:f>
        <x:v>47</x:v>
      </x:c>
      <x:c r="C47" s="61" t="n">
        <x:f>COUNTIFS('All resources'!$E$6:$E$1177,$A47,'All resources'!$D$6:$D$1177,"Documented")</x:f>
        <x:v>1</x:v>
      </x:c>
      <x:c r="D47" s="61" t="n">
        <x:f>COUNTIFS('All resources'!$E$6:$E$1177,$A47,'All resources'!$C$6:$C$1177,"C-P")</x:f>
        <x:v>1</x:v>
      </x:c>
      <x:c r="E47" s="61" t="n">
        <x:f>COUNTIFS('All resources'!$E$6:$E$1177,$A47,'All resources'!$C$6:$C$1177,"U")</x:f>
        <x:v>45</x:v>
      </x:c>
      <x:c r="F47" s="61" t="n">
        <x:f>COUNTIFS('All resources'!$E$6:$E$1177,$A47,'All resources'!$C$6:$C$1177,"N/A")</x:f>
        <x:v>0</x:v>
      </x:c>
      <x:c r="G47" s="61" t="n">
        <x:f>COUNTIFS('All resources'!$E$6:$E$1177,$A47,'All resources'!$C$6:$C$1177,"A")</x:f>
        <x:v>0</x:v>
      </x:c>
      <x:c r="H47" s="61" t="n">
        <x:f>COUNTIFS('All resources'!$E$6:$E$1177,$A47,'All resources'!$C$6:$C$1177,"B")</x:f>
        <x:v>1</x:v>
      </x:c>
      <x:c r="I47" s="61" t="n">
        <x:f>COUNTIFS('All resources'!$E$6:$E$1177,$A47,'All resources'!$C$6:$C$1177,"C")</x:f>
        <x:v>0</x:v>
      </x:c>
      <x:c r="J47" s="61" t="n">
        <x:f>COUNTIFS('All resources'!$E$6:$E$1177,$A47,'All resources'!$C$6:$C$1177,"D")</x:f>
        <x:v>0</x:v>
      </x:c>
    </x:row>
    <x:row r="48" ht="25" customHeight="1">
      <x:c r="A48" s="61" t="str">
        <x:v>GEO</x:v>
      </x:c>
      <x:c r="B48" s="61" t="n">
        <x:f>COUNTIF('All resources'!$E$6:$E$1177,$A48)</x:f>
        <x:v>18</x:v>
      </x:c>
      <x:c r="C48" s="61" t="n">
        <x:f>COUNTIFS('All resources'!$E$6:$E$1177,$A48,'All resources'!$D$6:$D$1177,"Documented")</x:f>
        <x:v>0</x:v>
      </x:c>
      <x:c r="D48" s="61" t="n">
        <x:f>COUNTIFS('All resources'!$E$6:$E$1177,$A48,'All resources'!$C$6:$C$1177,"C-P")</x:f>
        <x:v>1</x:v>
      </x:c>
      <x:c r="E48" s="61" t="n">
        <x:f>COUNTIFS('All resources'!$E$6:$E$1177,$A48,'All resources'!$C$6:$C$1177,"U")</x:f>
        <x:v>17</x:v>
      </x:c>
      <x:c r="F48" s="61" t="n">
        <x:f>COUNTIFS('All resources'!$E$6:$E$1177,$A48,'All resources'!$C$6:$C$1177,"N/A")</x:f>
        <x:v>0</x:v>
      </x:c>
      <x:c r="G48" s="61" t="n">
        <x:f>COUNTIFS('All resources'!$E$6:$E$1177,$A48,'All resources'!$C$6:$C$1177,"A")</x:f>
        <x:v>0</x:v>
      </x:c>
      <x:c r="H48" s="61" t="n">
        <x:f>COUNTIFS('All resources'!$E$6:$E$1177,$A48,'All resources'!$C$6:$C$1177,"B")</x:f>
        <x:v>0</x:v>
      </x:c>
      <x:c r="I48" s="61" t="n">
        <x:f>COUNTIFS('All resources'!$E$6:$E$1177,$A48,'All resources'!$C$6:$C$1177,"C")</x:f>
        <x:v>0</x:v>
      </x:c>
      <x:c r="J48" s="61" t="n">
        <x:f>COUNTIFS('All resources'!$E$6:$E$1177,$A48,'All resources'!$C$6:$C$1177,"D")</x:f>
        <x:v>0</x:v>
      </x:c>
    </x:row>
    <x:row r="49" ht="25" customHeight="1">
      <x:c r="A49" s="61" t="str">
        <x:v>CRYPTOCURRENCY</x:v>
      </x:c>
      <x:c r="B49" s="61" t="n">
        <x:f>COUNTIF('All resources'!$E$6:$E$1177,$A49)</x:f>
        <x:v>11</x:v>
      </x:c>
      <x:c r="C49" s="61" t="n">
        <x:f>COUNTIFS('All resources'!$E$6:$E$1177,$A49,'All resources'!$D$6:$D$1177,"Documented")</x:f>
        <x:v>0</x:v>
      </x:c>
      <x:c r="D49" s="61" t="n">
        <x:f>COUNTIFS('All resources'!$E$6:$E$1177,$A49,'All resources'!$C$6:$C$1177,"C-P")</x:f>
        <x:v>1</x:v>
      </x:c>
      <x:c r="E49" s="61" t="n">
        <x:f>COUNTIFS('All resources'!$E$6:$E$1177,$A49,'All resources'!$C$6:$C$1177,"U")</x:f>
        <x:v>10</x:v>
      </x:c>
      <x:c r="F49" s="61" t="n">
        <x:f>COUNTIFS('All resources'!$E$6:$E$1177,$A49,'All resources'!$C$6:$C$1177,"N/A")</x:f>
        <x:v>0</x:v>
      </x:c>
      <x:c r="G49" s="61" t="n">
        <x:f>COUNTIFS('All resources'!$E$6:$E$1177,$A49,'All resources'!$C$6:$C$1177,"A")</x:f>
        <x:v>0</x:v>
      </x:c>
      <x:c r="H49" s="61" t="n">
        <x:f>COUNTIFS('All resources'!$E$6:$E$1177,$A49,'All resources'!$C$6:$C$1177,"B")</x:f>
        <x:v>0</x:v>
      </x:c>
      <x:c r="I49" s="61" t="n">
        <x:f>COUNTIFS('All resources'!$E$6:$E$1177,$A49,'All resources'!$C$6:$C$1177,"C")</x:f>
        <x:v>0</x:v>
      </x:c>
      <x:c r="J49" s="61" t="n">
        <x:f>COUNTIFS('All resources'!$E$6:$E$1177,$A49,'All resources'!$C$6:$C$1177,"D")</x:f>
        <x:v>0</x:v>
      </x:c>
    </x:row>
    <x:row r="50" ht="25" customHeight="1">
      <x:c r="A50" s="61" t="str">
        <x:v>DARKNET</x:v>
      </x:c>
      <x:c r="B50" s="61" t="n">
        <x:f>COUNTIF('All resources'!$E$6:$E$1177,$A50)</x:f>
        <x:v>15</x:v>
      </x:c>
      <x:c r="C50" s="61" t="n">
        <x:f>COUNTIFS('All resources'!$E$6:$E$1177,$A50,'All resources'!$D$6:$D$1177,"Documented")</x:f>
        <x:v>0</x:v>
      </x:c>
      <x:c r="D50" s="61" t="n">
        <x:f>COUNTIFS('All resources'!$E$6:$E$1177,$A50,'All resources'!$C$6:$C$1177,"C-P")</x:f>
        <x:v>0</x:v>
      </x:c>
      <x:c r="E50" s="61" t="n">
        <x:f>COUNTIFS('All resources'!$E$6:$E$1177,$A50,'All resources'!$C$6:$C$1177,"U")</x:f>
        <x:v>15</x:v>
      </x:c>
      <x:c r="F50" s="61" t="n">
        <x:f>COUNTIFS('All resources'!$E$6:$E$1177,$A50,'All resources'!$C$6:$C$1177,"N/A")</x:f>
        <x:v>0</x:v>
      </x:c>
      <x:c r="G50" s="61" t="n">
        <x:f>COUNTIFS('All resources'!$E$6:$E$1177,$A50,'All resources'!$C$6:$C$1177,"A")</x:f>
        <x:v>0</x:v>
      </x:c>
      <x:c r="H50" s="61" t="n">
        <x:f>COUNTIFS('All resources'!$E$6:$E$1177,$A50,'All resources'!$C$6:$C$1177,"B")</x:f>
        <x:v>0</x:v>
      </x:c>
      <x:c r="I50" s="61" t="n">
        <x:f>COUNTIFS('All resources'!$E$6:$E$1177,$A50,'All resources'!$C$6:$C$1177,"C")</x:f>
        <x:v>0</x:v>
      </x:c>
      <x:c r="J50" s="61" t="n">
        <x:f>COUNTIFS('All resources'!$E$6:$E$1177,$A50,'All resources'!$C$6:$C$1177,"D")</x:f>
        <x:v>0</x:v>
      </x:c>
    </x:row>
    <x:row r="51" ht="25" customHeight="1">
      <x:c r="A51" s="61" t="str">
        <x:v>DATA DUMP</x:v>
      </x:c>
      <x:c r="B51" s="61" t="n">
        <x:f>COUNTIF('All resources'!$E$6:$E$1177,$A51)</x:f>
        <x:v>16</x:v>
      </x:c>
      <x:c r="C51" s="61" t="n">
        <x:f>COUNTIFS('All resources'!$E$6:$E$1177,$A51,'All resources'!$D$6:$D$1177,"Documented")</x:f>
        <x:v>1</x:v>
      </x:c>
      <x:c r="D51" s="61" t="n">
        <x:f>COUNTIFS('All resources'!$E$6:$E$1177,$A51,'All resources'!$C$6:$C$1177,"C-P")</x:f>
        <x:v>0</x:v>
      </x:c>
      <x:c r="E51" s="61" t="n">
        <x:f>COUNTIFS('All resources'!$E$6:$E$1177,$A51,'All resources'!$C$6:$C$1177,"U")</x:f>
        <x:v>15</x:v>
      </x:c>
      <x:c r="F51" s="61" t="n">
        <x:f>COUNTIFS('All resources'!$E$6:$E$1177,$A51,'All resources'!$C$6:$C$1177,"N/A")</x:f>
        <x:v>0</x:v>
      </x:c>
      <x:c r="G51" s="61" t="n">
        <x:f>COUNTIFS('All resources'!$E$6:$E$1177,$A51,'All resources'!$C$6:$C$1177,"A")</x:f>
        <x:v>0</x:v>
      </x:c>
      <x:c r="H51" s="61" t="n">
        <x:f>COUNTIFS('All resources'!$E$6:$E$1177,$A51,'All resources'!$C$6:$C$1177,"B")</x:f>
        <x:v>1</x:v>
      </x:c>
      <x:c r="I51" s="61" t="n">
        <x:f>COUNTIFS('All resources'!$E$6:$E$1177,$A51,'All resources'!$C$6:$C$1177,"C")</x:f>
        <x:v>0</x:v>
      </x:c>
      <x:c r="J51" s="61" t="n">
        <x:f>COUNTIFS('All resources'!$E$6:$E$1177,$A51,'All resources'!$C$6:$C$1177,"D")</x:f>
        <x:v>0</x:v>
      </x:c>
    </x:row>
    <x:row r="52" ht="25" customHeight="1">
      <x:c r="A52" s="61" t="str">
        <x:v>VOTER DATABASES</x:v>
      </x:c>
      <x:c r="B52" s="61" t="n">
        <x:f>COUNTIF('All resources'!$E$6:$E$1177,$A52)</x:f>
        <x:v>17</x:v>
      </x:c>
      <x:c r="C52" s="61" t="n">
        <x:f>COUNTIFS('All resources'!$E$6:$E$1177,$A52,'All resources'!$D$6:$D$1177,"Documented")</x:f>
        <x:v>0</x:v>
      </x:c>
      <x:c r="D52" s="61" t="n">
        <x:f>COUNTIFS('All resources'!$E$6:$E$1177,$A52,'All resources'!$C$6:$C$1177,"C-P")</x:f>
        <x:v>0</x:v>
      </x:c>
      <x:c r="E52" s="61" t="n">
        <x:f>COUNTIFS('All resources'!$E$6:$E$1177,$A52,'All resources'!$C$6:$C$1177,"U")</x:f>
        <x:v>17</x:v>
      </x:c>
      <x:c r="F52" s="61" t="n">
        <x:f>COUNTIFS('All resources'!$E$6:$E$1177,$A52,'All resources'!$C$6:$C$1177,"N/A")</x:f>
        <x:v>0</x:v>
      </x:c>
      <x:c r="G52" s="61" t="n">
        <x:f>COUNTIFS('All resources'!$E$6:$E$1177,$A52,'All resources'!$C$6:$C$1177,"A")</x:f>
        <x:v>0</x:v>
      </x:c>
      <x:c r="H52" s="61" t="n">
        <x:f>COUNTIFS('All resources'!$E$6:$E$1177,$A52,'All resources'!$C$6:$C$1177,"B")</x:f>
        <x:v>0</x:v>
      </x:c>
      <x:c r="I52" s="61" t="n">
        <x:f>COUNTIFS('All resources'!$E$6:$E$1177,$A52,'All resources'!$C$6:$C$1177,"C")</x:f>
        <x:v>0</x:v>
      </x:c>
      <x:c r="J52" s="61" t="n">
        <x:f>COUNTIFS('All resources'!$E$6:$E$1177,$A52,'All resources'!$C$6:$C$1177,"D")</x:f>
        <x:v>0</x:v>
      </x:c>
    </x:row>
    <x:row r="53" ht="25" customHeight="1">
      <x:c r="A53" s="61" t="str">
        <x:v>EXTREMIST / FAR-RIGHT</x:v>
      </x:c>
      <x:c r="B53" s="61" t="n">
        <x:f>COUNTIF('All resources'!$E$6:$E$1177,$A53)</x:f>
        <x:v>24</x:v>
      </x:c>
      <x:c r="C53" s="61" t="n">
        <x:f>COUNTIFS('All resources'!$E$6:$E$1177,$A53,'All resources'!$D$6:$D$1177,"Documented")</x:f>
        <x:v>1</x:v>
      </x:c>
      <x:c r="D53" s="61" t="n">
        <x:f>COUNTIFS('All resources'!$E$6:$E$1177,$A53,'All resources'!$C$6:$C$1177,"C-P")</x:f>
        <x:v>4</x:v>
      </x:c>
      <x:c r="E53" s="61" t="n">
        <x:f>COUNTIFS('All resources'!$E$6:$E$1177,$A53,'All resources'!$C$6:$C$1177,"U")</x:f>
        <x:v>19</x:v>
      </x:c>
      <x:c r="F53" s="61" t="n">
        <x:f>COUNTIFS('All resources'!$E$6:$E$1177,$A53,'All resources'!$C$6:$C$1177,"N/A")</x:f>
        <x:v>0</x:v>
      </x:c>
      <x:c r="G53" s="61" t="n">
        <x:f>COUNTIFS('All resources'!$E$6:$E$1177,$A53,'All resources'!$C$6:$C$1177,"A")</x:f>
        <x:v>1</x:v>
      </x:c>
      <x:c r="H53" s="61" t="n">
        <x:f>COUNTIFS('All resources'!$E$6:$E$1177,$A53,'All resources'!$C$6:$C$1177,"B")</x:f>
        <x:v>0</x:v>
      </x:c>
      <x:c r="I53" s="61" t="n">
        <x:f>COUNTIFS('All resources'!$E$6:$E$1177,$A53,'All resources'!$C$6:$C$1177,"C")</x:f>
        <x:v>0</x:v>
      </x:c>
      <x:c r="J53" s="61" t="n">
        <x:f>COUNTIFS('All resources'!$E$6:$E$1177,$A53,'All resources'!$C$6:$C$1177,"D")</x:f>
        <x:v>0</x:v>
      </x:c>
    </x:row>
    <x:row r="54" ht="25" customHeight="1">
      <x:c r="A54" s="61" t="str">
        <x:v>FINANCE</x:v>
      </x:c>
      <x:c r="B54" s="61" t="n">
        <x:f>COUNTIF('All resources'!$E$6:$E$1177,$A54)</x:f>
        <x:v>9</x:v>
      </x:c>
      <x:c r="C54" s="61" t="n">
        <x:f>COUNTIFS('All resources'!$E$6:$E$1177,$A54,'All resources'!$D$6:$D$1177,"Documented")</x:f>
        <x:v>0</x:v>
      </x:c>
      <x:c r="D54" s="61" t="n">
        <x:f>COUNTIFS('All resources'!$E$6:$E$1177,$A54,'All resources'!$C$6:$C$1177,"C-P")</x:f>
        <x:v>0</x:v>
      </x:c>
      <x:c r="E54" s="61" t="n">
        <x:f>COUNTIFS('All resources'!$E$6:$E$1177,$A54,'All resources'!$C$6:$C$1177,"U")</x:f>
        <x:v>9</x:v>
      </x:c>
      <x:c r="F54" s="61" t="n">
        <x:f>COUNTIFS('All resources'!$E$6:$E$1177,$A54,'All resources'!$C$6:$C$1177,"N/A")</x:f>
        <x:v>0</x:v>
      </x:c>
      <x:c r="G54" s="61" t="n">
        <x:f>COUNTIFS('All resources'!$E$6:$E$1177,$A54,'All resources'!$C$6:$C$1177,"A")</x:f>
        <x:v>0</x:v>
      </x:c>
      <x:c r="H54" s="61" t="n">
        <x:f>COUNTIFS('All resources'!$E$6:$E$1177,$A54,'All resources'!$C$6:$C$1177,"B")</x:f>
        <x:v>0</x:v>
      </x:c>
      <x:c r="I54" s="61" t="n">
        <x:f>COUNTIFS('All resources'!$E$6:$E$1177,$A54,'All resources'!$C$6:$C$1177,"C")</x:f>
        <x:v>0</x:v>
      </x:c>
      <x:c r="J54" s="61" t="n">
        <x:f>COUNTIFS('All resources'!$E$6:$E$1177,$A54,'All resources'!$C$6:$C$1177,"D")</x:f>
        <x:v>0</x:v>
      </x:c>
    </x:row>
    <x:row r="55" ht="25" customHeight="1">
      <x:c r="A55" s="61" t="str">
        <x:v>BUSINESS</x:v>
      </x:c>
      <x:c r="B55" s="61" t="n">
        <x:f>COUNTIF('All resources'!$E$6:$E$1177,$A55)</x:f>
        <x:v>27</x:v>
      </x:c>
      <x:c r="C55" s="61" t="n">
        <x:f>COUNTIFS('All resources'!$E$6:$E$1177,$A55,'All resources'!$D$6:$D$1177,"Documented")</x:f>
        <x:v>11</x:v>
      </x:c>
      <x:c r="D55" s="61" t="n">
        <x:f>COUNTIFS('All resources'!$E$6:$E$1177,$A55,'All resources'!$C$6:$C$1177,"C-P")</x:f>
        <x:v>1</x:v>
      </x:c>
      <x:c r="E55" s="61" t="n">
        <x:f>COUNTIFS('All resources'!$E$6:$E$1177,$A55,'All resources'!$C$6:$C$1177,"U")</x:f>
        <x:v>15</x:v>
      </x:c>
      <x:c r="F55" s="61" t="n">
        <x:f>COUNTIFS('All resources'!$E$6:$E$1177,$A55,'All resources'!$C$6:$C$1177,"N/A")</x:f>
        <x:v>1</x:v>
      </x:c>
      <x:c r="G55" s="61" t="n">
        <x:f>COUNTIFS('All resources'!$E$6:$E$1177,$A55,'All resources'!$C$6:$C$1177,"A")</x:f>
        <x:v>2</x:v>
      </x:c>
      <x:c r="H55" s="61" t="n">
        <x:f>COUNTIFS('All resources'!$E$6:$E$1177,$A55,'All resources'!$C$6:$C$1177,"B")</x:f>
        <x:v>3</x:v>
      </x:c>
      <x:c r="I55" s="61" t="n">
        <x:f>COUNTIFS('All resources'!$E$6:$E$1177,$A55,'All resources'!$C$6:$C$1177,"C")</x:f>
        <x:v>5</x:v>
      </x:c>
      <x:c r="J55" s="61" t="n">
        <x:f>COUNTIFS('All resources'!$E$6:$E$1177,$A55,'All resources'!$C$6:$C$1177,"D")</x:f>
        <x:v>0</x:v>
      </x:c>
    </x:row>
    <x:row r="56" ht="25" customHeight="1">
      <x:c r="A56" s="61" t="str">
        <x:v>POLICE / LE / FED</x:v>
      </x:c>
      <x:c r="B56" s="61" t="n">
        <x:f>COUNTIF('All resources'!$E$6:$E$1177,$A56)</x:f>
        <x:v>43</x:v>
      </x:c>
      <x:c r="C56" s="61" t="n">
        <x:f>COUNTIFS('All resources'!$E$6:$E$1177,$A56,'All resources'!$D$6:$D$1177,"Documented")</x:f>
        <x:v>10</x:v>
      </x:c>
      <x:c r="D56" s="61" t="n">
        <x:f>COUNTIFS('All resources'!$E$6:$E$1177,$A56,'All resources'!$C$6:$C$1177,"C-P")</x:f>
        <x:v>0</x:v>
      </x:c>
      <x:c r="E56" s="61" t="n">
        <x:f>COUNTIFS('All resources'!$E$6:$E$1177,$A56,'All resources'!$C$6:$C$1177,"U")</x:f>
        <x:v>33</x:v>
      </x:c>
      <x:c r="F56" s="61" t="n">
        <x:f>COUNTIFS('All resources'!$E$6:$E$1177,$A56,'All resources'!$C$6:$C$1177,"N/A")</x:f>
        <x:v>1</x:v>
      </x:c>
      <x:c r="G56" s="61" t="n">
        <x:f>COUNTIFS('All resources'!$E$6:$E$1177,$A56,'All resources'!$C$6:$C$1177,"A")</x:f>
        <x:v>2</x:v>
      </x:c>
      <x:c r="H56" s="61" t="n">
        <x:f>COUNTIFS('All resources'!$E$6:$E$1177,$A56,'All resources'!$C$6:$C$1177,"B")</x:f>
        <x:v>6</x:v>
      </x:c>
      <x:c r="I56" s="61" t="n">
        <x:f>COUNTIFS('All resources'!$E$6:$E$1177,$A56,'All resources'!$C$6:$C$1177,"C")</x:f>
        <x:v>1</x:v>
      </x:c>
      <x:c r="J56" s="61" t="n">
        <x:f>COUNTIFS('All resources'!$E$6:$E$1177,$A56,'All resources'!$C$6:$C$1177,"D")</x:f>
        <x:v>0</x:v>
      </x:c>
    </x:row>
    <x:row r="57" ht="25" customHeight="1">
      <x:c r="A57" s="61" t="str">
        <x:v>[CAN] POLICE</x:v>
      </x:c>
      <x:c r="B57" s="61" t="n">
        <x:f>COUNTIF('All resources'!$E$6:$E$1177,$A57)</x:f>
        <x:v>4</x:v>
      </x:c>
      <x:c r="C57" s="61" t="n">
        <x:f>COUNTIFS('All resources'!$E$6:$E$1177,$A57,'All resources'!$D$6:$D$1177,"Documented")</x:f>
        <x:v>0</x:v>
      </x:c>
      <x:c r="D57" s="61" t="n">
        <x:f>COUNTIFS('All resources'!$E$6:$E$1177,$A57,'All resources'!$C$6:$C$1177,"C-P")</x:f>
        <x:v>0</x:v>
      </x:c>
      <x:c r="E57" s="61" t="n">
        <x:f>COUNTIFS('All resources'!$E$6:$E$1177,$A57,'All resources'!$C$6:$C$1177,"U")</x:f>
        <x:v>4</x:v>
      </x:c>
      <x:c r="F57" s="61" t="n">
        <x:f>COUNTIFS('All resources'!$E$6:$E$1177,$A57,'All resources'!$C$6:$C$1177,"N/A")</x:f>
        <x:v>0</x:v>
      </x:c>
      <x:c r="G57" s="61" t="n">
        <x:f>COUNTIFS('All resources'!$E$6:$E$1177,$A57,'All resources'!$C$6:$C$1177,"A")</x:f>
        <x:v>0</x:v>
      </x:c>
      <x:c r="H57" s="61" t="n">
        <x:f>COUNTIFS('All resources'!$E$6:$E$1177,$A57,'All resources'!$C$6:$C$1177,"B")</x:f>
        <x:v>0</x:v>
      </x:c>
      <x:c r="I57" s="61" t="n">
        <x:f>COUNTIFS('All resources'!$E$6:$E$1177,$A57,'All resources'!$C$6:$C$1177,"C")</x:f>
        <x:v>0</x:v>
      </x:c>
      <x:c r="J57" s="61" t="n">
        <x:f>COUNTIFS('All resources'!$E$6:$E$1177,$A57,'All resources'!$C$6:$C$1177,"D")</x:f>
        <x:v>0</x:v>
      </x:c>
    </x:row>
    <x:row r="58" ht="25" customHeight="1">
      <x:c r="A58" s="61" t="str">
        <x:v>INFORMANT</x:v>
      </x:c>
      <x:c r="B58" s="61" t="n">
        <x:f>COUNTIF('All resources'!$E$6:$E$1177,$A58)</x:f>
        <x:v>3</x:v>
      </x:c>
      <x:c r="C58" s="61" t="n">
        <x:f>COUNTIFS('All resources'!$E$6:$E$1177,$A58,'All resources'!$D$6:$D$1177,"Documented")</x:f>
        <x:v>0</x:v>
      </x:c>
      <x:c r="D58" s="61" t="n">
        <x:f>COUNTIFS('All resources'!$E$6:$E$1177,$A58,'All resources'!$C$6:$C$1177,"C-P")</x:f>
        <x:v>0</x:v>
      </x:c>
      <x:c r="E58" s="61" t="n">
        <x:f>COUNTIFS('All resources'!$E$6:$E$1177,$A58,'All resources'!$C$6:$C$1177,"U")</x:f>
        <x:v>3</x:v>
      </x:c>
      <x:c r="F58" s="61" t="n">
        <x:f>COUNTIFS('All resources'!$E$6:$E$1177,$A58,'All resources'!$C$6:$C$1177,"N/A")</x:f>
        <x:v>0</x:v>
      </x:c>
      <x:c r="G58" s="61" t="n">
        <x:f>COUNTIFS('All resources'!$E$6:$E$1177,$A58,'All resources'!$C$6:$C$1177,"A")</x:f>
        <x:v>0</x:v>
      </x:c>
      <x:c r="H58" s="61" t="n">
        <x:f>COUNTIFS('All resources'!$E$6:$E$1177,$A58,'All resources'!$C$6:$C$1177,"B")</x:f>
        <x:v>0</x:v>
      </x:c>
      <x:c r="I58" s="61" t="n">
        <x:f>COUNTIFS('All resources'!$E$6:$E$1177,$A58,'All resources'!$C$6:$C$1177,"C")</x:f>
        <x:v>0</x:v>
      </x:c>
      <x:c r="J58" s="61" t="n">
        <x:f>COUNTIFS('All resources'!$E$6:$E$1177,$A58,'All resources'!$C$6:$C$1177,"D")</x:f>
        <x:v>0</x:v>
      </x:c>
    </x:row>
    <x:row r="59" ht="25" customHeight="1">
      <x:c r="A59" s="61" t="str">
        <x:v>SEX OFFENDER</x:v>
      </x:c>
      <x:c r="B59" s="61" t="n">
        <x:f>COUNTIF('All resources'!$E$6:$E$1177,$A59)</x:f>
        <x:v>11</x:v>
      </x:c>
      <x:c r="C59" s="61" t="n">
        <x:f>COUNTIFS('All resources'!$E$6:$E$1177,$A59,'All resources'!$D$6:$D$1177,"Documented")</x:f>
        <x:v>3</x:v>
      </x:c>
      <x:c r="D59" s="61" t="n">
        <x:f>COUNTIFS('All resources'!$E$6:$E$1177,$A59,'All resources'!$C$6:$C$1177,"C-P")</x:f>
        <x:v>0</x:v>
      </x:c>
      <x:c r="E59" s="61" t="n">
        <x:f>COUNTIFS('All resources'!$E$6:$E$1177,$A59,'All resources'!$C$6:$C$1177,"U")</x:f>
        <x:v>8</x:v>
      </x:c>
      <x:c r="F59" s="61" t="n">
        <x:f>COUNTIFS('All resources'!$E$6:$E$1177,$A59,'All resources'!$C$6:$C$1177,"N/A")</x:f>
        <x:v>0</x:v>
      </x:c>
      <x:c r="G59" s="61" t="n">
        <x:f>COUNTIFS('All resources'!$E$6:$E$1177,$A59,'All resources'!$C$6:$C$1177,"A")</x:f>
        <x:v>3</x:v>
      </x:c>
      <x:c r="H59" s="61" t="n">
        <x:f>COUNTIFS('All resources'!$E$6:$E$1177,$A59,'All resources'!$C$6:$C$1177,"B")</x:f>
        <x:v>0</x:v>
      </x:c>
      <x:c r="I59" s="61" t="n">
        <x:f>COUNTIFS('All resources'!$E$6:$E$1177,$A59,'All resources'!$C$6:$C$1177,"C")</x:f>
        <x:v>0</x:v>
      </x:c>
      <x:c r="J59" s="61" t="n">
        <x:f>COUNTIFS('All resources'!$E$6:$E$1177,$A59,'All resources'!$C$6:$C$1177,"D")</x:f>
        <x:v>0</x:v>
      </x:c>
    </x:row>
    <x:row r="60" ht="25" customHeight="1">
      <x:c r="A60" s="61" t="str">
        <x:v>RESIDENT DATABASE</x:v>
      </x:c>
      <x:c r="B60" s="61" t="n">
        <x:f>COUNTIF('All resources'!$E$6:$E$1177,$A60)</x:f>
        <x:v>5</x:v>
      </x:c>
      <x:c r="C60" s="61" t="n">
        <x:f>COUNTIFS('All resources'!$E$6:$E$1177,$A60,'All resources'!$D$6:$D$1177,"Documented")</x:f>
        <x:v>0</x:v>
      </x:c>
      <x:c r="D60" s="61" t="n">
        <x:f>COUNTIFS('All resources'!$E$6:$E$1177,$A60,'All resources'!$C$6:$C$1177,"C-P")</x:f>
        <x:v>0</x:v>
      </x:c>
      <x:c r="E60" s="61" t="n">
        <x:f>COUNTIFS('All resources'!$E$6:$E$1177,$A60,'All resources'!$C$6:$C$1177,"U")</x:f>
        <x:v>5</x:v>
      </x:c>
      <x:c r="F60" s="61" t="n">
        <x:f>COUNTIFS('All resources'!$E$6:$E$1177,$A60,'All resources'!$C$6:$C$1177,"N/A")</x:f>
        <x:v>0</x:v>
      </x:c>
      <x:c r="G60" s="61" t="n">
        <x:f>COUNTIFS('All resources'!$E$6:$E$1177,$A60,'All resources'!$C$6:$C$1177,"A")</x:f>
        <x:v>0</x:v>
      </x:c>
      <x:c r="H60" s="61" t="n">
        <x:f>COUNTIFS('All resources'!$E$6:$E$1177,$A60,'All resources'!$C$6:$C$1177,"B")</x:f>
        <x:v>0</x:v>
      </x:c>
      <x:c r="I60" s="61" t="n">
        <x:f>COUNTIFS('All resources'!$E$6:$E$1177,$A60,'All resources'!$C$6:$C$1177,"C")</x:f>
        <x:v>0</x:v>
      </x:c>
      <x:c r="J60" s="61" t="n">
        <x:f>COUNTIFS('All resources'!$E$6:$E$1177,$A60,'All resources'!$C$6:$C$1177,"D")</x:f>
        <x:v>0</x:v>
      </x:c>
    </x:row>
  </x:sheetData>
  <x:mergeCells>
    <x:mergeCell ref="A1:J1"/>
    <x:mergeCell ref="A2:J3"/>
  </x:mergeCells>
  <x:pageMargins left="0.7" right="0.7" top="0.75" bottom="0.75" header="0.3" footer="0.3"/>
  <x:tableParts count="1">
    <x:tablePart xmlns:r="http://schemas.openxmlformats.org/officeDocument/2006/relationships" r:id="R25d11353a0df45c2"/>
  </x:tableParts>
</x:worksheet>
</file>

<file path=xl/worksheets/sheet8.xml><?xml version="1.0" encoding="utf-8"?>
<x:worksheet xmlns:x="http://schemas.openxmlformats.org/spreadsheetml/2006/main">
  <x:sheetFormatPr defaultRowHeight="15"/>
  <x:cols>
    <x:col min="1" max="1" width="12" hidden="0" customWidth="1"/>
    <x:col min="2" max="2" width="32" hidden="0" customWidth="1"/>
    <x:col min="3" max="3" width="32" hidden="0" customWidth="1"/>
    <x:col min="4" max="4" width="65" hidden="0" customWidth="1"/>
    <x:col min="5" max="5" width="65" hidden="0" customWidth="1"/>
    <x:col min="6" max="6" width="60" hidden="0" customWidth="1"/>
  </x:cols>
  <x:sheetData>
    <x:row r="1" ht="38" customHeight="1">
      <x:c r="A1" s="6" t="str">
        <x:v>PRIORITY FIXES | concrete review findings</x:v>
      </x:c>
      <x:c r="B1" s="6"/>
      <x:c r="C1" s="6"/>
      <x:c r="D1" s="6"/>
      <x:c r="E1" s="6"/>
      <x:c r="F1" s="6"/>
    </x:row>
    <x:row r="2">
      <x:c r="A2" s="58" t="str">
        <x:v>Only documented observations are listed. A blocked reader or unsuccessful fetch is not treated as a dead or unsafe website.</x:v>
      </x:c>
      <x:c r="B2" s="58"/>
      <x:c r="C2" s="58"/>
      <x:c r="D2" s="58"/>
      <x:c r="E2" s="58"/>
      <x:c r="F2" s="58"/>
    </x:row>
    <x:row r="3">
      <x:c r="A3" s="58"/>
      <x:c r="B3" s="58"/>
      <x:c r="C3" s="58"/>
      <x:c r="D3" s="58"/>
      <x:c r="E3" s="58"/>
      <x:c r="F3" s="58"/>
    </x:row>
    <x:row r="5" ht="30" customHeight="1">
      <x:c r="A5" s="66" t="str">
        <x:v>Bookmark ID</x:v>
      </x:c>
      <x:c r="B5" s="66" t="str">
        <x:v>Original resource label</x:v>
      </x:c>
      <x:c r="C5" s="66" t="str">
        <x:v>Issue</x:v>
      </x:c>
      <x:c r="D5" s="66" t="str">
        <x:v>Documented observation</x:v>
      </x:c>
      <x:c r="E5" s="66" t="str">
        <x:v>Recommended action</x:v>
      </x:c>
      <x:c r="F5" s="66" t="str">
        <x:v>Evidence URLs</x:v>
      </x:c>
    </x:row>
    <x:row r="6" ht="85" customHeight="1">
      <x:c r="A6" s="61" t="n">
        <x:v>357</x:v>
      </x:c>
      <x:c r="B6" s="61" t="str">
        <x:v>Trumail</x:v>
      </x:c>
      <x:c r="C6" s="61" t="str">
        <x:v>Same provider behind two labels</x:v>
      </x:c>
      <x:c r="D6" s="61" t="str">
        <x:v>Trumail and Verify Email (ID 359) both redirect to Emailable.</x:v>
      </x:c>
      <x:c r="E6" s="61" t="str">
        <x:v>Count them as one provider, not two independent checks. Deliverability does not establish who owns an address.</x:v>
      </x:c>
      <x:c r="F6" s="70" t="str">
        <x:v>https://emailable.com/api/?redirect_source=trumail
https://emailable.com/?redirect_source=verify-email</x:v>
      </x:c>
    </x:row>
    <x:row r="7" ht="85" customHeight="1">
      <x:c r="A7" s="61" t="n">
        <x:v>1130</x:v>
      </x:c>
      <x:c r="B7" s="61" t="str">
        <x:v>The NYPD Files</x:v>
      </x:c>
      <x:c r="C7" s="61" t="str">
        <x:v>Historical dataset</x:v>
      </x:c>
      <x:c r="D7" s="61" t="str">
        <x:v>ProPublica's NYPD CCRB database says it was last updated July 2020 and is no longer updated.</x:v>
      </x:c>
      <x:c r="E7" s="61" t="str">
        <x:v>Use as a historical lead, not a current complaint or disciplinary status.</x:v>
      </x:c>
      <x:c r="F7" s="70" t="str">
        <x:v>https://projects.propublica.org/nypd-ccrb/</x:v>
      </x:c>
    </x:row>
    <x:row r="8" ht="85" customHeight="1">
      <x:c r="A8" s="61" t="n">
        <x:v>440</x:v>
      </x:c>
      <x:c r="B8" s="61" t="str">
        <x:v>twint</x:v>
      </x:c>
      <x:c r="C8" s="61" t="str">
        <x:v>Archived software</x:v>
      </x:c>
      <x:c r="D8" s="61" t="str">
        <x:v>Twint's upstream repository is archived (30 March 2023).</x:v>
      </x:c>
      <x:c r="E8" s="61" t="str">
        <x:v>Do not assume the saved tool works against the current platform. A live, authorized functional test is still needed.</x:v>
      </x:c>
      <x:c r="F8" s="70" t="str">
        <x:v>https://github.com/twintproject/twint</x:v>
      </x:c>
    </x:row>
    <x:row r="9" ht="85" customHeight="1">
      <x:c r="A9" s="61" t="n">
        <x:v>293</x:v>
      </x:c>
      <x:c r="B9" s="61" t="str">
        <x:v>IntelTechniques OSINT</x:v>
      </x:c>
      <x:c r="C9" s="61" t="str">
        <x:v>Mixed maintenance within a tool collection</x:v>
      </x:c>
      <x:c r="D9" s="61" t="str">
        <x:v>IntelTechniques states that some tools are retained despite being nonfunctional.</x:v>
      </x:c>
      <x:c r="E9" s="61" t="str">
        <x:v>Check the particular module; a maintained home page does not validate every linked search.</x:v>
      </x:c>
      <x:c r="F9" s="70" t="str">
        <x:v>https://inteltechniques.com/tools/</x:v>
      </x:c>
    </x:row>
    <x:row r="10" ht="85" customHeight="1">
      <x:c r="A10" s="61" t="n">
        <x:v>1061</x:v>
      </x:c>
      <x:c r="B10" s="61" t="str">
        <x:v>Sanctions List Search</x:v>
      </x:c>
      <x:c r="C10" s="61" t="str">
        <x:v>Official portal versus search wrapper</x:v>
      </x:c>
      <x:c r="D10" s="61" t="str">
        <x:v>The official OFAC portal is ID 1061. The separate OFAC Google search is ID 1063.</x:v>
      </x:c>
      <x:c r="E10" s="61" t="str">
        <x:v>Use the official record and identifying fields. A fuzzy-name score is not the probability that the contact is the listed person.</x:v>
      </x:c>
      <x:c r="F10" s="70" t="str">
        <x:v>https://sanctionssearch.ofac.treas.gov/</x:v>
      </x:c>
    </x:row>
    <x:row r="11" ht="85" customHeight="1">
      <x:c r="A11" s="61" t="n">
        <x:v>1086</x:v>
      </x:c>
      <x:c r="B11" s="61" t="str">
        <x:v>Companies House</x:v>
      </x:c>
      <x:c r="C11" s="61" t="str">
        <x:v>Filing provenance is not universal verification</x:v>
      </x:c>
      <x:c r="D11" s="61" t="str">
        <x:v>Companies House displays a warning that it does not check the accuracy of information filed.</x:v>
      </x:c>
      <x:c r="E11" s="61" t="str">
        <x:v>Cite the exact filing and date. Do not turn an officer, service address or submitted statement into a broader relationship claim.</x:v>
      </x:c>
      <x:c r="F11" s="70" t="str">
        <x:v>https://find-and-update.company-information.service.gov.uk/</x:v>
      </x:c>
    </x:row>
    <x:row r="12" ht="85" customHeight="1">
      <x:c r="A12" s="61" t="n">
        <x:v>654</x:v>
      </x:c>
      <x:c r="B12" s="61" t="str">
        <x:v>Facecheck.id</x:v>
      </x:c>
      <x:c r="C12" s="61" t="str">
        <x:v>Resemblance is not identity</x:v>
      </x:c>
      <x:c r="D12" s="61" t="str">
        <x:v>FaceCheck's FAQ warns about lookalikes and states its results do not establish identity for legal purposes; PimEyes also disclaims identity verification.</x:v>
      </x:c>
      <x:c r="E12" s="61" t="str">
        <x:v>Treat a result as a candidate, not proof of identity, kinship, wrongdoing or association.</x:v>
      </x:c>
      <x:c r="F12" s="70" t="str">
        <x:v>https://facecheck.id/en/Face-Search/FAQ
https://pimeyes.com/en/faq</x:v>
      </x:c>
    </x:row>
    <x:row r="13" ht="85" customHeight="1">
      <x:c r="A13" s="61" t="n">
        <x:v>381</x:v>
      </x:c>
      <x:c r="B13" s="61" t="str">
        <x:v>PhoneInfoga</x:v>
      </x:c>
      <x:c r="C13" s="61" t="str">
        <x:v>Phone metadata is not live tracking</x:v>
      </x:c>
      <x:c r="D13" s="61" t="str">
        <x:v>PhoneInfoga's documentation explicitly distinguishes its results from verified information and real-time location.</x:v>
      </x:c>
      <x:c r="E13" s="61" t="str">
        <x:v>Use only for scoped discovery. Do not attribute subscriber identity or precise current location.</x:v>
      </x:c>
      <x:c r="F13" s="70" t="str">
        <x:v>https://sundowndev.github.io/phoneinfoga/</x:v>
      </x:c>
    </x:row>
    <x:row r="14" ht="85" customHeight="1">
      <x:c r="A14" s="61" t="n">
        <x:v>324</x:v>
      </x:c>
      <x:c r="B14" s="61" t="str">
        <x:v>TruthFinder</x:v>
      </x:c>
      <x:c r="C14" s="61" t="str">
        <x:v>Documented historical caution</x:v>
      </x:c>
      <x:c r="D14" s="61" t="str">
        <x:v>The FTC's 2023 action challenged TruthFinder's accuracy and verification practices.</x:v>
      </x:c>
      <x:c r="E14" s="61" t="str">
        <x:v>Use exceptional caution for consequential claims. This historical finding does not prove that every current result is wrong.</x:v>
      </x:c>
      <x:c r="F14" s="70" t="str">
        <x:v>https://www.ftc.gov/news-events/news/press-releases/2023/09/ftc-says-truthfinder-instant-checkmate-deceived-users-about-background-report-accuracy-violated-fcra</x:v>
      </x:c>
    </x:row>
    <x:row r="15" ht="85" customHeight="1">
      <x:c r="A15" s="61" t="n">
        <x:v>190</x:v>
      </x:c>
      <x:c r="B15" s="61" t="str">
        <x:v>LocalBitcoins</x:v>
      </x:c>
      <x:c r="C15" s="61" t="str">
        <x:v>Retired service, not a contact source</x:v>
      </x:c>
      <x:c r="D15" s="61" t="str">
        <x:v>LocalBitcoins' official page reports closure of its trading service.</x:v>
      </x:c>
      <x:c r="E15" s="61" t="str">
        <x:v>Treat the old bookmark as a retired utility, not a working investigation source.</x:v>
      </x:c>
      <x:c r="F15" s="70" t="str">
        <x:v>https://localbitcoins.com/</x:v>
      </x:c>
    </x:row>
  </x:sheetData>
  <x:mergeCells>
    <x:mergeCell ref="A1:F1"/>
    <x:mergeCell ref="A2:F3"/>
  </x:mergeCells>
  <x:pageMargins left="0.7" right="0.7" top="0.75" bottom="0.75" header="0.3" footer="0.3"/>
  <x:tableParts count="1">
    <x:tablePart xmlns:r="http://schemas.openxmlformats.org/officeDocument/2006/relationships" r:id="Rb6feb7ddb8c1471b"/>
  </x:tableParts>
</x:worksheet>
</file>